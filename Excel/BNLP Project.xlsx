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drawings/drawing3.xml" ContentType="application/vnd.openxmlformats-officedocument.drawing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51.xml" ContentType="application/vnd.openxmlformats-officedocument.spreadsheetml.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dhruv/Desktop/BNPL Project/"/>
    </mc:Choice>
  </mc:AlternateContent>
  <xr:revisionPtr revIDLastSave="0" documentId="13_ncr:1_{C47EDE0D-E432-624C-B666-4A0DE8C25A8A}" xr6:coauthVersionLast="47" xr6:coauthVersionMax="47" xr10:uidLastSave="{00000000-0000-0000-0000-000000000000}"/>
  <workbookProtection workbookAlgorithmName="SHA-512" workbookHashValue="AGceP8TRCCLPiz0mVAvcotS0mw6ljzK6RLjsIIX11CSa/qZJyzpbNOEpCY0bKM1HNior2xgDgARbVOf+XYxnSg==" workbookSaltValue="rFR9laVNLkO4QXn9iXfqeg==" workbookSpinCount="100000" lockStructure="1"/>
  <bookViews>
    <workbookView xWindow="0" yWindow="720" windowWidth="29400" windowHeight="18400" activeTab="8" xr2:uid="{042C2029-F3D0-3046-B4B7-1B39A12B3D88}"/>
  </bookViews>
  <sheets>
    <sheet name="User Segmentation" sheetId="1" r:id="rId1"/>
    <sheet name="Default Rates" sheetId="2" r:id="rId2"/>
    <sheet name="Portfolio x PD x Loan Count" sheetId="5" r:id="rId3"/>
    <sheet name="Support Tables" sheetId="4" r:id="rId4"/>
    <sheet name="Dynamic PD" sheetId="7" r:id="rId5"/>
    <sheet name="Contribution Margin" sheetId="8" r:id="rId6"/>
    <sheet name="Dynamic CM" sheetId="9" r:id="rId7"/>
    <sheet name="Portfolio Metrics" sheetId="3" r:id="rId8"/>
    <sheet name="Dashboard" sheetId="10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 a="1"/>
  <c r="F20" i="7" s="1"/>
  <c r="W57" i="10"/>
  <c r="Y46" i="10"/>
  <c r="W46" i="10"/>
  <c r="D8" i="9"/>
  <c r="C8" i="9"/>
  <c r="B8" i="9"/>
  <c r="H4" i="9"/>
  <c r="H5" i="9"/>
  <c r="G4" i="9" a="1"/>
  <c r="G4" i="9" s="1"/>
  <c r="G5" i="9" a="1"/>
  <c r="G5" i="9" s="1"/>
  <c r="F4" i="9" a="1"/>
  <c r="F4" i="9" s="1"/>
  <c r="F5" i="9" a="1"/>
  <c r="F5" i="9" s="1"/>
  <c r="E4" i="9" a="1"/>
  <c r="E4" i="9" s="1"/>
  <c r="E5" i="9" a="1"/>
  <c r="E5" i="9" s="1"/>
  <c r="D6" i="9"/>
  <c r="C6" i="9"/>
  <c r="B6" i="9"/>
  <c r="E44" i="10" a="1"/>
  <c r="E44" i="10" s="1"/>
  <c r="C44" i="10" a="1"/>
  <c r="C44" i="10" s="1"/>
  <c r="C40" i="10" a="1"/>
  <c r="C40" i="10" s="1"/>
  <c r="A40" i="10" a="1"/>
  <c r="A40" i="10" s="1"/>
  <c r="I49" i="1"/>
  <c r="M35" i="4" s="1"/>
  <c r="I14" i="7"/>
  <c r="O19" i="4" s="1" a="1"/>
  <c r="O19" i="4" s="1"/>
  <c r="C2" i="5"/>
  <c r="H3" i="9"/>
  <c r="F3" i="9" a="1"/>
  <c r="F3" i="9" s="1"/>
  <c r="F14" i="7"/>
  <c r="L19" i="7" a="1"/>
  <c r="L19" i="7" s="1"/>
  <c r="C94" i="5"/>
  <c r="L107" i="5"/>
  <c r="L108" i="5"/>
  <c r="L109" i="5"/>
  <c r="L110" i="5"/>
  <c r="L111" i="5"/>
  <c r="G14" i="4"/>
  <c r="F14" i="4"/>
  <c r="E14" i="4"/>
  <c r="D14" i="4"/>
  <c r="C14" i="4"/>
  <c r="G13" i="4"/>
  <c r="F13" i="4"/>
  <c r="E13" i="4"/>
  <c r="D13" i="4"/>
  <c r="C13" i="4"/>
  <c r="G12" i="4"/>
  <c r="F12" i="4"/>
  <c r="E12" i="4"/>
  <c r="D12" i="4"/>
  <c r="C12" i="4"/>
  <c r="G11" i="4"/>
  <c r="F11" i="4"/>
  <c r="E11" i="4"/>
  <c r="D11" i="4"/>
  <c r="C11" i="4"/>
  <c r="G10" i="4"/>
  <c r="F10" i="4"/>
  <c r="E10" i="4"/>
  <c r="D10" i="4"/>
  <c r="C10" i="4"/>
  <c r="G9" i="4"/>
  <c r="F9" i="4"/>
  <c r="E9" i="4"/>
  <c r="D9" i="4"/>
  <c r="C9" i="4"/>
  <c r="G8" i="4"/>
  <c r="F8" i="4"/>
  <c r="E8" i="4"/>
  <c r="D8" i="4"/>
  <c r="C8" i="4"/>
  <c r="G7" i="4"/>
  <c r="F7" i="4"/>
  <c r="E7" i="4"/>
  <c r="D7" i="4"/>
  <c r="C7" i="4"/>
  <c r="G6" i="4"/>
  <c r="F6" i="4"/>
  <c r="E6" i="4"/>
  <c r="D6" i="4"/>
  <c r="C6" i="4"/>
  <c r="G5" i="4"/>
  <c r="F5" i="4"/>
  <c r="E5" i="4"/>
  <c r="D5" i="4"/>
  <c r="C5" i="4"/>
  <c r="G4" i="4"/>
  <c r="F4" i="4"/>
  <c r="E4" i="4"/>
  <c r="D4" i="4"/>
  <c r="C4" i="4"/>
  <c r="G3" i="4"/>
  <c r="F3" i="4"/>
  <c r="E3" i="4"/>
  <c r="D3" i="4"/>
  <c r="C3" i="4"/>
  <c r="G105" i="5"/>
  <c r="F105" i="5"/>
  <c r="E105" i="5"/>
  <c r="D105" i="5"/>
  <c r="C105" i="5"/>
  <c r="G104" i="5"/>
  <c r="F104" i="5"/>
  <c r="E104" i="5"/>
  <c r="D104" i="5"/>
  <c r="C104" i="5"/>
  <c r="G103" i="5"/>
  <c r="F103" i="5"/>
  <c r="E103" i="5"/>
  <c r="D103" i="5"/>
  <c r="C103" i="5"/>
  <c r="G102" i="5"/>
  <c r="F102" i="5"/>
  <c r="E102" i="5"/>
  <c r="D102" i="5"/>
  <c r="C102" i="5"/>
  <c r="G101" i="5"/>
  <c r="F101" i="5"/>
  <c r="E101" i="5"/>
  <c r="D101" i="5"/>
  <c r="C101" i="5"/>
  <c r="G100" i="5"/>
  <c r="F100" i="5"/>
  <c r="E100" i="5"/>
  <c r="D100" i="5"/>
  <c r="C100" i="5"/>
  <c r="G99" i="5"/>
  <c r="F99" i="5"/>
  <c r="E99" i="5"/>
  <c r="D99" i="5"/>
  <c r="C99" i="5"/>
  <c r="G98" i="5"/>
  <c r="F98" i="5"/>
  <c r="E98" i="5"/>
  <c r="D98" i="5"/>
  <c r="C98" i="5"/>
  <c r="G97" i="5"/>
  <c r="F97" i="5"/>
  <c r="E97" i="5"/>
  <c r="D97" i="5"/>
  <c r="C97" i="5"/>
  <c r="G96" i="5"/>
  <c r="F96" i="5"/>
  <c r="E96" i="5"/>
  <c r="D96" i="5"/>
  <c r="C96" i="5"/>
  <c r="G95" i="5"/>
  <c r="F95" i="5"/>
  <c r="E95" i="5"/>
  <c r="D95" i="5"/>
  <c r="C95" i="5"/>
  <c r="G94" i="5"/>
  <c r="F94" i="5"/>
  <c r="E94" i="5"/>
  <c r="D94" i="5"/>
  <c r="G13" i="5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G7" i="5"/>
  <c r="F7" i="5"/>
  <c r="E7" i="5"/>
  <c r="D7" i="5"/>
  <c r="C7" i="5"/>
  <c r="G6" i="5"/>
  <c r="F6" i="5"/>
  <c r="E6" i="5"/>
  <c r="D6" i="5"/>
  <c r="C6" i="5"/>
  <c r="G5" i="5"/>
  <c r="F5" i="5"/>
  <c r="E5" i="5"/>
  <c r="D5" i="5"/>
  <c r="C5" i="5"/>
  <c r="G4" i="5"/>
  <c r="F4" i="5"/>
  <c r="E4" i="5"/>
  <c r="D4" i="5"/>
  <c r="C4" i="5"/>
  <c r="G3" i="5"/>
  <c r="F3" i="5"/>
  <c r="E3" i="5"/>
  <c r="D3" i="5"/>
  <c r="C3" i="5"/>
  <c r="G2" i="5"/>
  <c r="F2" i="5"/>
  <c r="E2" i="5"/>
  <c r="D2" i="5"/>
  <c r="D36" i="2"/>
  <c r="B38" i="2"/>
  <c r="C38" i="2"/>
  <c r="D38" i="2"/>
  <c r="E38" i="2"/>
  <c r="F38" i="2"/>
  <c r="B39" i="2"/>
  <c r="C39" i="2"/>
  <c r="D39" i="2"/>
  <c r="E39" i="2"/>
  <c r="F39" i="2"/>
  <c r="C37" i="2"/>
  <c r="D37" i="2"/>
  <c r="E37" i="2"/>
  <c r="F37" i="2"/>
  <c r="C36" i="2"/>
  <c r="F36" i="2"/>
  <c r="E36" i="2"/>
  <c r="B37" i="2"/>
  <c r="B36" i="2"/>
  <c r="B30" i="2"/>
  <c r="B58" i="2" s="1"/>
  <c r="B31" i="2"/>
  <c r="C59" i="2" s="1"/>
  <c r="B32" i="2"/>
  <c r="D59" i="2" s="1"/>
  <c r="I46" i="1"/>
  <c r="I48" i="1" s="1"/>
  <c r="E54" i="1"/>
  <c r="E55" i="1"/>
  <c r="E56" i="1"/>
  <c r="C54" i="1"/>
  <c r="C55" i="1"/>
  <c r="C56" i="1"/>
  <c r="D45" i="1"/>
  <c r="D46" i="1"/>
  <c r="D47" i="1"/>
  <c r="D48" i="1"/>
  <c r="T167" i="9" l="1" a="1"/>
  <c r="T167" i="9" s="1"/>
  <c r="T77" i="9" a="1"/>
  <c r="T77" i="9" s="1"/>
  <c r="T132" i="9" a="1"/>
  <c r="T132" i="9" s="1"/>
  <c r="T154" i="9" a="1"/>
  <c r="T154" i="9" s="1"/>
  <c r="T144" i="9" a="1"/>
  <c r="T144" i="9" s="1"/>
  <c r="S168" i="9" a="1"/>
  <c r="S168" i="9" s="1"/>
  <c r="T120" i="9" a="1"/>
  <c r="T120" i="9" s="1"/>
  <c r="T106" i="9" a="1"/>
  <c r="T106" i="9" s="1"/>
  <c r="T91" i="9" a="1"/>
  <c r="T91" i="9" s="1"/>
  <c r="T166" i="9" a="1"/>
  <c r="T166" i="9" s="1"/>
  <c r="T152" i="9" a="1"/>
  <c r="T152" i="9" s="1"/>
  <c r="T131" i="9" a="1"/>
  <c r="T131" i="9" s="1"/>
  <c r="T119" i="9" a="1"/>
  <c r="T119" i="9" s="1"/>
  <c r="T90" i="9" a="1"/>
  <c r="T90" i="9" s="1"/>
  <c r="T165" i="9" a="1"/>
  <c r="T165" i="9" s="1"/>
  <c r="T140" i="9" a="1"/>
  <c r="T140" i="9" s="1"/>
  <c r="T130" i="9" a="1"/>
  <c r="T130" i="9" s="1"/>
  <c r="T117" i="9" a="1"/>
  <c r="T117" i="9" s="1"/>
  <c r="T104" i="9" a="1"/>
  <c r="T104" i="9" s="1"/>
  <c r="T87" i="9" a="1"/>
  <c r="T87" i="9" s="1"/>
  <c r="T85" i="9" a="1"/>
  <c r="T85" i="9" s="1"/>
  <c r="T161" i="9" a="1"/>
  <c r="T161" i="9" s="1"/>
  <c r="T148" i="9" a="1"/>
  <c r="T148" i="9" s="1"/>
  <c r="T123" i="9" a="1"/>
  <c r="T123" i="9" s="1"/>
  <c r="T114" i="9" a="1"/>
  <c r="T114" i="9" s="1"/>
  <c r="T101" i="9" a="1"/>
  <c r="T101" i="9" s="1"/>
  <c r="T159" i="9" a="1"/>
  <c r="T159" i="9" s="1"/>
  <c r="S147" i="9" a="1"/>
  <c r="S147" i="9" s="1"/>
  <c r="T136" i="9" a="1"/>
  <c r="T136" i="9" s="1"/>
  <c r="T109" i="9" a="1"/>
  <c r="T109" i="9" s="1"/>
  <c r="T100" i="9" a="1"/>
  <c r="T100" i="9" s="1"/>
  <c r="T80" i="9" a="1"/>
  <c r="T80" i="9" s="1"/>
  <c r="T162" i="9" a="1"/>
  <c r="T162" i="9" s="1"/>
  <c r="T150" i="9" a="1"/>
  <c r="T150" i="9" s="1"/>
  <c r="T138" i="9" a="1"/>
  <c r="T138" i="9" s="1"/>
  <c r="T125" i="9" a="1"/>
  <c r="T125" i="9" s="1"/>
  <c r="T116" i="9" a="1"/>
  <c r="T116" i="9" s="1"/>
  <c r="T103" i="9" a="1"/>
  <c r="T103" i="9" s="1"/>
  <c r="T81" i="9" a="1"/>
  <c r="T81" i="9" s="1"/>
  <c r="T158" i="9" a="1"/>
  <c r="T158" i="9" s="1"/>
  <c r="T145" i="9" a="1"/>
  <c r="T145" i="9" s="1"/>
  <c r="T135" i="9" a="1"/>
  <c r="T135" i="9" s="1"/>
  <c r="T122" i="9" a="1"/>
  <c r="T122" i="9" s="1"/>
  <c r="T107" i="9" a="1"/>
  <c r="T107" i="9" s="1"/>
  <c r="T98" i="9" a="1"/>
  <c r="T98" i="9" s="1"/>
  <c r="T78" i="9" a="1"/>
  <c r="T78" i="9" s="1"/>
  <c r="T157" i="9" a="1"/>
  <c r="T157" i="9" s="1"/>
  <c r="T133" i="9" a="1"/>
  <c r="T133" i="9" s="1"/>
  <c r="T93" i="9" a="1"/>
  <c r="T93" i="9" s="1"/>
  <c r="S142" i="9" a="1"/>
  <c r="S142" i="9" s="1"/>
  <c r="S69" i="9" a="1"/>
  <c r="S69" i="9" s="1"/>
  <c r="S70" i="9" a="1"/>
  <c r="S70" i="9" s="1"/>
  <c r="S71" i="9" a="1"/>
  <c r="S71" i="9" s="1"/>
  <c r="S72" i="9" a="1"/>
  <c r="S72" i="9" s="1"/>
  <c r="S73" i="9" a="1"/>
  <c r="S73" i="9" s="1"/>
  <c r="S74" i="9" a="1"/>
  <c r="S74" i="9" s="1"/>
  <c r="S75" i="9" a="1"/>
  <c r="S75" i="9" s="1"/>
  <c r="S76" i="9" a="1"/>
  <c r="S76" i="9" s="1"/>
  <c r="S77" i="9" a="1"/>
  <c r="S77" i="9" s="1"/>
  <c r="S78" i="9" a="1"/>
  <c r="S78" i="9" s="1"/>
  <c r="S79" i="9" a="1"/>
  <c r="S79" i="9" s="1"/>
  <c r="S80" i="9" a="1"/>
  <c r="S80" i="9" s="1"/>
  <c r="S81" i="9" a="1"/>
  <c r="S81" i="9" s="1"/>
  <c r="S82" i="9" a="1"/>
  <c r="S82" i="9" s="1"/>
  <c r="S83" i="9" a="1"/>
  <c r="S83" i="9" s="1"/>
  <c r="S84" i="9" a="1"/>
  <c r="S84" i="9" s="1"/>
  <c r="S85" i="9" a="1"/>
  <c r="S85" i="9" s="1"/>
  <c r="S86" i="9" a="1"/>
  <c r="S86" i="9" s="1"/>
  <c r="S87" i="9" a="1"/>
  <c r="S87" i="9" s="1"/>
  <c r="S88" i="9" a="1"/>
  <c r="S88" i="9" s="1"/>
  <c r="S89" i="9" a="1"/>
  <c r="S89" i="9" s="1"/>
  <c r="S90" i="9" a="1"/>
  <c r="S90" i="9" s="1"/>
  <c r="S91" i="9" a="1"/>
  <c r="S91" i="9" s="1"/>
  <c r="S92" i="9" a="1"/>
  <c r="S92" i="9" s="1"/>
  <c r="S93" i="9" a="1"/>
  <c r="S93" i="9" s="1"/>
  <c r="S94" i="9" a="1"/>
  <c r="S94" i="9" s="1"/>
  <c r="S95" i="9" a="1"/>
  <c r="S95" i="9" s="1"/>
  <c r="S96" i="9" a="1"/>
  <c r="S96" i="9" s="1"/>
  <c r="S97" i="9" a="1"/>
  <c r="S97" i="9" s="1"/>
  <c r="S98" i="9" a="1"/>
  <c r="S98" i="9" s="1"/>
  <c r="S99" i="9" a="1"/>
  <c r="S99" i="9" s="1"/>
  <c r="S100" i="9" a="1"/>
  <c r="S100" i="9" s="1"/>
  <c r="S101" i="9" a="1"/>
  <c r="S101" i="9" s="1"/>
  <c r="S102" i="9" a="1"/>
  <c r="S102" i="9" s="1"/>
  <c r="S103" i="9" a="1"/>
  <c r="S103" i="9" s="1"/>
  <c r="S104" i="9" a="1"/>
  <c r="S104" i="9" s="1"/>
  <c r="S105" i="9" a="1"/>
  <c r="S105" i="9" s="1"/>
  <c r="S106" i="9" a="1"/>
  <c r="S106" i="9" s="1"/>
  <c r="S107" i="9" a="1"/>
  <c r="S107" i="9" s="1"/>
  <c r="S108" i="9" a="1"/>
  <c r="S108" i="9" s="1"/>
  <c r="S109" i="9" a="1"/>
  <c r="S109" i="9" s="1"/>
  <c r="S110" i="9" a="1"/>
  <c r="S110" i="9" s="1"/>
  <c r="S111" i="9" a="1"/>
  <c r="S111" i="9" s="1"/>
  <c r="S112" i="9" a="1"/>
  <c r="S112" i="9" s="1"/>
  <c r="S113" i="9" a="1"/>
  <c r="S113" i="9" s="1"/>
  <c r="S114" i="9" a="1"/>
  <c r="S114" i="9" s="1"/>
  <c r="S115" i="9" a="1"/>
  <c r="S115" i="9" s="1"/>
  <c r="S116" i="9" a="1"/>
  <c r="S116" i="9" s="1"/>
  <c r="S117" i="9" a="1"/>
  <c r="S117" i="9" s="1"/>
  <c r="S118" i="9" a="1"/>
  <c r="S118" i="9" s="1"/>
  <c r="S119" i="9" a="1"/>
  <c r="S119" i="9" s="1"/>
  <c r="S120" i="9" a="1"/>
  <c r="S120" i="9" s="1"/>
  <c r="S121" i="9" a="1"/>
  <c r="S121" i="9" s="1"/>
  <c r="S122" i="9" a="1"/>
  <c r="S122" i="9" s="1"/>
  <c r="S123" i="9" a="1"/>
  <c r="S123" i="9" s="1"/>
  <c r="S124" i="9" a="1"/>
  <c r="S124" i="9" s="1"/>
  <c r="S125" i="9" a="1"/>
  <c r="S125" i="9" s="1"/>
  <c r="S126" i="9" a="1"/>
  <c r="S126" i="9" s="1"/>
  <c r="S127" i="9" a="1"/>
  <c r="S127" i="9" s="1"/>
  <c r="S128" i="9" a="1"/>
  <c r="S128" i="9" s="1"/>
  <c r="S129" i="9" a="1"/>
  <c r="S129" i="9" s="1"/>
  <c r="S130" i="9" a="1"/>
  <c r="S130" i="9" s="1"/>
  <c r="S131" i="9" a="1"/>
  <c r="S131" i="9" s="1"/>
  <c r="S132" i="9" a="1"/>
  <c r="S132" i="9" s="1"/>
  <c r="S133" i="9" a="1"/>
  <c r="S133" i="9" s="1"/>
  <c r="S134" i="9" a="1"/>
  <c r="S134" i="9" s="1"/>
  <c r="S135" i="9" a="1"/>
  <c r="S135" i="9" s="1"/>
  <c r="S136" i="9" a="1"/>
  <c r="S136" i="9" s="1"/>
  <c r="S137" i="9" a="1"/>
  <c r="S137" i="9" s="1"/>
  <c r="S144" i="9" a="1"/>
  <c r="S144" i="9" s="1"/>
  <c r="S141" i="9" a="1"/>
  <c r="S141" i="9" s="1"/>
  <c r="S150" i="9" a="1"/>
  <c r="S150" i="9" s="1"/>
  <c r="S145" i="9" a="1"/>
  <c r="S145" i="9" s="1"/>
  <c r="S148" i="9" a="1"/>
  <c r="S148" i="9" s="1"/>
  <c r="S152" i="9" a="1"/>
  <c r="S152" i="9" s="1"/>
  <c r="S157" i="9" a="1"/>
  <c r="S157" i="9" s="1"/>
  <c r="S165" i="9" a="1"/>
  <c r="S165" i="9" s="1"/>
  <c r="S167" i="9" a="1"/>
  <c r="S167" i="9" s="1"/>
  <c r="S156" i="9" a="1"/>
  <c r="S156" i="9" s="1"/>
  <c r="S140" i="9" a="1"/>
  <c r="S140" i="9" s="1"/>
  <c r="S154" i="9" a="1"/>
  <c r="S154" i="9" s="1"/>
  <c r="S162" i="9" a="1"/>
  <c r="S162" i="9" s="1"/>
  <c r="S138" i="9" a="1"/>
  <c r="S138" i="9" s="1"/>
  <c r="S143" i="9" a="1"/>
  <c r="S143" i="9" s="1"/>
  <c r="S159" i="9" a="1"/>
  <c r="S159" i="9" s="1"/>
  <c r="S146" i="9" a="1"/>
  <c r="S146" i="9" s="1"/>
  <c r="S164" i="9" a="1"/>
  <c r="S164" i="9" s="1"/>
  <c r="S153" i="9" a="1"/>
  <c r="S153" i="9" s="1"/>
  <c r="S158" i="9" a="1"/>
  <c r="S158" i="9" s="1"/>
  <c r="S166" i="9" a="1"/>
  <c r="S166" i="9" s="1"/>
  <c r="S139" i="9" a="1"/>
  <c r="S139" i="9" s="1"/>
  <c r="S149" i="9" a="1"/>
  <c r="S149" i="9" s="1"/>
  <c r="S151" i="9" a="1"/>
  <c r="S151" i="9" s="1"/>
  <c r="S155" i="9" a="1"/>
  <c r="S155" i="9" s="1"/>
  <c r="S163" i="9" a="1"/>
  <c r="S163" i="9" s="1"/>
  <c r="S160" i="9" a="1"/>
  <c r="S160" i="9" s="1"/>
  <c r="S161" i="9" a="1"/>
  <c r="S161" i="9" s="1"/>
  <c r="T69" i="9" a="1"/>
  <c r="T69" i="9" s="1"/>
  <c r="T142" i="9" a="1"/>
  <c r="T142" i="9" s="1"/>
  <c r="T139" i="9" a="1"/>
  <c r="T139" i="9" s="1"/>
  <c r="T147" i="9" a="1"/>
  <c r="T147" i="9" s="1"/>
  <c r="T151" i="9" a="1"/>
  <c r="T151" i="9" s="1"/>
  <c r="T70" i="9" a="1"/>
  <c r="T70" i="9" s="1"/>
  <c r="T72" i="9" a="1"/>
  <c r="T72" i="9" s="1"/>
  <c r="T74" i="9" a="1"/>
  <c r="T74" i="9" s="1"/>
  <c r="T76" i="9" a="1"/>
  <c r="T76" i="9" s="1"/>
  <c r="T143" i="9" a="1"/>
  <c r="T143" i="9" s="1"/>
  <c r="T149" i="9" a="1"/>
  <c r="T149" i="9" s="1"/>
  <c r="T153" i="9" a="1"/>
  <c r="T153" i="9" s="1"/>
  <c r="T164" i="9" a="1"/>
  <c r="T164" i="9" s="1"/>
  <c r="T156" i="9" a="1"/>
  <c r="T156" i="9" s="1"/>
  <c r="T146" i="9" a="1"/>
  <c r="T146" i="9" s="1"/>
  <c r="T141" i="9" a="1"/>
  <c r="T141" i="9" s="1"/>
  <c r="T129" i="9" a="1"/>
  <c r="T129" i="9" s="1"/>
  <c r="T126" i="9" a="1"/>
  <c r="T126" i="9" s="1"/>
  <c r="T113" i="9" a="1"/>
  <c r="T113" i="9" s="1"/>
  <c r="T110" i="9" a="1"/>
  <c r="T110" i="9" s="1"/>
  <c r="T97" i="9" a="1"/>
  <c r="T97" i="9" s="1"/>
  <c r="T94" i="9" a="1"/>
  <c r="T94" i="9" s="1"/>
  <c r="T86" i="9" a="1"/>
  <c r="T86" i="9" s="1"/>
  <c r="T79" i="9" a="1"/>
  <c r="T79" i="9" s="1"/>
  <c r="T168" i="9" a="1"/>
  <c r="T168" i="9" s="1"/>
  <c r="T160" i="9" a="1"/>
  <c r="T160" i="9" s="1"/>
  <c r="T137" i="9" a="1"/>
  <c r="T137" i="9" s="1"/>
  <c r="T134" i="9" a="1"/>
  <c r="T134" i="9" s="1"/>
  <c r="T121" i="9" a="1"/>
  <c r="T121" i="9" s="1"/>
  <c r="T118" i="9" a="1"/>
  <c r="T118" i="9" s="1"/>
  <c r="T105" i="9" a="1"/>
  <c r="T105" i="9" s="1"/>
  <c r="T102" i="9" a="1"/>
  <c r="T102" i="9" s="1"/>
  <c r="T83" i="9" a="1"/>
  <c r="T83" i="9" s="1"/>
  <c r="T73" i="9" a="1"/>
  <c r="T73" i="9" s="1"/>
  <c r="T128" i="9" a="1"/>
  <c r="T128" i="9" s="1"/>
  <c r="T115" i="9" a="1"/>
  <c r="T115" i="9" s="1"/>
  <c r="T112" i="9" a="1"/>
  <c r="T112" i="9" s="1"/>
  <c r="T99" i="9" a="1"/>
  <c r="T99" i="9" s="1"/>
  <c r="T96" i="9" a="1"/>
  <c r="T96" i="9" s="1"/>
  <c r="T89" i="9" a="1"/>
  <c r="T89" i="9" s="1"/>
  <c r="T84" i="9" a="1"/>
  <c r="T84" i="9" s="1"/>
  <c r="T75" i="9" a="1"/>
  <c r="T75" i="9" s="1"/>
  <c r="T163" i="9" a="1"/>
  <c r="T163" i="9" s="1"/>
  <c r="T155" i="9" a="1"/>
  <c r="T155" i="9" s="1"/>
  <c r="T127" i="9" a="1"/>
  <c r="T127" i="9" s="1"/>
  <c r="T124" i="9" a="1"/>
  <c r="T124" i="9" s="1"/>
  <c r="T111" i="9" a="1"/>
  <c r="T111" i="9" s="1"/>
  <c r="T108" i="9" a="1"/>
  <c r="T108" i="9" s="1"/>
  <c r="T95" i="9" a="1"/>
  <c r="T95" i="9" s="1"/>
  <c r="T92" i="9" a="1"/>
  <c r="T92" i="9" s="1"/>
  <c r="T88" i="9" a="1"/>
  <c r="T88" i="9" s="1"/>
  <c r="T82" i="9" a="1"/>
  <c r="T82" i="9" s="1"/>
  <c r="T71" i="9" a="1"/>
  <c r="T71" i="9" s="1"/>
  <c r="T40" i="9" a="1"/>
  <c r="T40" i="9" s="1"/>
  <c r="S17" i="9" a="1"/>
  <c r="S17" i="9" s="1"/>
  <c r="T24" i="9" a="1"/>
  <c r="T24" i="9" s="1"/>
  <c r="T56" i="9" a="1"/>
  <c r="T56" i="9" s="1"/>
  <c r="T16" i="9" a="1"/>
  <c r="T16" i="9" s="1"/>
  <c r="S34" i="9" a="1"/>
  <c r="S34" i="9" s="1"/>
  <c r="T51" i="9" a="1"/>
  <c r="T51" i="9" s="1"/>
  <c r="T32" i="9" a="1"/>
  <c r="T32" i="9" s="1"/>
  <c r="S26" i="9" a="1"/>
  <c r="S26" i="9" s="1"/>
  <c r="T9" i="9" a="1"/>
  <c r="T9" i="9" s="1"/>
  <c r="T48" i="9" a="1"/>
  <c r="T48" i="9" s="1"/>
  <c r="T67" i="9" a="1"/>
  <c r="T67" i="9" s="1"/>
  <c r="T43" i="9" a="1"/>
  <c r="T43" i="9" s="1"/>
  <c r="S66" i="9" a="1"/>
  <c r="S66" i="9" s="1"/>
  <c r="S42" i="9" a="1"/>
  <c r="S42" i="9" s="1"/>
  <c r="T59" i="9" a="1"/>
  <c r="T59" i="9" s="1"/>
  <c r="S16" i="9" a="1"/>
  <c r="S16" i="9" s="1"/>
  <c r="S50" i="9" a="1"/>
  <c r="S50" i="9" s="1"/>
  <c r="T15" i="9" a="1"/>
  <c r="T15" i="9" s="1"/>
  <c r="S58" i="9" a="1"/>
  <c r="S58" i="9" s="1"/>
  <c r="T35" i="9" a="1"/>
  <c r="T35" i="9" s="1"/>
  <c r="S13" i="9" a="1"/>
  <c r="S13" i="9" s="1"/>
  <c r="T14" i="9" a="1"/>
  <c r="T14" i="9" s="1"/>
  <c r="S56" i="9" a="1"/>
  <c r="S56" i="9" s="1"/>
  <c r="S40" i="9" a="1"/>
  <c r="S40" i="9" s="1"/>
  <c r="T22" i="9" a="1"/>
  <c r="T22" i="9" s="1"/>
  <c r="S64" i="9" a="1"/>
  <c r="S64" i="9" s="1"/>
  <c r="T54" i="9" a="1"/>
  <c r="T54" i="9" s="1"/>
  <c r="T46" i="9" a="1"/>
  <c r="T46" i="9" s="1"/>
  <c r="T38" i="9" a="1"/>
  <c r="T38" i="9" s="1"/>
  <c r="T30" i="9" a="1"/>
  <c r="T30" i="9" s="1"/>
  <c r="S21" i="9" a="1"/>
  <c r="S21" i="9" s="1"/>
  <c r="T11" i="9" a="1"/>
  <c r="T11" i="9" s="1"/>
  <c r="T64" i="9" a="1"/>
  <c r="T64" i="9" s="1"/>
  <c r="S24" i="9" a="1"/>
  <c r="S24" i="9" s="1"/>
  <c r="S48" i="9" a="1"/>
  <c r="S48" i="9" s="1"/>
  <c r="S32" i="9" a="1"/>
  <c r="S32" i="9" s="1"/>
  <c r="T62" i="9" a="1"/>
  <c r="T62" i="9" s="1"/>
  <c r="S29" i="9" a="1"/>
  <c r="S29" i="9" s="1"/>
  <c r="T19" i="9" a="1"/>
  <c r="T19" i="9" s="1"/>
  <c r="S10" i="9" a="1"/>
  <c r="S10" i="9" s="1"/>
  <c r="S9" i="9" a="1"/>
  <c r="S9" i="9" s="1"/>
  <c r="S61" i="9" a="1"/>
  <c r="S61" i="9" s="1"/>
  <c r="S53" i="9" a="1"/>
  <c r="S53" i="9" s="1"/>
  <c r="S45" i="9" a="1"/>
  <c r="S45" i="9" s="1"/>
  <c r="S37" i="9" a="1"/>
  <c r="S37" i="9" s="1"/>
  <c r="T27" i="9" a="1"/>
  <c r="T27" i="9" s="1"/>
  <c r="S18" i="9" a="1"/>
  <c r="S18" i="9" s="1"/>
  <c r="S68" i="9" a="1"/>
  <c r="S68" i="9" s="1"/>
  <c r="T66" i="9" a="1"/>
  <c r="T66" i="9" s="1"/>
  <c r="S60" i="9" a="1"/>
  <c r="S60" i="9" s="1"/>
  <c r="T58" i="9" a="1"/>
  <c r="T58" i="9" s="1"/>
  <c r="S52" i="9" a="1"/>
  <c r="S52" i="9" s="1"/>
  <c r="T50" i="9" a="1"/>
  <c r="T50" i="9" s="1"/>
  <c r="S44" i="9" a="1"/>
  <c r="S44" i="9" s="1"/>
  <c r="T42" i="9" a="1"/>
  <c r="T42" i="9" s="1"/>
  <c r="S36" i="9" a="1"/>
  <c r="S36" i="9" s="1"/>
  <c r="T34" i="9" a="1"/>
  <c r="T34" i="9" s="1"/>
  <c r="S28" i="9" a="1"/>
  <c r="S28" i="9" s="1"/>
  <c r="T26" i="9" a="1"/>
  <c r="T26" i="9" s="1"/>
  <c r="S20" i="9" a="1"/>
  <c r="S20" i="9" s="1"/>
  <c r="T18" i="9" a="1"/>
  <c r="T18" i="9" s="1"/>
  <c r="S12" i="9" a="1"/>
  <c r="S12" i="9" s="1"/>
  <c r="T10" i="9" a="1"/>
  <c r="T10" i="9" s="1"/>
  <c r="S63" i="9" a="1"/>
  <c r="S63" i="9" s="1"/>
  <c r="T61" i="9" a="1"/>
  <c r="T61" i="9" s="1"/>
  <c r="S55" i="9" a="1"/>
  <c r="S55" i="9" s="1"/>
  <c r="T53" i="9" a="1"/>
  <c r="T53" i="9" s="1"/>
  <c r="S47" i="9" a="1"/>
  <c r="S47" i="9" s="1"/>
  <c r="T45" i="9" a="1"/>
  <c r="T45" i="9" s="1"/>
  <c r="S39" i="9" a="1"/>
  <c r="S39" i="9" s="1"/>
  <c r="T37" i="9" a="1"/>
  <c r="T37" i="9" s="1"/>
  <c r="S31" i="9" a="1"/>
  <c r="S31" i="9" s="1"/>
  <c r="T29" i="9" a="1"/>
  <c r="T29" i="9" s="1"/>
  <c r="S23" i="9" a="1"/>
  <c r="S23" i="9" s="1"/>
  <c r="T21" i="9" a="1"/>
  <c r="T21" i="9" s="1"/>
  <c r="S15" i="9" a="1"/>
  <c r="S15" i="9" s="1"/>
  <c r="T13" i="9" a="1"/>
  <c r="T13" i="9" s="1"/>
  <c r="S67" i="9" a="1"/>
  <c r="S67" i="9" s="1"/>
  <c r="T65" i="9" a="1"/>
  <c r="T65" i="9" s="1"/>
  <c r="S59" i="9" a="1"/>
  <c r="S59" i="9" s="1"/>
  <c r="T57" i="9" a="1"/>
  <c r="T57" i="9" s="1"/>
  <c r="S51" i="9" a="1"/>
  <c r="S51" i="9" s="1"/>
  <c r="T49" i="9" a="1"/>
  <c r="T49" i="9" s="1"/>
  <c r="S43" i="9" a="1"/>
  <c r="S43" i="9" s="1"/>
  <c r="T41" i="9" a="1"/>
  <c r="T41" i="9" s="1"/>
  <c r="S35" i="9" a="1"/>
  <c r="S35" i="9" s="1"/>
  <c r="T33" i="9" a="1"/>
  <c r="T33" i="9" s="1"/>
  <c r="S27" i="9" a="1"/>
  <c r="S27" i="9" s="1"/>
  <c r="T25" i="9" a="1"/>
  <c r="T25" i="9" s="1"/>
  <c r="S19" i="9" a="1"/>
  <c r="S19" i="9" s="1"/>
  <c r="T17" i="9" a="1"/>
  <c r="T17" i="9" s="1"/>
  <c r="S11" i="9" a="1"/>
  <c r="S11" i="9" s="1"/>
  <c r="T68" i="9" a="1"/>
  <c r="T68" i="9" s="1"/>
  <c r="S62" i="9" a="1"/>
  <c r="S62" i="9" s="1"/>
  <c r="T60" i="9" a="1"/>
  <c r="T60" i="9" s="1"/>
  <c r="S54" i="9" a="1"/>
  <c r="S54" i="9" s="1"/>
  <c r="T52" i="9" a="1"/>
  <c r="T52" i="9" s="1"/>
  <c r="S46" i="9" a="1"/>
  <c r="S46" i="9" s="1"/>
  <c r="T44" i="9" a="1"/>
  <c r="T44" i="9" s="1"/>
  <c r="S38" i="9" a="1"/>
  <c r="S38" i="9" s="1"/>
  <c r="T36" i="9" a="1"/>
  <c r="T36" i="9" s="1"/>
  <c r="S30" i="9" a="1"/>
  <c r="S30" i="9" s="1"/>
  <c r="T28" i="9" a="1"/>
  <c r="T28" i="9" s="1"/>
  <c r="S22" i="9" a="1"/>
  <c r="S22" i="9" s="1"/>
  <c r="T20" i="9" a="1"/>
  <c r="T20" i="9" s="1"/>
  <c r="S14" i="9" a="1"/>
  <c r="S14" i="9" s="1"/>
  <c r="T12" i="9" a="1"/>
  <c r="T12" i="9" s="1"/>
  <c r="S65" i="9" a="1"/>
  <c r="S65" i="9" s="1"/>
  <c r="T63" i="9" a="1"/>
  <c r="T63" i="9" s="1"/>
  <c r="S57" i="9" a="1"/>
  <c r="S57" i="9" s="1"/>
  <c r="T55" i="9" a="1"/>
  <c r="T55" i="9" s="1"/>
  <c r="S49" i="9" a="1"/>
  <c r="S49" i="9" s="1"/>
  <c r="T47" i="9" a="1"/>
  <c r="T47" i="9" s="1"/>
  <c r="S41" i="9" a="1"/>
  <c r="S41" i="9" s="1"/>
  <c r="T39" i="9" a="1"/>
  <c r="T39" i="9" s="1"/>
  <c r="S33" i="9" a="1"/>
  <c r="S33" i="9" s="1"/>
  <c r="T31" i="9" a="1"/>
  <c r="T31" i="9" s="1"/>
  <c r="S25" i="9" a="1"/>
  <c r="S25" i="9" s="1"/>
  <c r="T23" i="9" a="1"/>
  <c r="T23" i="9" s="1"/>
  <c r="C15" i="9" a="1"/>
  <c r="C15" i="9" s="1"/>
  <c r="D12" i="9" a="1"/>
  <c r="D12" i="9" s="1"/>
  <c r="C30" i="9" a="1"/>
  <c r="C30" i="9" s="1"/>
  <c r="C32" i="9" a="1"/>
  <c r="C32" i="9" s="1"/>
  <c r="D29" i="9" a="1"/>
  <c r="D29" i="9" s="1"/>
  <c r="C28" i="9" a="1"/>
  <c r="C28" i="9" s="1"/>
  <c r="D25" i="9" a="1"/>
  <c r="D25" i="9" s="1"/>
  <c r="C24" i="9" a="1"/>
  <c r="C24" i="9" s="1"/>
  <c r="D21" i="9" a="1"/>
  <c r="D21" i="9" s="1"/>
  <c r="C20" i="9" a="1"/>
  <c r="C20" i="9" s="1"/>
  <c r="D17" i="9" a="1"/>
  <c r="D17" i="9" s="1"/>
  <c r="C16" i="9" a="1"/>
  <c r="C16" i="9" s="1"/>
  <c r="D13" i="9" a="1"/>
  <c r="D13" i="9" s="1"/>
  <c r="C12" i="9" a="1"/>
  <c r="C12" i="9" s="1"/>
  <c r="D30" i="9" a="1"/>
  <c r="D30" i="9" s="1"/>
  <c r="C29" i="9" a="1"/>
  <c r="C29" i="9" s="1"/>
  <c r="D26" i="9" a="1"/>
  <c r="D26" i="9" s="1"/>
  <c r="C25" i="9" a="1"/>
  <c r="C25" i="9" s="1"/>
  <c r="D22" i="9" a="1"/>
  <c r="D22" i="9" s="1"/>
  <c r="C21" i="9" a="1"/>
  <c r="C21" i="9" s="1"/>
  <c r="D18" i="9" a="1"/>
  <c r="D18" i="9" s="1"/>
  <c r="C17" i="9" a="1"/>
  <c r="C17" i="9" s="1"/>
  <c r="D14" i="9" a="1"/>
  <c r="D14" i="9" s="1"/>
  <c r="C13" i="9" a="1"/>
  <c r="C13" i="9" s="1"/>
  <c r="D11" i="9" a="1"/>
  <c r="D11" i="9" s="1"/>
  <c r="D31" i="9" a="1"/>
  <c r="D31" i="9" s="1"/>
  <c r="C26" i="9" a="1"/>
  <c r="C26" i="9" s="1"/>
  <c r="D23" i="9" a="1"/>
  <c r="D23" i="9" s="1"/>
  <c r="C22" i="9" a="1"/>
  <c r="C22" i="9" s="1"/>
  <c r="D19" i="9" a="1"/>
  <c r="D19" i="9" s="1"/>
  <c r="C18" i="9" a="1"/>
  <c r="C18" i="9" s="1"/>
  <c r="D15" i="9" a="1"/>
  <c r="D15" i="9" s="1"/>
  <c r="C14" i="9" a="1"/>
  <c r="C14" i="9" s="1"/>
  <c r="C11" i="9" a="1"/>
  <c r="C11" i="9" s="1"/>
  <c r="D27" i="9" a="1"/>
  <c r="D27" i="9" s="1"/>
  <c r="D32" i="9" a="1"/>
  <c r="D32" i="9" s="1"/>
  <c r="C31" i="9" a="1"/>
  <c r="C31" i="9" s="1"/>
  <c r="D28" i="9" a="1"/>
  <c r="D28" i="9" s="1"/>
  <c r="C27" i="9" a="1"/>
  <c r="C27" i="9" s="1"/>
  <c r="D24" i="9" a="1"/>
  <c r="D24" i="9" s="1"/>
  <c r="C23" i="9" a="1"/>
  <c r="C23" i="9" s="1"/>
  <c r="D20" i="9" a="1"/>
  <c r="D20" i="9" s="1"/>
  <c r="C19" i="9" a="1"/>
  <c r="C19" i="9" s="1"/>
  <c r="D16" i="9" a="1"/>
  <c r="D16" i="9" s="1"/>
  <c r="F6" i="9" a="1"/>
  <c r="F6" i="9" s="1"/>
  <c r="H6" i="9"/>
  <c r="G6" i="9" a="1"/>
  <c r="G6" i="9" s="1"/>
  <c r="E8" i="9"/>
  <c r="E6" i="9" a="1"/>
  <c r="E6" i="9" s="1"/>
  <c r="N28" i="4" a="1"/>
  <c r="N28" i="4" s="1"/>
  <c r="L22" i="4" a="1"/>
  <c r="L22" i="4" s="1"/>
  <c r="L18" i="4" a="1"/>
  <c r="L18" i="4" s="1"/>
  <c r="O26" i="4" a="1"/>
  <c r="O26" i="4" s="1"/>
  <c r="K22" i="4" a="1"/>
  <c r="K22" i="4" s="1"/>
  <c r="O29" i="4" a="1"/>
  <c r="O29" i="4" s="1"/>
  <c r="N26" i="4" a="1"/>
  <c r="N26" i="4" s="1"/>
  <c r="K25" i="4" a="1"/>
  <c r="K25" i="4" s="1"/>
  <c r="M23" i="4" a="1"/>
  <c r="M23" i="4" s="1"/>
  <c r="O21" i="4" a="1"/>
  <c r="O21" i="4" s="1"/>
  <c r="M26" i="4" a="1"/>
  <c r="M26" i="4" s="1"/>
  <c r="O24" i="4" a="1"/>
  <c r="O24" i="4" s="1"/>
  <c r="L23" i="4" a="1"/>
  <c r="L23" i="4" s="1"/>
  <c r="N21" i="4" a="1"/>
  <c r="N21" i="4" s="1"/>
  <c r="M19" i="4" a="1"/>
  <c r="M19" i="4" s="1"/>
  <c r="M29" i="4" a="1"/>
  <c r="M29" i="4" s="1"/>
  <c r="O27" i="4" a="1"/>
  <c r="O27" i="4" s="1"/>
  <c r="L26" i="4" a="1"/>
  <c r="L26" i="4" s="1"/>
  <c r="N24" i="4" a="1"/>
  <c r="N24" i="4" s="1"/>
  <c r="K23" i="4" a="1"/>
  <c r="K23" i="4" s="1"/>
  <c r="L21" i="4" a="1"/>
  <c r="L21" i="4" s="1"/>
  <c r="K18" i="4" a="1"/>
  <c r="K18" i="4" s="1"/>
  <c r="L29" i="4" a="1"/>
  <c r="L29" i="4" s="1"/>
  <c r="N27" i="4" a="1"/>
  <c r="N27" i="4" s="1"/>
  <c r="K26" i="4" a="1"/>
  <c r="K26" i="4" s="1"/>
  <c r="M24" i="4" a="1"/>
  <c r="M24" i="4" s="1"/>
  <c r="O22" i="4" a="1"/>
  <c r="O22" i="4" s="1"/>
  <c r="K21" i="4" a="1"/>
  <c r="K21" i="4" s="1"/>
  <c r="K19" i="4" a="1"/>
  <c r="K19" i="4" s="1"/>
  <c r="O18" i="4" a="1"/>
  <c r="O18" i="4" s="1"/>
  <c r="K29" i="4" a="1"/>
  <c r="K29" i="4" s="1"/>
  <c r="M27" i="4" a="1"/>
  <c r="M27" i="4" s="1"/>
  <c r="O25" i="4" a="1"/>
  <c r="O25" i="4" s="1"/>
  <c r="L24" i="4" a="1"/>
  <c r="L24" i="4" s="1"/>
  <c r="N22" i="4" a="1"/>
  <c r="N22" i="4" s="1"/>
  <c r="O20" i="4" a="1"/>
  <c r="O20" i="4" s="1"/>
  <c r="N18" i="4" a="1"/>
  <c r="N18" i="4" s="1"/>
  <c r="O28" i="4" a="1"/>
  <c r="O28" i="4" s="1"/>
  <c r="L27" i="4" a="1"/>
  <c r="L27" i="4" s="1"/>
  <c r="N25" i="4" a="1"/>
  <c r="N25" i="4" s="1"/>
  <c r="K24" i="4" a="1"/>
  <c r="K24" i="4" s="1"/>
  <c r="M22" i="4" a="1"/>
  <c r="M22" i="4" s="1"/>
  <c r="N20" i="4" a="1"/>
  <c r="N20" i="4" s="1"/>
  <c r="K27" i="4" a="1"/>
  <c r="K27" i="4" s="1"/>
  <c r="O23" i="4" a="1"/>
  <c r="O23" i="4" s="1"/>
  <c r="M28" i="4" a="1"/>
  <c r="M28" i="4" s="1"/>
  <c r="L20" i="4" a="1"/>
  <c r="L20" i="4" s="1"/>
  <c r="L28" i="4" a="1"/>
  <c r="L28" i="4" s="1"/>
  <c r="N19" i="4" a="1"/>
  <c r="N19" i="4" s="1"/>
  <c r="L19" i="4" a="1"/>
  <c r="L19" i="4" s="1"/>
  <c r="M25" i="4" a="1"/>
  <c r="M25" i="4" s="1"/>
  <c r="N23" i="4" a="1"/>
  <c r="N23" i="4" s="1"/>
  <c r="N29" i="4" a="1"/>
  <c r="N29" i="4" s="1"/>
  <c r="M18" i="4" a="1"/>
  <c r="M18" i="4" s="1"/>
  <c r="M20" i="4" a="1"/>
  <c r="M20" i="4" s="1"/>
  <c r="L25" i="4" a="1"/>
  <c r="L25" i="4" s="1"/>
  <c r="K28" i="4" a="1"/>
  <c r="K28" i="4" s="1"/>
  <c r="K36" i="4"/>
  <c r="O35" i="4"/>
  <c r="K33" i="4"/>
  <c r="N42" i="4"/>
  <c r="M39" i="4"/>
  <c r="L36" i="4"/>
  <c r="K44" i="4"/>
  <c r="O40" i="4"/>
  <c r="N33" i="4"/>
  <c r="L42" i="4"/>
  <c r="M37" i="4"/>
  <c r="K42" i="4"/>
  <c r="K35" i="4"/>
  <c r="M44" i="4"/>
  <c r="O42" i="4"/>
  <c r="L41" i="4"/>
  <c r="N39" i="4"/>
  <c r="K38" i="4"/>
  <c r="M36" i="4"/>
  <c r="L34" i="4"/>
  <c r="L44" i="4"/>
  <c r="K41" i="4"/>
  <c r="O37" i="4"/>
  <c r="O33" i="4"/>
  <c r="L39" i="4"/>
  <c r="O43" i="4"/>
  <c r="N40" i="4"/>
  <c r="M33" i="4"/>
  <c r="M40" i="4"/>
  <c r="L37" i="4"/>
  <c r="L33" i="4"/>
  <c r="M43" i="4"/>
  <c r="O41" i="4"/>
  <c r="L40" i="4"/>
  <c r="N38" i="4"/>
  <c r="K37" i="4"/>
  <c r="O34" i="4"/>
  <c r="O44" i="4"/>
  <c r="L43" i="4"/>
  <c r="N41" i="4"/>
  <c r="K40" i="4"/>
  <c r="M38" i="4"/>
  <c r="O36" i="4"/>
  <c r="N34" i="4"/>
  <c r="M42" i="4"/>
  <c r="N37" i="4"/>
  <c r="K39" i="4"/>
  <c r="N43" i="4"/>
  <c r="O38" i="4"/>
  <c r="N44" i="4"/>
  <c r="K43" i="4"/>
  <c r="M41" i="4"/>
  <c r="O39" i="4"/>
  <c r="L38" i="4"/>
  <c r="N36" i="4"/>
  <c r="M34" i="4"/>
  <c r="N35" i="4"/>
  <c r="L35" i="4"/>
  <c r="K34" i="4"/>
  <c r="K20" i="4" a="1"/>
  <c r="K20" i="4" s="1"/>
  <c r="M21" i="4" a="1"/>
  <c r="M21" i="4" s="1"/>
  <c r="L1" i="7" a="1"/>
  <c r="L1" i="7" s="1"/>
  <c r="O14" i="4" a="1"/>
  <c r="O14" i="4" s="1"/>
  <c r="K5" i="4" a="1"/>
  <c r="K5" i="4" s="1"/>
  <c r="K10" i="4" a="1"/>
  <c r="K10" i="4" s="1"/>
  <c r="M10" i="4" a="1"/>
  <c r="M10" i="4" s="1"/>
  <c r="O13" i="4" a="1"/>
  <c r="O13" i="4" s="1"/>
  <c r="L7" i="4" a="1"/>
  <c r="L7" i="4" s="1"/>
  <c r="M3" i="4" a="1"/>
  <c r="M3" i="4" s="1"/>
  <c r="O6" i="4" a="1"/>
  <c r="O6" i="4" s="1"/>
  <c r="L3" i="4" a="1"/>
  <c r="L3" i="4" s="1"/>
  <c r="K7" i="4" a="1"/>
  <c r="K7" i="4" s="1"/>
  <c r="L8" i="4" a="1"/>
  <c r="L8" i="4" s="1"/>
  <c r="K6" i="4" a="1"/>
  <c r="K6" i="4" s="1"/>
  <c r="L35" i="7" a="1"/>
  <c r="L35" i="7" s="1"/>
  <c r="F56" i="1"/>
  <c r="G56" i="1" s="1"/>
  <c r="P33" i="5" s="1"/>
  <c r="K50" i="5" s="1"/>
  <c r="B60" i="2"/>
  <c r="B61" i="2"/>
  <c r="B59" i="2"/>
  <c r="B45" i="2" s="1"/>
  <c r="C58" i="2"/>
  <c r="D61" i="2"/>
  <c r="D58" i="2"/>
  <c r="D60" i="2"/>
  <c r="C61" i="2"/>
  <c r="C60" i="2"/>
  <c r="F55" i="1"/>
  <c r="G55" i="1" s="1"/>
  <c r="P32" i="5" s="1"/>
  <c r="K49" i="5" s="1"/>
  <c r="F54" i="1"/>
  <c r="G54" i="1" s="1"/>
  <c r="E47" i="1"/>
  <c r="F47" i="1" s="1"/>
  <c r="E45" i="1"/>
  <c r="E48" i="1"/>
  <c r="F48" i="1" s="1"/>
  <c r="E46" i="1"/>
  <c r="F46" i="1" s="1"/>
  <c r="U140" i="9" l="1" a="1"/>
  <c r="U140" i="9" s="1"/>
  <c r="U69" i="9" a="1"/>
  <c r="U69" i="9" s="1"/>
  <c r="U71" i="9" a="1"/>
  <c r="U71" i="9" s="1"/>
  <c r="U73" i="9" a="1"/>
  <c r="U73" i="9" s="1"/>
  <c r="U75" i="9" a="1"/>
  <c r="U75" i="9" s="1"/>
  <c r="U77" i="9" a="1"/>
  <c r="U77" i="9" s="1"/>
  <c r="U79" i="9" a="1"/>
  <c r="U79" i="9" s="1"/>
  <c r="U81" i="9" a="1"/>
  <c r="U81" i="9" s="1"/>
  <c r="U83" i="9" a="1"/>
  <c r="U83" i="9" s="1"/>
  <c r="U85" i="9" a="1"/>
  <c r="U85" i="9" s="1"/>
  <c r="U87" i="9" a="1"/>
  <c r="U87" i="9" s="1"/>
  <c r="U89" i="9" a="1"/>
  <c r="U89" i="9" s="1"/>
  <c r="U91" i="9" a="1"/>
  <c r="U91" i="9" s="1"/>
  <c r="U93" i="9" a="1"/>
  <c r="U93" i="9" s="1"/>
  <c r="U95" i="9" a="1"/>
  <c r="U95" i="9" s="1"/>
  <c r="U97" i="9" a="1"/>
  <c r="U97" i="9" s="1"/>
  <c r="U99" i="9" a="1"/>
  <c r="U99" i="9" s="1"/>
  <c r="U101" i="9" a="1"/>
  <c r="U101" i="9" s="1"/>
  <c r="U103" i="9" a="1"/>
  <c r="U103" i="9" s="1"/>
  <c r="U105" i="9" a="1"/>
  <c r="U105" i="9" s="1"/>
  <c r="U107" i="9" a="1"/>
  <c r="U107" i="9" s="1"/>
  <c r="U109" i="9" a="1"/>
  <c r="U109" i="9" s="1"/>
  <c r="U111" i="9" a="1"/>
  <c r="U111" i="9" s="1"/>
  <c r="U113" i="9" a="1"/>
  <c r="U113" i="9" s="1"/>
  <c r="U115" i="9" a="1"/>
  <c r="U115" i="9" s="1"/>
  <c r="U117" i="9" a="1"/>
  <c r="U117" i="9" s="1"/>
  <c r="U119" i="9" a="1"/>
  <c r="U119" i="9" s="1"/>
  <c r="U121" i="9" a="1"/>
  <c r="U121" i="9" s="1"/>
  <c r="U123" i="9" a="1"/>
  <c r="U123" i="9" s="1"/>
  <c r="U125" i="9" a="1"/>
  <c r="U125" i="9" s="1"/>
  <c r="U127" i="9" a="1"/>
  <c r="U127" i="9" s="1"/>
  <c r="U129" i="9" a="1"/>
  <c r="U129" i="9" s="1"/>
  <c r="U131" i="9" a="1"/>
  <c r="U131" i="9" s="1"/>
  <c r="U133" i="9" a="1"/>
  <c r="U133" i="9" s="1"/>
  <c r="U135" i="9" a="1"/>
  <c r="U135" i="9" s="1"/>
  <c r="U137" i="9" a="1"/>
  <c r="U137" i="9" s="1"/>
  <c r="U145" i="9" a="1"/>
  <c r="U145" i="9" s="1"/>
  <c r="U148" i="9" a="1"/>
  <c r="U148" i="9" s="1"/>
  <c r="U152" i="9" a="1"/>
  <c r="U152" i="9" s="1"/>
  <c r="U70" i="9" a="1"/>
  <c r="U70" i="9" s="1"/>
  <c r="U72" i="9" a="1"/>
  <c r="U72" i="9" s="1"/>
  <c r="U74" i="9" a="1"/>
  <c r="U74" i="9" s="1"/>
  <c r="U76" i="9" a="1"/>
  <c r="U76" i="9" s="1"/>
  <c r="U78" i="9" a="1"/>
  <c r="U78" i="9" s="1"/>
  <c r="U80" i="9" a="1"/>
  <c r="U80" i="9" s="1"/>
  <c r="U82" i="9" a="1"/>
  <c r="U82" i="9" s="1"/>
  <c r="U84" i="9" a="1"/>
  <c r="U84" i="9" s="1"/>
  <c r="U86" i="9" a="1"/>
  <c r="U86" i="9" s="1"/>
  <c r="U88" i="9" a="1"/>
  <c r="U88" i="9" s="1"/>
  <c r="U90" i="9" a="1"/>
  <c r="U90" i="9" s="1"/>
  <c r="U92" i="9" a="1"/>
  <c r="U92" i="9" s="1"/>
  <c r="U94" i="9" a="1"/>
  <c r="U94" i="9" s="1"/>
  <c r="U96" i="9" a="1"/>
  <c r="U96" i="9" s="1"/>
  <c r="U98" i="9" a="1"/>
  <c r="U98" i="9" s="1"/>
  <c r="U100" i="9" a="1"/>
  <c r="U100" i="9" s="1"/>
  <c r="U102" i="9" a="1"/>
  <c r="U102" i="9" s="1"/>
  <c r="U104" i="9" a="1"/>
  <c r="U104" i="9" s="1"/>
  <c r="U106" i="9" a="1"/>
  <c r="U106" i="9" s="1"/>
  <c r="U108" i="9" a="1"/>
  <c r="U108" i="9" s="1"/>
  <c r="U110" i="9" a="1"/>
  <c r="U110" i="9" s="1"/>
  <c r="U112" i="9" a="1"/>
  <c r="U112" i="9" s="1"/>
  <c r="U114" i="9" a="1"/>
  <c r="U114" i="9" s="1"/>
  <c r="U116" i="9" a="1"/>
  <c r="U116" i="9" s="1"/>
  <c r="U118" i="9" a="1"/>
  <c r="U118" i="9" s="1"/>
  <c r="U120" i="9" a="1"/>
  <c r="U120" i="9" s="1"/>
  <c r="U122" i="9" a="1"/>
  <c r="U122" i="9" s="1"/>
  <c r="U124" i="9" a="1"/>
  <c r="U124" i="9" s="1"/>
  <c r="U126" i="9" a="1"/>
  <c r="U126" i="9" s="1"/>
  <c r="U128" i="9" a="1"/>
  <c r="U128" i="9" s="1"/>
  <c r="U130" i="9" a="1"/>
  <c r="U130" i="9" s="1"/>
  <c r="U132" i="9" a="1"/>
  <c r="U132" i="9" s="1"/>
  <c r="U134" i="9" a="1"/>
  <c r="U134" i="9" s="1"/>
  <c r="U136" i="9" a="1"/>
  <c r="U136" i="9" s="1"/>
  <c r="U141" i="9" a="1"/>
  <c r="U141" i="9" s="1"/>
  <c r="U150" i="9" a="1"/>
  <c r="U150" i="9" s="1"/>
  <c r="U139" i="9" a="1"/>
  <c r="U139" i="9" s="1"/>
  <c r="U144" i="9" a="1"/>
  <c r="U144" i="9" s="1"/>
  <c r="U151" i="9" a="1"/>
  <c r="U151" i="9" s="1"/>
  <c r="U153" i="9" a="1"/>
  <c r="U153" i="9" s="1"/>
  <c r="U158" i="9" a="1"/>
  <c r="U158" i="9" s="1"/>
  <c r="U166" i="9" a="1"/>
  <c r="U166" i="9" s="1"/>
  <c r="U168" i="9" a="1"/>
  <c r="U168" i="9" s="1"/>
  <c r="U157" i="9" a="1"/>
  <c r="U157" i="9" s="1"/>
  <c r="U154" i="9" a="1"/>
  <c r="U154" i="9" s="1"/>
  <c r="U142" i="9" a="1"/>
  <c r="U142" i="9" s="1"/>
  <c r="U147" i="9" a="1"/>
  <c r="U147" i="9" s="1"/>
  <c r="U149" i="9" a="1"/>
  <c r="U149" i="9" s="1"/>
  <c r="U155" i="9" a="1"/>
  <c r="U155" i="9" s="1"/>
  <c r="U163" i="9" a="1"/>
  <c r="U163" i="9" s="1"/>
  <c r="U160" i="9" a="1"/>
  <c r="U160" i="9" s="1"/>
  <c r="U165" i="9" a="1"/>
  <c r="U165" i="9" s="1"/>
  <c r="U138" i="9" a="1"/>
  <c r="U138" i="9" s="1"/>
  <c r="U143" i="9" a="1"/>
  <c r="U143" i="9" s="1"/>
  <c r="U159" i="9" a="1"/>
  <c r="U159" i="9" s="1"/>
  <c r="U167" i="9" a="1"/>
  <c r="U167" i="9" s="1"/>
  <c r="U146" i="9" a="1"/>
  <c r="U146" i="9" s="1"/>
  <c r="U156" i="9" a="1"/>
  <c r="U156" i="9" s="1"/>
  <c r="U164" i="9" a="1"/>
  <c r="U164" i="9" s="1"/>
  <c r="U162" i="9" a="1"/>
  <c r="U162" i="9" s="1"/>
  <c r="U161" i="9" a="1"/>
  <c r="U161" i="9" s="1"/>
  <c r="U10" i="9" a="1"/>
  <c r="U10" i="9" s="1"/>
  <c r="U18" i="9" a="1"/>
  <c r="U18" i="9" s="1"/>
  <c r="U26" i="9" a="1"/>
  <c r="U26" i="9" s="1"/>
  <c r="U34" i="9" a="1"/>
  <c r="U34" i="9" s="1"/>
  <c r="U42" i="9" a="1"/>
  <c r="U42" i="9" s="1"/>
  <c r="U50" i="9" a="1"/>
  <c r="U50" i="9" s="1"/>
  <c r="U58" i="9" a="1"/>
  <c r="U58" i="9" s="1"/>
  <c r="U66" i="9" a="1"/>
  <c r="U66" i="9" s="1"/>
  <c r="U15" i="9" a="1"/>
  <c r="U15" i="9" s="1"/>
  <c r="U23" i="9" a="1"/>
  <c r="U23" i="9" s="1"/>
  <c r="U31" i="9" a="1"/>
  <c r="U31" i="9" s="1"/>
  <c r="U39" i="9" a="1"/>
  <c r="U39" i="9" s="1"/>
  <c r="U47" i="9" a="1"/>
  <c r="U47" i="9" s="1"/>
  <c r="U55" i="9" a="1"/>
  <c r="U55" i="9" s="1"/>
  <c r="U63" i="9" a="1"/>
  <c r="U63" i="9" s="1"/>
  <c r="U17" i="9" a="1"/>
  <c r="U17" i="9" s="1"/>
  <c r="U41" i="9" a="1"/>
  <c r="U41" i="9" s="1"/>
  <c r="U12" i="9" a="1"/>
  <c r="U12" i="9" s="1"/>
  <c r="U20" i="9" a="1"/>
  <c r="U20" i="9" s="1"/>
  <c r="U28" i="9" a="1"/>
  <c r="U28" i="9" s="1"/>
  <c r="U36" i="9" a="1"/>
  <c r="U36" i="9" s="1"/>
  <c r="U44" i="9" a="1"/>
  <c r="U44" i="9" s="1"/>
  <c r="U52" i="9" a="1"/>
  <c r="U52" i="9" s="1"/>
  <c r="U60" i="9" a="1"/>
  <c r="U60" i="9" s="1"/>
  <c r="U68" i="9" a="1"/>
  <c r="U68" i="9" s="1"/>
  <c r="U33" i="9" a="1"/>
  <c r="U33" i="9" s="1"/>
  <c r="U11" i="9" a="1"/>
  <c r="U11" i="9" s="1"/>
  <c r="U19" i="9" a="1"/>
  <c r="U19" i="9" s="1"/>
  <c r="U27" i="9" a="1"/>
  <c r="U27" i="9" s="1"/>
  <c r="U16" i="9" a="1"/>
  <c r="U16" i="9" s="1"/>
  <c r="U24" i="9" a="1"/>
  <c r="U24" i="9" s="1"/>
  <c r="U32" i="9" a="1"/>
  <c r="U32" i="9" s="1"/>
  <c r="U40" i="9" a="1"/>
  <c r="U40" i="9" s="1"/>
  <c r="U48" i="9" a="1"/>
  <c r="U48" i="9" s="1"/>
  <c r="U56" i="9" a="1"/>
  <c r="U56" i="9" s="1"/>
  <c r="U64" i="9" a="1"/>
  <c r="U64" i="9" s="1"/>
  <c r="U13" i="9" a="1"/>
  <c r="U13" i="9" s="1"/>
  <c r="U21" i="9" a="1"/>
  <c r="U21" i="9" s="1"/>
  <c r="U29" i="9" a="1"/>
  <c r="U29" i="9" s="1"/>
  <c r="U37" i="9" a="1"/>
  <c r="U37" i="9" s="1"/>
  <c r="U45" i="9" a="1"/>
  <c r="U45" i="9" s="1"/>
  <c r="U53" i="9" a="1"/>
  <c r="U53" i="9" s="1"/>
  <c r="U61" i="9" a="1"/>
  <c r="U61" i="9" s="1"/>
  <c r="U49" i="9" a="1"/>
  <c r="U49" i="9" s="1"/>
  <c r="U25" i="9" a="1"/>
  <c r="U25" i="9" s="1"/>
  <c r="U62" i="9" a="1"/>
  <c r="U62" i="9" s="1"/>
  <c r="U59" i="9" a="1"/>
  <c r="U59" i="9" s="1"/>
  <c r="U65" i="9" a="1"/>
  <c r="U65" i="9" s="1"/>
  <c r="U38" i="9" a="1"/>
  <c r="U38" i="9" s="1"/>
  <c r="U43" i="9" a="1"/>
  <c r="U43" i="9" s="1"/>
  <c r="U54" i="9" a="1"/>
  <c r="U54" i="9" s="1"/>
  <c r="U67" i="9" a="1"/>
  <c r="U67" i="9" s="1"/>
  <c r="U9" i="9" a="1"/>
  <c r="U9" i="9" s="1"/>
  <c r="U14" i="9" a="1"/>
  <c r="U14" i="9" s="1"/>
  <c r="U22" i="9" a="1"/>
  <c r="U22" i="9" s="1"/>
  <c r="U35" i="9" a="1"/>
  <c r="U35" i="9" s="1"/>
  <c r="U46" i="9" a="1"/>
  <c r="U46" i="9" s="1"/>
  <c r="U51" i="9" a="1"/>
  <c r="U51" i="9" s="1"/>
  <c r="U30" i="9" a="1"/>
  <c r="U30" i="9" s="1"/>
  <c r="U57" i="9" a="1"/>
  <c r="U57" i="9" s="1"/>
  <c r="E13" i="9" a="1"/>
  <c r="E13" i="9" s="1"/>
  <c r="E17" i="9" a="1"/>
  <c r="E17" i="9" s="1"/>
  <c r="E21" i="9" a="1"/>
  <c r="E21" i="9" s="1"/>
  <c r="E25" i="9" a="1"/>
  <c r="E25" i="9" s="1"/>
  <c r="E29" i="9" a="1"/>
  <c r="E29" i="9" s="1"/>
  <c r="E24" i="9" a="1"/>
  <c r="E24" i="9" s="1"/>
  <c r="E12" i="9" a="1"/>
  <c r="E12" i="9" s="1"/>
  <c r="E16" i="9" a="1"/>
  <c r="E16" i="9" s="1"/>
  <c r="E20" i="9" a="1"/>
  <c r="E20" i="9" s="1"/>
  <c r="E28" i="9" a="1"/>
  <c r="E28" i="9" s="1"/>
  <c r="E32" i="9" a="1"/>
  <c r="E32" i="9" s="1"/>
  <c r="E11" i="9" a="1"/>
  <c r="E11" i="9" s="1"/>
  <c r="E15" i="9" a="1"/>
  <c r="E15" i="9" s="1"/>
  <c r="E19" i="9" a="1"/>
  <c r="E19" i="9" s="1"/>
  <c r="E23" i="9" a="1"/>
  <c r="E23" i="9" s="1"/>
  <c r="E27" i="9" a="1"/>
  <c r="E27" i="9" s="1"/>
  <c r="E31" i="9" a="1"/>
  <c r="E31" i="9" s="1"/>
  <c r="E14" i="9" a="1"/>
  <c r="E14" i="9" s="1"/>
  <c r="E18" i="9" a="1"/>
  <c r="E18" i="9" s="1"/>
  <c r="E22" i="9" a="1"/>
  <c r="E22" i="9" s="1"/>
  <c r="E26" i="9" a="1"/>
  <c r="E26" i="9" s="1"/>
  <c r="E30" i="9" a="1"/>
  <c r="E30" i="9" s="1"/>
  <c r="E9" i="9" a="1"/>
  <c r="E9" i="9" s="1"/>
  <c r="E10" i="9" a="1"/>
  <c r="E10" i="9" s="1"/>
  <c r="E3" i="8" a="1"/>
  <c r="E3" i="8" s="1"/>
  <c r="M3" i="8" s="1"/>
  <c r="M18" i="8" s="1"/>
  <c r="D3" i="8" a="1"/>
  <c r="D3" i="8" s="1"/>
  <c r="L3" i="8" s="1"/>
  <c r="L18" i="8" s="1"/>
  <c r="G6" i="8" a="1"/>
  <c r="G6" i="8" s="1"/>
  <c r="O6" i="8" s="1"/>
  <c r="O21" i="8" s="1"/>
  <c r="C10" i="8" a="1"/>
  <c r="C10" i="8" s="1"/>
  <c r="K10" i="8" s="1"/>
  <c r="K25" i="8" s="1"/>
  <c r="C6" i="8" a="1"/>
  <c r="C6" i="8" s="1"/>
  <c r="K6" i="8" s="1"/>
  <c r="K21" i="8" s="1"/>
  <c r="C7" i="8" a="1"/>
  <c r="C7" i="8" s="1"/>
  <c r="K7" i="8" s="1"/>
  <c r="K22" i="8" s="1"/>
  <c r="C5" i="8" a="1"/>
  <c r="C5" i="8" s="1"/>
  <c r="K5" i="8" s="1"/>
  <c r="K20" i="8" s="1"/>
  <c r="G14" i="8" a="1"/>
  <c r="G14" i="8" s="1"/>
  <c r="O14" i="8" s="1"/>
  <c r="O29" i="8" s="1"/>
  <c r="E10" i="8" a="1"/>
  <c r="E10" i="8" s="1"/>
  <c r="M10" i="8" s="1"/>
  <c r="M25" i="8" s="1"/>
  <c r="D8" i="8" a="1"/>
  <c r="D8" i="8" s="1"/>
  <c r="L8" i="8" s="1"/>
  <c r="L23" i="8" s="1"/>
  <c r="D7" i="8" a="1"/>
  <c r="D7" i="8" s="1"/>
  <c r="L7" i="8" s="1"/>
  <c r="L22" i="8" s="1"/>
  <c r="G13" i="8" a="1"/>
  <c r="G13" i="8" s="1"/>
  <c r="O13" i="8" s="1"/>
  <c r="O28" i="8" s="1"/>
  <c r="O8" i="4" a="1"/>
  <c r="O8" i="4" s="1"/>
  <c r="G8" i="8" s="1" a="1"/>
  <c r="G8" i="8" s="1"/>
  <c r="O8" i="8" s="1"/>
  <c r="O23" i="8" s="1"/>
  <c r="K11" i="4" a="1"/>
  <c r="K11" i="4" s="1"/>
  <c r="C11" i="8" s="1" a="1"/>
  <c r="C11" i="8" s="1"/>
  <c r="K11" i="8" s="1"/>
  <c r="K26" i="8" s="1"/>
  <c r="P31" i="5"/>
  <c r="K48" i="5" s="1"/>
  <c r="J19" i="2" a="1"/>
  <c r="K9" i="4" a="1"/>
  <c r="K9" i="4" s="1"/>
  <c r="C9" i="8" s="1" a="1"/>
  <c r="C9" i="8" s="1"/>
  <c r="K9" i="8" s="1"/>
  <c r="K24" i="8" s="1"/>
  <c r="M5" i="4" a="1"/>
  <c r="M5" i="4" s="1"/>
  <c r="E5" i="8" s="1" a="1"/>
  <c r="E5" i="8" s="1"/>
  <c r="M5" i="8" s="1"/>
  <c r="M20" i="8" s="1"/>
  <c r="O12" i="4" a="1"/>
  <c r="O12" i="4" s="1"/>
  <c r="G12" i="8" s="1" a="1"/>
  <c r="G12" i="8" s="1"/>
  <c r="O12" i="8" s="1"/>
  <c r="O27" i="8" s="1"/>
  <c r="O3" i="4" a="1"/>
  <c r="O3" i="4" s="1"/>
  <c r="G3" i="8" s="1" a="1"/>
  <c r="G3" i="8" s="1"/>
  <c r="O3" i="8" s="1"/>
  <c r="O18" i="8" s="1"/>
  <c r="O4" i="4" a="1"/>
  <c r="O4" i="4" s="1"/>
  <c r="G4" i="8" s="1" a="1"/>
  <c r="G4" i="8" s="1"/>
  <c r="O4" i="8" s="1"/>
  <c r="O19" i="8" s="1"/>
  <c r="M13" i="4" a="1"/>
  <c r="M13" i="4" s="1"/>
  <c r="E13" i="8" s="1" a="1"/>
  <c r="E13" i="8" s="1"/>
  <c r="M13" i="8" s="1"/>
  <c r="M28" i="8" s="1"/>
  <c r="N5" i="4" a="1"/>
  <c r="N5" i="4" s="1"/>
  <c r="F5" i="8" s="1" a="1"/>
  <c r="F5" i="8" s="1"/>
  <c r="N5" i="8" s="1"/>
  <c r="N20" i="8" s="1"/>
  <c r="K8" i="4" a="1"/>
  <c r="K8" i="4" s="1"/>
  <c r="C8" i="8" s="1" a="1"/>
  <c r="C8" i="8" s="1"/>
  <c r="K8" i="8" s="1"/>
  <c r="K23" i="8" s="1"/>
  <c r="L5" i="4" a="1"/>
  <c r="L5" i="4" s="1"/>
  <c r="D5" i="8" s="1" a="1"/>
  <c r="D5" i="8" s="1"/>
  <c r="L5" i="8" s="1"/>
  <c r="L20" i="8" s="1"/>
  <c r="G3" i="9" a="1"/>
  <c r="G3" i="9" s="1"/>
  <c r="N9" i="4" a="1"/>
  <c r="N9" i="4" s="1"/>
  <c r="F9" i="8" s="1" a="1"/>
  <c r="F9" i="8" s="1"/>
  <c r="N9" i="8" s="1"/>
  <c r="N24" i="8" s="1"/>
  <c r="K14" i="4" a="1"/>
  <c r="K14" i="4" s="1"/>
  <c r="C14" i="8" s="1" a="1"/>
  <c r="C14" i="8" s="1"/>
  <c r="K14" i="8" s="1"/>
  <c r="K29" i="8" s="1"/>
  <c r="N13" i="4" a="1"/>
  <c r="N13" i="4" s="1"/>
  <c r="F13" i="8" s="1" a="1"/>
  <c r="F13" i="8" s="1"/>
  <c r="N13" i="8" s="1"/>
  <c r="N28" i="8" s="1"/>
  <c r="K4" i="4" a="1"/>
  <c r="K4" i="4" s="1"/>
  <c r="C4" i="8" s="1" a="1"/>
  <c r="C4" i="8" s="1"/>
  <c r="K4" i="8" s="1"/>
  <c r="K19" i="8" s="1"/>
  <c r="L4" i="4" a="1"/>
  <c r="L4" i="4" s="1"/>
  <c r="D4" i="8" s="1" a="1"/>
  <c r="D4" i="8" s="1"/>
  <c r="L4" i="8" s="1"/>
  <c r="L19" i="8" s="1"/>
  <c r="N10" i="4" a="1"/>
  <c r="N10" i="4" s="1"/>
  <c r="F10" i="8" s="1" a="1"/>
  <c r="F10" i="8" s="1"/>
  <c r="N10" i="8" s="1"/>
  <c r="N25" i="8" s="1"/>
  <c r="N4" i="4" a="1"/>
  <c r="N4" i="4" s="1"/>
  <c r="F4" i="8" s="1" a="1"/>
  <c r="F4" i="8" s="1"/>
  <c r="N4" i="8" s="1"/>
  <c r="N19" i="8" s="1"/>
  <c r="L17" i="7" a="1"/>
  <c r="L17" i="7" s="1"/>
  <c r="O10" i="4" a="1"/>
  <c r="O10" i="4" s="1"/>
  <c r="G10" i="8" s="1" a="1"/>
  <c r="G10" i="8" s="1"/>
  <c r="O10" i="8" s="1"/>
  <c r="O25" i="8" s="1"/>
  <c r="N14" i="4" a="1"/>
  <c r="N14" i="4" s="1"/>
  <c r="F14" i="8" s="1" a="1"/>
  <c r="F14" i="8" s="1"/>
  <c r="N14" i="8" s="1"/>
  <c r="N29" i="8" s="1"/>
  <c r="M14" i="4" a="1"/>
  <c r="M14" i="4" s="1"/>
  <c r="E14" i="8" s="1" a="1"/>
  <c r="E14" i="8" s="1"/>
  <c r="M14" i="8" s="1"/>
  <c r="M29" i="8" s="1"/>
  <c r="O5" i="4" a="1"/>
  <c r="O5" i="4" s="1"/>
  <c r="G5" i="8" s="1" a="1"/>
  <c r="G5" i="8" s="1"/>
  <c r="O5" i="8" s="1"/>
  <c r="O20" i="8" s="1"/>
  <c r="N3" i="4" a="1"/>
  <c r="N3" i="4" s="1"/>
  <c r="F3" i="8" s="1" a="1"/>
  <c r="F3" i="8" s="1"/>
  <c r="N3" i="8" s="1"/>
  <c r="N18" i="8" s="1"/>
  <c r="L6" i="4" a="1"/>
  <c r="L6" i="4" s="1"/>
  <c r="D6" i="8" s="1" a="1"/>
  <c r="D6" i="8" s="1"/>
  <c r="L6" i="8" s="1"/>
  <c r="L21" i="8" s="1"/>
  <c r="L9" i="4" a="1"/>
  <c r="L9" i="4" s="1"/>
  <c r="D9" i="8" s="1" a="1"/>
  <c r="D9" i="8" s="1"/>
  <c r="L9" i="8" s="1"/>
  <c r="L24" i="8" s="1"/>
  <c r="M8" i="4" a="1"/>
  <c r="M8" i="4" s="1"/>
  <c r="E8" i="8" s="1" a="1"/>
  <c r="E8" i="8" s="1"/>
  <c r="M8" i="8" s="1"/>
  <c r="M23" i="8" s="1"/>
  <c r="N8" i="4" a="1"/>
  <c r="N8" i="4" s="1"/>
  <c r="F8" i="8" s="1" a="1"/>
  <c r="F8" i="8" s="1"/>
  <c r="N8" i="8" s="1"/>
  <c r="N23" i="8" s="1"/>
  <c r="L13" i="4" a="1"/>
  <c r="L13" i="4" s="1"/>
  <c r="D13" i="8" s="1" a="1"/>
  <c r="D13" i="8" s="1"/>
  <c r="L13" i="8" s="1"/>
  <c r="L28" i="8" s="1"/>
  <c r="M12" i="4" a="1"/>
  <c r="M12" i="4" s="1"/>
  <c r="E12" i="8" s="1" a="1"/>
  <c r="E12" i="8" s="1"/>
  <c r="M12" i="8" s="1"/>
  <c r="M27" i="8" s="1"/>
  <c r="O7" i="4" a="1"/>
  <c r="O7" i="4" s="1"/>
  <c r="G7" i="8" s="1" a="1"/>
  <c r="G7" i="8" s="1"/>
  <c r="O7" i="8" s="1"/>
  <c r="O22" i="8" s="1"/>
  <c r="M6" i="4" a="1"/>
  <c r="M6" i="4" s="1"/>
  <c r="E6" i="8" s="1" a="1"/>
  <c r="E6" i="8" s="1"/>
  <c r="M6" i="8" s="1"/>
  <c r="M21" i="8" s="1"/>
  <c r="O9" i="4" a="1"/>
  <c r="O9" i="4" s="1"/>
  <c r="G9" i="8" s="1" a="1"/>
  <c r="G9" i="8" s="1"/>
  <c r="O9" i="8" s="1"/>
  <c r="O24" i="8" s="1"/>
  <c r="L12" i="4" a="1"/>
  <c r="L12" i="4" s="1"/>
  <c r="D12" i="8" s="1" a="1"/>
  <c r="D12" i="8" s="1"/>
  <c r="L12" i="8" s="1"/>
  <c r="L27" i="8" s="1"/>
  <c r="N6" i="4" a="1"/>
  <c r="N6" i="4" s="1"/>
  <c r="F6" i="8" s="1" a="1"/>
  <c r="F6" i="8" s="1"/>
  <c r="N6" i="8" s="1"/>
  <c r="N21" i="8" s="1"/>
  <c r="L14" i="4" a="1"/>
  <c r="L14" i="4" s="1"/>
  <c r="D14" i="8" s="1" a="1"/>
  <c r="D14" i="8" s="1"/>
  <c r="L14" i="8" s="1"/>
  <c r="L29" i="8" s="1"/>
  <c r="K3" i="4" a="1"/>
  <c r="K3" i="4" s="1"/>
  <c r="C3" i="8" s="1" a="1"/>
  <c r="C3" i="8" s="1"/>
  <c r="M4" i="4" a="1"/>
  <c r="M4" i="4" s="1"/>
  <c r="E4" i="8" s="1" a="1"/>
  <c r="E4" i="8" s="1"/>
  <c r="M4" i="8" s="1"/>
  <c r="M19" i="8" s="1"/>
  <c r="N12" i="4" a="1"/>
  <c r="N12" i="4" s="1"/>
  <c r="F12" i="8" s="1" a="1"/>
  <c r="F12" i="8" s="1"/>
  <c r="N12" i="8" s="1"/>
  <c r="N27" i="8" s="1"/>
  <c r="M9" i="4" a="1"/>
  <c r="M9" i="4" s="1"/>
  <c r="E9" i="8" s="1" a="1"/>
  <c r="E9" i="8" s="1"/>
  <c r="M9" i="8" s="1"/>
  <c r="M24" i="8" s="1"/>
  <c r="K12" i="4" a="1"/>
  <c r="K12" i="4" s="1"/>
  <c r="C12" i="8" s="1" a="1"/>
  <c r="C12" i="8" s="1"/>
  <c r="K12" i="8" s="1"/>
  <c r="K27" i="8" s="1"/>
  <c r="M11" i="4" a="1"/>
  <c r="M11" i="4" s="1"/>
  <c r="E11" i="8" s="1" a="1"/>
  <c r="E11" i="8" s="1"/>
  <c r="M11" i="8" s="1"/>
  <c r="M26" i="8" s="1"/>
  <c r="O11" i="4" a="1"/>
  <c r="O11" i="4" s="1"/>
  <c r="G11" i="8" s="1" a="1"/>
  <c r="G11" i="8" s="1"/>
  <c r="O11" i="8" s="1"/>
  <c r="O26" i="8" s="1"/>
  <c r="L10" i="4" a="1"/>
  <c r="L10" i="4" s="1"/>
  <c r="D10" i="8" s="1" a="1"/>
  <c r="D10" i="8" s="1"/>
  <c r="L10" i="8" s="1"/>
  <c r="L25" i="8" s="1"/>
  <c r="K13" i="4" a="1"/>
  <c r="K13" i="4" s="1"/>
  <c r="C13" i="8" s="1" a="1"/>
  <c r="C13" i="8" s="1"/>
  <c r="K13" i="8" s="1"/>
  <c r="K28" i="8" s="1"/>
  <c r="M7" i="4" a="1"/>
  <c r="M7" i="4" s="1"/>
  <c r="E7" i="8" s="1" a="1"/>
  <c r="E7" i="8" s="1"/>
  <c r="M7" i="8" s="1"/>
  <c r="M22" i="8" s="1"/>
  <c r="L11" i="4" a="1"/>
  <c r="L11" i="4" s="1"/>
  <c r="D11" i="8" s="1" a="1"/>
  <c r="D11" i="8" s="1"/>
  <c r="L11" i="8" s="1"/>
  <c r="L26" i="8" s="1"/>
  <c r="N7" i="4" a="1"/>
  <c r="N7" i="4" s="1"/>
  <c r="F7" i="8" s="1" a="1"/>
  <c r="F7" i="8" s="1"/>
  <c r="N7" i="8" s="1"/>
  <c r="N22" i="8" s="1"/>
  <c r="N11" i="4" a="1"/>
  <c r="N11" i="4" s="1"/>
  <c r="F11" i="8" s="1" a="1"/>
  <c r="F11" i="8" s="1"/>
  <c r="N11" i="8" s="1"/>
  <c r="N26" i="8" s="1"/>
  <c r="D9" i="9" a="1"/>
  <c r="D9" i="9" s="1"/>
  <c r="D10" i="9" a="1"/>
  <c r="D10" i="9" s="1"/>
  <c r="J17" i="7" a="1"/>
  <c r="J17" i="7" s="1"/>
  <c r="B46" i="2"/>
  <c r="B44" i="2"/>
  <c r="B47" i="2"/>
  <c r="B68" i="1"/>
  <c r="C68" i="1"/>
  <c r="D68" i="1"/>
  <c r="C69" i="1"/>
  <c r="D69" i="1"/>
  <c r="B69" i="1"/>
  <c r="B70" i="1"/>
  <c r="D70" i="1"/>
  <c r="C70" i="1"/>
  <c r="F45" i="1"/>
  <c r="R148" i="9" l="1" a="1"/>
  <c r="R148" i="9" s="1"/>
  <c r="R152" i="9" a="1"/>
  <c r="R152" i="9" s="1"/>
  <c r="R153" i="9" a="1"/>
  <c r="R153" i="9" s="1"/>
  <c r="R149" i="9" a="1"/>
  <c r="R149" i="9" s="1"/>
  <c r="R151" i="9" a="1"/>
  <c r="R151" i="9" s="1"/>
  <c r="R69" i="9" a="1"/>
  <c r="R69" i="9" s="1"/>
  <c r="R77" i="9" a="1"/>
  <c r="R77" i="9" s="1"/>
  <c r="R85" i="9" a="1"/>
  <c r="R85" i="9" s="1"/>
  <c r="R93" i="9" a="1"/>
  <c r="R93" i="9" s="1"/>
  <c r="R101" i="9" a="1"/>
  <c r="R101" i="9" s="1"/>
  <c r="R109" i="9" a="1"/>
  <c r="R109" i="9" s="1"/>
  <c r="R117" i="9" a="1"/>
  <c r="R117" i="9" s="1"/>
  <c r="R125" i="9" a="1"/>
  <c r="R125" i="9" s="1"/>
  <c r="R133" i="9" a="1"/>
  <c r="R133" i="9" s="1"/>
  <c r="R141" i="9" a="1"/>
  <c r="R141" i="9" s="1"/>
  <c r="R165" i="9" a="1"/>
  <c r="R165" i="9" s="1"/>
  <c r="R157" i="9" a="1"/>
  <c r="R157" i="9" s="1"/>
  <c r="R71" i="9" a="1"/>
  <c r="R71" i="9" s="1"/>
  <c r="R79" i="9" a="1"/>
  <c r="R79" i="9" s="1"/>
  <c r="R87" i="9" a="1"/>
  <c r="R87" i="9" s="1"/>
  <c r="R95" i="9" a="1"/>
  <c r="R95" i="9" s="1"/>
  <c r="R103" i="9" a="1"/>
  <c r="R103" i="9" s="1"/>
  <c r="R111" i="9" a="1"/>
  <c r="R111" i="9" s="1"/>
  <c r="R119" i="9" a="1"/>
  <c r="R119" i="9" s="1"/>
  <c r="R127" i="9" a="1"/>
  <c r="R127" i="9" s="1"/>
  <c r="R135" i="9" a="1"/>
  <c r="R135" i="9" s="1"/>
  <c r="R143" i="9" a="1"/>
  <c r="R143" i="9" s="1"/>
  <c r="R163" i="9" a="1"/>
  <c r="R163" i="9" s="1"/>
  <c r="R155" i="9" a="1"/>
  <c r="R155" i="9" s="1"/>
  <c r="R80" i="9" a="1"/>
  <c r="R80" i="9" s="1"/>
  <c r="R96" i="9" a="1"/>
  <c r="R96" i="9" s="1"/>
  <c r="R112" i="9" a="1"/>
  <c r="R112" i="9" s="1"/>
  <c r="R128" i="9" a="1"/>
  <c r="R128" i="9" s="1"/>
  <c r="R144" i="9" a="1"/>
  <c r="R144" i="9" s="1"/>
  <c r="R162" i="9" a="1"/>
  <c r="R162" i="9" s="1"/>
  <c r="R121" i="9" a="1"/>
  <c r="R121" i="9" s="1"/>
  <c r="R91" i="9" a="1"/>
  <c r="R91" i="9" s="1"/>
  <c r="R123" i="9" a="1"/>
  <c r="R123" i="9" s="1"/>
  <c r="R139" i="9" a="1"/>
  <c r="R139" i="9" s="1"/>
  <c r="R70" i="9" a="1"/>
  <c r="R70" i="9" s="1"/>
  <c r="R78" i="9" a="1"/>
  <c r="R78" i="9" s="1"/>
  <c r="R86" i="9" a="1"/>
  <c r="R86" i="9" s="1"/>
  <c r="R94" i="9" a="1"/>
  <c r="R94" i="9" s="1"/>
  <c r="R102" i="9" a="1"/>
  <c r="R102" i="9" s="1"/>
  <c r="R110" i="9" a="1"/>
  <c r="R110" i="9" s="1"/>
  <c r="R118" i="9" a="1"/>
  <c r="R118" i="9" s="1"/>
  <c r="R126" i="9" a="1"/>
  <c r="R126" i="9" s="1"/>
  <c r="R134" i="9" a="1"/>
  <c r="R134" i="9" s="1"/>
  <c r="R142" i="9" a="1"/>
  <c r="R142" i="9" s="1"/>
  <c r="R164" i="9" a="1"/>
  <c r="R164" i="9" s="1"/>
  <c r="R156" i="9" a="1"/>
  <c r="R156" i="9" s="1"/>
  <c r="R150" i="9" a="1"/>
  <c r="R150" i="9" s="1"/>
  <c r="R115" i="9" a="1"/>
  <c r="R115" i="9" s="1"/>
  <c r="R158" i="9" a="1"/>
  <c r="R158" i="9" s="1"/>
  <c r="R72" i="9" a="1"/>
  <c r="R72" i="9" s="1"/>
  <c r="R88" i="9" a="1"/>
  <c r="R88" i="9" s="1"/>
  <c r="R104" i="9" a="1"/>
  <c r="R104" i="9" s="1"/>
  <c r="R120" i="9" a="1"/>
  <c r="R120" i="9" s="1"/>
  <c r="R136" i="9" a="1"/>
  <c r="R136" i="9" s="1"/>
  <c r="R154" i="9" a="1"/>
  <c r="R154" i="9" s="1"/>
  <c r="R73" i="9" a="1"/>
  <c r="R73" i="9" s="1"/>
  <c r="R81" i="9" a="1"/>
  <c r="R81" i="9" s="1"/>
  <c r="R97" i="9" a="1"/>
  <c r="R97" i="9" s="1"/>
  <c r="R105" i="9" a="1"/>
  <c r="R105" i="9" s="1"/>
  <c r="R113" i="9" a="1"/>
  <c r="R113" i="9" s="1"/>
  <c r="R129" i="9" a="1"/>
  <c r="R129" i="9" s="1"/>
  <c r="R145" i="9" a="1"/>
  <c r="R145" i="9" s="1"/>
  <c r="R83" i="9" a="1"/>
  <c r="R83" i="9" s="1"/>
  <c r="R131" i="9" a="1"/>
  <c r="R131" i="9" s="1"/>
  <c r="R147" i="9" a="1"/>
  <c r="R147" i="9" s="1"/>
  <c r="R167" i="9" a="1"/>
  <c r="R167" i="9" s="1"/>
  <c r="R161" i="9" a="1"/>
  <c r="R161" i="9" s="1"/>
  <c r="R89" i="9" a="1"/>
  <c r="R89" i="9" s="1"/>
  <c r="R137" i="9" a="1"/>
  <c r="R137" i="9" s="1"/>
  <c r="R99" i="9" a="1"/>
  <c r="R99" i="9" s="1"/>
  <c r="R74" i="9" a="1"/>
  <c r="R74" i="9" s="1"/>
  <c r="R82" i="9" a="1"/>
  <c r="R82" i="9" s="1"/>
  <c r="R90" i="9" a="1"/>
  <c r="R90" i="9" s="1"/>
  <c r="R98" i="9" a="1"/>
  <c r="R98" i="9" s="1"/>
  <c r="R106" i="9" a="1"/>
  <c r="R106" i="9" s="1"/>
  <c r="R114" i="9" a="1"/>
  <c r="R114" i="9" s="1"/>
  <c r="R122" i="9" a="1"/>
  <c r="R122" i="9" s="1"/>
  <c r="R130" i="9" a="1"/>
  <c r="R130" i="9" s="1"/>
  <c r="R138" i="9" a="1"/>
  <c r="R138" i="9" s="1"/>
  <c r="R146" i="9" a="1"/>
  <c r="R146" i="9" s="1"/>
  <c r="R168" i="9" a="1"/>
  <c r="R168" i="9" s="1"/>
  <c r="R160" i="9" a="1"/>
  <c r="R160" i="9" s="1"/>
  <c r="R75" i="9" a="1"/>
  <c r="R75" i="9" s="1"/>
  <c r="R107" i="9" a="1"/>
  <c r="R107" i="9" s="1"/>
  <c r="R159" i="9" a="1"/>
  <c r="R159" i="9" s="1"/>
  <c r="R76" i="9" a="1"/>
  <c r="R76" i="9" s="1"/>
  <c r="R84" i="9" a="1"/>
  <c r="R84" i="9" s="1"/>
  <c r="R92" i="9" a="1"/>
  <c r="R92" i="9" s="1"/>
  <c r="R100" i="9" a="1"/>
  <c r="R100" i="9" s="1"/>
  <c r="R108" i="9" a="1"/>
  <c r="R108" i="9" s="1"/>
  <c r="R116" i="9" a="1"/>
  <c r="R116" i="9" s="1"/>
  <c r="R124" i="9" a="1"/>
  <c r="R124" i="9" s="1"/>
  <c r="R132" i="9" a="1"/>
  <c r="R132" i="9" s="1"/>
  <c r="R140" i="9" a="1"/>
  <c r="R140" i="9" s="1"/>
  <c r="R166" i="9" a="1"/>
  <c r="R166" i="9" s="1"/>
  <c r="D35" i="9" a="1"/>
  <c r="D35" i="9" s="1"/>
  <c r="D37" i="9" s="1"/>
  <c r="I64" i="10" s="1"/>
  <c r="E35" i="9" a="1"/>
  <c r="E35" i="9" s="1"/>
  <c r="E37" i="9" s="1"/>
  <c r="Q64" i="10" s="1"/>
  <c r="R37" i="9" a="1"/>
  <c r="R37" i="9" s="1"/>
  <c r="R15" i="9" a="1"/>
  <c r="R15" i="9" s="1"/>
  <c r="R23" i="9" a="1"/>
  <c r="R23" i="9" s="1"/>
  <c r="R31" i="9" a="1"/>
  <c r="R31" i="9" s="1"/>
  <c r="R13" i="9" a="1"/>
  <c r="R13" i="9" s="1"/>
  <c r="R21" i="9" a="1"/>
  <c r="R21" i="9" s="1"/>
  <c r="R29" i="9" a="1"/>
  <c r="R29" i="9" s="1"/>
  <c r="R45" i="9" a="1"/>
  <c r="R45" i="9" s="1"/>
  <c r="R53" i="9" a="1"/>
  <c r="R53" i="9" s="1"/>
  <c r="R18" i="9" a="1"/>
  <c r="R18" i="9" s="1"/>
  <c r="R61" i="9" a="1"/>
  <c r="R61" i="9" s="1"/>
  <c r="R26" i="9" a="1"/>
  <c r="R26" i="9" s="1"/>
  <c r="R63" i="9" a="1"/>
  <c r="R63" i="9" s="1"/>
  <c r="R34" i="9" a="1"/>
  <c r="R34" i="9" s="1"/>
  <c r="R39" i="9" a="1"/>
  <c r="R39" i="9" s="1"/>
  <c r="R50" i="9" a="1"/>
  <c r="R50" i="9" s="1"/>
  <c r="R55" i="9" a="1"/>
  <c r="R55" i="9" s="1"/>
  <c r="R42" i="9" a="1"/>
  <c r="R42" i="9" s="1"/>
  <c r="R47" i="9" a="1"/>
  <c r="R47" i="9" s="1"/>
  <c r="R66" i="9" a="1"/>
  <c r="R66" i="9" s="1"/>
  <c r="R58" i="9" a="1"/>
  <c r="R58" i="9" s="1"/>
  <c r="R14" i="9" a="1"/>
  <c r="R14" i="9" s="1"/>
  <c r="R9" i="9" a="1"/>
  <c r="R9" i="9" s="1"/>
  <c r="R28" i="9" a="1"/>
  <c r="R28" i="9" s="1"/>
  <c r="R48" i="9" a="1"/>
  <c r="R48" i="9" s="1"/>
  <c r="R43" i="9" a="1"/>
  <c r="R43" i="9" s="1"/>
  <c r="R38" i="9" a="1"/>
  <c r="R38" i="9" s="1"/>
  <c r="R20" i="9" a="1"/>
  <c r="R20" i="9" s="1"/>
  <c r="R56" i="9" a="1"/>
  <c r="R56" i="9" s="1"/>
  <c r="R49" i="9" a="1"/>
  <c r="R49" i="9" s="1"/>
  <c r="R68" i="9" a="1"/>
  <c r="R68" i="9" s="1"/>
  <c r="R24" i="9" a="1"/>
  <c r="R24" i="9" s="1"/>
  <c r="R19" i="9" a="1"/>
  <c r="R19" i="9" s="1"/>
  <c r="R65" i="9" a="1"/>
  <c r="R65" i="9" s="1"/>
  <c r="R35" i="9" a="1"/>
  <c r="R35" i="9" s="1"/>
  <c r="R60" i="9" a="1"/>
  <c r="R60" i="9" s="1"/>
  <c r="R16" i="9" a="1"/>
  <c r="R16" i="9" s="1"/>
  <c r="R51" i="9" a="1"/>
  <c r="R51" i="9" s="1"/>
  <c r="R46" i="9" a="1"/>
  <c r="R46" i="9" s="1"/>
  <c r="R25" i="9" a="1"/>
  <c r="R25" i="9" s="1"/>
  <c r="R44" i="9" a="1"/>
  <c r="R44" i="9" s="1"/>
  <c r="R64" i="9" a="1"/>
  <c r="R64" i="9" s="1"/>
  <c r="R59" i="9" a="1"/>
  <c r="R59" i="9" s="1"/>
  <c r="R54" i="9" a="1"/>
  <c r="R54" i="9" s="1"/>
  <c r="R40" i="9" a="1"/>
  <c r="R40" i="9" s="1"/>
  <c r="R30" i="9" a="1"/>
  <c r="R30" i="9" s="1"/>
  <c r="R41" i="9" a="1"/>
  <c r="R41" i="9" s="1"/>
  <c r="R11" i="9" a="1"/>
  <c r="R11" i="9" s="1"/>
  <c r="R17" i="9" a="1"/>
  <c r="R17" i="9" s="1"/>
  <c r="R36" i="9" a="1"/>
  <c r="R36" i="9" s="1"/>
  <c r="R52" i="9" a="1"/>
  <c r="R52" i="9" s="1"/>
  <c r="R10" i="9" a="1"/>
  <c r="R10" i="9" s="1"/>
  <c r="R67" i="9" a="1"/>
  <c r="R67" i="9" s="1"/>
  <c r="R57" i="9" a="1"/>
  <c r="R57" i="9" s="1"/>
  <c r="R12" i="9" a="1"/>
  <c r="R12" i="9" s="1"/>
  <c r="R32" i="9" a="1"/>
  <c r="R32" i="9" s="1"/>
  <c r="R27" i="9" a="1"/>
  <c r="R27" i="9" s="1"/>
  <c r="R22" i="9" a="1"/>
  <c r="R22" i="9" s="1"/>
  <c r="R33" i="9" a="1"/>
  <c r="R33" i="9" s="1"/>
  <c r="R62" i="9" a="1"/>
  <c r="R62" i="9" s="1"/>
  <c r="B35" i="9"/>
  <c r="C35" i="9" s="1"/>
  <c r="M64" i="10" s="1"/>
  <c r="A35" i="9"/>
  <c r="K3" i="8"/>
  <c r="K18" i="8" s="1"/>
  <c r="A32" i="8" s="1"/>
  <c r="B32" i="8" s="1"/>
  <c r="B6" i="3"/>
  <c r="W52" i="10" s="1"/>
  <c r="B29" i="9" a="1"/>
  <c r="B29" i="9" s="1"/>
  <c r="B13" i="9" a="1"/>
  <c r="B13" i="9" s="1"/>
  <c r="B17" i="9" a="1"/>
  <c r="B17" i="9" s="1"/>
  <c r="B21" i="9" a="1"/>
  <c r="B21" i="9" s="1"/>
  <c r="B25" i="9" a="1"/>
  <c r="B25" i="9" s="1"/>
  <c r="B11" i="9" a="1"/>
  <c r="B11" i="9" s="1"/>
  <c r="B19" i="9" a="1"/>
  <c r="B19" i="9" s="1"/>
  <c r="B15" i="9" a="1"/>
  <c r="B15" i="9" s="1"/>
  <c r="B18" i="9" a="1"/>
  <c r="B18" i="9" s="1"/>
  <c r="B31" i="9" a="1"/>
  <c r="B31" i="9" s="1"/>
  <c r="B32" i="9" a="1"/>
  <c r="B32" i="9" s="1"/>
  <c r="B27" i="9" a="1"/>
  <c r="B27" i="9" s="1"/>
  <c r="B28" i="9" a="1"/>
  <c r="B28" i="9" s="1"/>
  <c r="B30" i="9" a="1"/>
  <c r="B30" i="9" s="1"/>
  <c r="B16" i="9" a="1"/>
  <c r="B16" i="9" s="1"/>
  <c r="B14" i="9" a="1"/>
  <c r="B14" i="9" s="1"/>
  <c r="B23" i="9" a="1"/>
  <c r="B23" i="9" s="1"/>
  <c r="B24" i="9" a="1"/>
  <c r="B24" i="9" s="1"/>
  <c r="B26" i="9" a="1"/>
  <c r="B26" i="9" s="1"/>
  <c r="B22" i="9" a="1"/>
  <c r="B22" i="9" s="1"/>
  <c r="B12" i="9" a="1"/>
  <c r="B12" i="9" s="1"/>
  <c r="B20" i="9" a="1"/>
  <c r="B20" i="9" s="1"/>
  <c r="B9" i="9" a="1"/>
  <c r="B9" i="9" s="1"/>
  <c r="C9" i="9" a="1"/>
  <c r="C9" i="9" s="1"/>
  <c r="C10" i="9" a="1"/>
  <c r="C10" i="9" s="1"/>
  <c r="B10" i="9" a="1"/>
  <c r="B10" i="9" s="1"/>
  <c r="J19" i="2"/>
  <c r="F25" i="2"/>
  <c r="B26" i="2"/>
  <c r="B25" i="2"/>
  <c r="C26" i="2"/>
  <c r="D26" i="2"/>
  <c r="E26" i="2"/>
  <c r="D25" i="2"/>
  <c r="E25" i="2"/>
  <c r="C25" i="2"/>
  <c r="F26" i="2"/>
  <c r="B67" i="1"/>
  <c r="C67" i="1"/>
  <c r="D67" i="1"/>
  <c r="D74" i="1" s="1"/>
  <c r="E24" i="2" l="1"/>
  <c r="F24" i="2"/>
  <c r="C24" i="2"/>
  <c r="B24" i="2"/>
  <c r="D24" i="2"/>
  <c r="D76" i="1"/>
  <c r="D77" i="1"/>
  <c r="D75" i="1"/>
  <c r="C75" i="1"/>
  <c r="C77" i="1"/>
  <c r="C74" i="1"/>
  <c r="C76" i="1"/>
  <c r="B75" i="1"/>
  <c r="B77" i="1"/>
  <c r="B76" i="1"/>
  <c r="B74" i="1"/>
  <c r="B12" i="2" l="1"/>
  <c r="K56" i="5"/>
  <c r="B13" i="2"/>
  <c r="K57" i="5"/>
  <c r="B11" i="2"/>
  <c r="K55" i="5"/>
  <c r="B15" i="2"/>
  <c r="K59" i="5"/>
  <c r="B14" i="2"/>
  <c r="K58" i="5"/>
  <c r="B83" i="1"/>
  <c r="C83" i="1"/>
  <c r="D83" i="1"/>
  <c r="B86" i="1"/>
  <c r="D86" i="1"/>
  <c r="C86" i="1"/>
  <c r="B84" i="1"/>
  <c r="C84" i="1"/>
  <c r="D84" i="1"/>
  <c r="D85" i="1"/>
  <c r="B85" i="1"/>
  <c r="C85" i="1"/>
  <c r="K12" i="5" l="1"/>
  <c r="K10" i="5"/>
  <c r="G18" i="5" s="1"/>
  <c r="K13" i="5"/>
  <c r="C27" i="5" s="1"/>
  <c r="E27" i="5"/>
  <c r="D26" i="5"/>
  <c r="F26" i="5"/>
  <c r="E26" i="5"/>
  <c r="D28" i="5"/>
  <c r="D17" i="5"/>
  <c r="G19" i="5"/>
  <c r="G17" i="5"/>
  <c r="E19" i="5"/>
  <c r="E17" i="5"/>
  <c r="F17" i="5"/>
  <c r="F18" i="5"/>
  <c r="C19" i="5"/>
  <c r="C23" i="5"/>
  <c r="G24" i="5"/>
  <c r="E25" i="5"/>
  <c r="C24" i="5"/>
  <c r="F24" i="5"/>
  <c r="F25" i="5"/>
  <c r="E24" i="5"/>
  <c r="C25" i="5"/>
  <c r="F23" i="5"/>
  <c r="D24" i="5"/>
  <c r="D25" i="5"/>
  <c r="D23" i="5"/>
  <c r="G25" i="5"/>
  <c r="E23" i="5"/>
  <c r="G23" i="5"/>
  <c r="K11" i="5"/>
  <c r="D90" i="1"/>
  <c r="C92" i="1"/>
  <c r="B91" i="1"/>
  <c r="C93" i="1"/>
  <c r="B93" i="1"/>
  <c r="D92" i="1"/>
  <c r="D91" i="1"/>
  <c r="D93" i="1"/>
  <c r="B92" i="1"/>
  <c r="C90" i="1"/>
  <c r="B90" i="1"/>
  <c r="C91" i="1"/>
  <c r="C18" i="5" l="1"/>
  <c r="D19" i="5"/>
  <c r="D18" i="5"/>
  <c r="C26" i="5"/>
  <c r="G27" i="5"/>
  <c r="C17" i="5"/>
  <c r="F19" i="5"/>
  <c r="G28" i="5"/>
  <c r="E28" i="5"/>
  <c r="D27" i="5"/>
  <c r="F28" i="5"/>
  <c r="G26" i="5"/>
  <c r="C28" i="5"/>
  <c r="E18" i="5"/>
  <c r="F27" i="5"/>
  <c r="D20" i="5"/>
  <c r="C20" i="5"/>
  <c r="E21" i="5"/>
  <c r="D21" i="5"/>
  <c r="E20" i="5"/>
  <c r="F22" i="5"/>
  <c r="C21" i="5"/>
  <c r="G22" i="5"/>
  <c r="C22" i="5"/>
  <c r="F21" i="5"/>
  <c r="G21" i="5"/>
  <c r="D22" i="5"/>
  <c r="G20" i="5"/>
  <c r="E22" i="5"/>
  <c r="F20" i="5"/>
  <c r="P18" i="5" l="1"/>
  <c r="D32" i="5" s="1"/>
  <c r="P17" i="5"/>
  <c r="E34" i="5" s="1"/>
  <c r="P19" i="5"/>
  <c r="C36" i="5" s="1"/>
  <c r="E35" i="5" l="1"/>
  <c r="G35" i="5"/>
  <c r="E41" i="5"/>
  <c r="C41" i="5"/>
  <c r="C32" i="5"/>
  <c r="G32" i="5"/>
  <c r="D38" i="5"/>
  <c r="D36" i="5"/>
  <c r="C38" i="5"/>
  <c r="C35" i="5"/>
  <c r="D41" i="5"/>
  <c r="F32" i="5"/>
  <c r="E32" i="5"/>
  <c r="G38" i="5"/>
  <c r="F35" i="5"/>
  <c r="E38" i="5"/>
  <c r="F38" i="5"/>
  <c r="D35" i="5"/>
  <c r="F41" i="5"/>
  <c r="G41" i="5"/>
  <c r="G34" i="5"/>
  <c r="C34" i="5"/>
  <c r="F36" i="5"/>
  <c r="E36" i="5"/>
  <c r="G36" i="5"/>
  <c r="F37" i="5"/>
  <c r="F40" i="5"/>
  <c r="G37" i="5"/>
  <c r="C40" i="5"/>
  <c r="E37" i="5"/>
  <c r="D31" i="5"/>
  <c r="C31" i="5"/>
  <c r="C37" i="5"/>
  <c r="E40" i="5"/>
  <c r="G40" i="5"/>
  <c r="G31" i="5"/>
  <c r="D37" i="5"/>
  <c r="E31" i="5"/>
  <c r="F31" i="5"/>
  <c r="D40" i="5"/>
  <c r="D34" i="5"/>
  <c r="F34" i="5"/>
  <c r="F33" i="5"/>
  <c r="D39" i="5"/>
  <c r="D42" i="5"/>
  <c r="G42" i="5"/>
  <c r="F42" i="5"/>
  <c r="E39" i="5"/>
  <c r="D33" i="5"/>
  <c r="E42" i="5"/>
  <c r="E33" i="5"/>
  <c r="C39" i="5"/>
  <c r="C33" i="5"/>
  <c r="F39" i="5"/>
  <c r="C42" i="5"/>
  <c r="G39" i="5"/>
  <c r="G33" i="5"/>
  <c r="P24" i="5" l="1"/>
  <c r="D51" i="5" s="1"/>
  <c r="P26" i="5"/>
  <c r="C57" i="5" s="1"/>
  <c r="P25" i="5"/>
  <c r="E56" i="5" s="1"/>
  <c r="P23" i="5"/>
  <c r="C48" i="5" s="1"/>
  <c r="F51" i="5" l="1"/>
  <c r="D54" i="5"/>
  <c r="C56" i="5"/>
  <c r="F54" i="5"/>
  <c r="E59" i="5"/>
  <c r="C59" i="5"/>
  <c r="G50" i="5"/>
  <c r="F49" i="5"/>
  <c r="C49" i="5"/>
  <c r="E49" i="5"/>
  <c r="G49" i="5"/>
  <c r="D49" i="5"/>
  <c r="G58" i="5"/>
  <c r="E58" i="5"/>
  <c r="C58" i="5"/>
  <c r="D58" i="5"/>
  <c r="F58" i="5"/>
  <c r="E57" i="5"/>
  <c r="F50" i="5"/>
  <c r="C50" i="5"/>
  <c r="G57" i="5"/>
  <c r="C54" i="5"/>
  <c r="D55" i="5"/>
  <c r="F55" i="5"/>
  <c r="C55" i="5"/>
  <c r="G55" i="5"/>
  <c r="E55" i="5"/>
  <c r="G56" i="5"/>
  <c r="F57" i="5"/>
  <c r="G59" i="5"/>
  <c r="D56" i="5"/>
  <c r="D57" i="5"/>
  <c r="E48" i="5"/>
  <c r="D50" i="5"/>
  <c r="F56" i="5"/>
  <c r="F59" i="5"/>
  <c r="D48" i="5"/>
  <c r="D59" i="5"/>
  <c r="G54" i="5"/>
  <c r="F48" i="5"/>
  <c r="G48" i="5"/>
  <c r="E50" i="5"/>
  <c r="E52" i="5"/>
  <c r="C53" i="5"/>
  <c r="G52" i="5"/>
  <c r="G53" i="5"/>
  <c r="C51" i="5"/>
  <c r="D52" i="5"/>
  <c r="E51" i="5"/>
  <c r="E53" i="5"/>
  <c r="F53" i="5"/>
  <c r="D53" i="5"/>
  <c r="G51" i="5"/>
  <c r="F52" i="5"/>
  <c r="C52" i="5"/>
  <c r="E54" i="5"/>
  <c r="C61" i="5" l="1"/>
  <c r="C70" i="5" s="1"/>
  <c r="C137" i="5" s="1"/>
  <c r="G61" i="5"/>
  <c r="G64" i="5" s="1"/>
  <c r="G131" i="5" s="1"/>
  <c r="C66" i="5"/>
  <c r="C72" i="5"/>
  <c r="C67" i="5"/>
  <c r="C75" i="5"/>
  <c r="F61" i="5"/>
  <c r="F64" i="5" s="1"/>
  <c r="E61" i="5"/>
  <c r="C68" i="5"/>
  <c r="C65" i="5"/>
  <c r="D61" i="5"/>
  <c r="D66" i="5" s="1"/>
  <c r="C69" i="5"/>
  <c r="C74" i="5"/>
  <c r="C73" i="5" l="1"/>
  <c r="C140" i="5" s="1"/>
  <c r="G71" i="5"/>
  <c r="G74" i="5"/>
  <c r="G141" i="5" s="1"/>
  <c r="G72" i="5"/>
  <c r="F75" i="5"/>
  <c r="F142" i="5" s="1"/>
  <c r="C64" i="5"/>
  <c r="C131" i="5" s="1"/>
  <c r="C71" i="5"/>
  <c r="C138" i="5" s="1"/>
  <c r="D75" i="5"/>
  <c r="D142" i="5" s="1"/>
  <c r="G73" i="5"/>
  <c r="G67" i="5"/>
  <c r="G65" i="5"/>
  <c r="G132" i="5" s="1"/>
  <c r="D68" i="5"/>
  <c r="D135" i="5" s="1"/>
  <c r="D73" i="5"/>
  <c r="D140" i="5" s="1"/>
  <c r="D74" i="5"/>
  <c r="D141" i="5" s="1"/>
  <c r="G68" i="5"/>
  <c r="G135" i="5" s="1"/>
  <c r="G69" i="5"/>
  <c r="G136" i="5" s="1"/>
  <c r="D69" i="5"/>
  <c r="D136" i="5" s="1"/>
  <c r="D65" i="5"/>
  <c r="D132" i="5" s="1"/>
  <c r="G75" i="5"/>
  <c r="G142" i="5" s="1"/>
  <c r="G66" i="5"/>
  <c r="G133" i="5" s="1"/>
  <c r="D64" i="5"/>
  <c r="D131" i="5" s="1"/>
  <c r="D72" i="5"/>
  <c r="D139" i="5" s="1"/>
  <c r="G70" i="5"/>
  <c r="G137" i="5" s="1"/>
  <c r="E68" i="5"/>
  <c r="E75" i="5"/>
  <c r="E72" i="5"/>
  <c r="D133" i="5"/>
  <c r="C133" i="5"/>
  <c r="C132" i="5"/>
  <c r="F73" i="5"/>
  <c r="F67" i="5"/>
  <c r="F70" i="5"/>
  <c r="F74" i="5"/>
  <c r="E66" i="5"/>
  <c r="C136" i="5"/>
  <c r="F131" i="5"/>
  <c r="C142" i="5"/>
  <c r="G139" i="5"/>
  <c r="F68" i="5"/>
  <c r="F65" i="5"/>
  <c r="C24" i="8"/>
  <c r="C24" i="4"/>
  <c r="C39" i="4" s="1"/>
  <c r="F72" i="5"/>
  <c r="E65" i="5"/>
  <c r="C27" i="4"/>
  <c r="C42" i="4" s="1"/>
  <c r="C27" i="8"/>
  <c r="C135" i="5"/>
  <c r="E71" i="5"/>
  <c r="F66" i="5"/>
  <c r="C141" i="5"/>
  <c r="D71" i="5"/>
  <c r="D67" i="5"/>
  <c r="D70" i="5"/>
  <c r="E73" i="5"/>
  <c r="G138" i="5"/>
  <c r="F71" i="5"/>
  <c r="C139" i="5"/>
  <c r="E69" i="5"/>
  <c r="F69" i="5"/>
  <c r="E67" i="5"/>
  <c r="E70" i="5"/>
  <c r="G140" i="5"/>
  <c r="G134" i="5"/>
  <c r="E64" i="5"/>
  <c r="C134" i="5"/>
  <c r="E74" i="5"/>
  <c r="G18" i="4"/>
  <c r="G33" i="4" s="1"/>
  <c r="G18" i="8"/>
  <c r="C18" i="8" l="1"/>
  <c r="C18" i="4"/>
  <c r="C33" i="4" s="1"/>
  <c r="M107" i="5"/>
  <c r="M111" i="5"/>
  <c r="D81" i="5"/>
  <c r="D117" i="5" s="1"/>
  <c r="G85" i="5"/>
  <c r="G121" i="5" s="1"/>
  <c r="C83" i="5"/>
  <c r="C119" i="5" s="1"/>
  <c r="C87" i="5"/>
  <c r="C123" i="5" s="1"/>
  <c r="C22" i="4"/>
  <c r="C37" i="4" s="1"/>
  <c r="C22" i="8"/>
  <c r="F132" i="5"/>
  <c r="F80" i="5"/>
  <c r="F116" i="5" s="1"/>
  <c r="G90" i="5"/>
  <c r="G126" i="5" s="1"/>
  <c r="G89" i="5"/>
  <c r="G125" i="5" s="1"/>
  <c r="E137" i="5"/>
  <c r="E85" i="5"/>
  <c r="E121" i="5" s="1"/>
  <c r="D23" i="8"/>
  <c r="D23" i="4"/>
  <c r="D38" i="4" s="1"/>
  <c r="D137" i="5"/>
  <c r="D85" i="5"/>
  <c r="D121" i="5" s="1"/>
  <c r="D26" i="4"/>
  <c r="D41" i="4" s="1"/>
  <c r="D26" i="8"/>
  <c r="G83" i="5"/>
  <c r="G119" i="5" s="1"/>
  <c r="D22" i="4"/>
  <c r="D37" i="4" s="1"/>
  <c r="D22" i="8"/>
  <c r="F79" i="5"/>
  <c r="F115" i="5" s="1"/>
  <c r="F141" i="5"/>
  <c r="F89" i="5"/>
  <c r="F125" i="5" s="1"/>
  <c r="D90" i="5"/>
  <c r="D126" i="5" s="1"/>
  <c r="G80" i="5"/>
  <c r="G116" i="5" s="1"/>
  <c r="F136" i="5"/>
  <c r="F84" i="5"/>
  <c r="F120" i="5" s="1"/>
  <c r="E84" i="5"/>
  <c r="E120" i="5" s="1"/>
  <c r="E136" i="5"/>
  <c r="C26" i="4"/>
  <c r="C41" i="4" s="1"/>
  <c r="C26" i="8"/>
  <c r="G81" i="5"/>
  <c r="G117" i="5" s="1"/>
  <c r="F135" i="5"/>
  <c r="F83" i="5"/>
  <c r="F119" i="5" s="1"/>
  <c r="F137" i="5"/>
  <c r="F85" i="5"/>
  <c r="F121" i="5" s="1"/>
  <c r="G84" i="5"/>
  <c r="G120" i="5" s="1"/>
  <c r="F86" i="5"/>
  <c r="F138" i="5"/>
  <c r="G26" i="4"/>
  <c r="G41" i="4" s="1"/>
  <c r="G26" i="8"/>
  <c r="D80" i="5"/>
  <c r="D116" i="5" s="1"/>
  <c r="F139" i="5"/>
  <c r="F87" i="5"/>
  <c r="F123" i="5" s="1"/>
  <c r="G87" i="5"/>
  <c r="F29" i="4"/>
  <c r="F44" i="4" s="1"/>
  <c r="F29" i="8"/>
  <c r="F140" i="5"/>
  <c r="F88" i="5"/>
  <c r="F124" i="5" s="1"/>
  <c r="C20" i="8"/>
  <c r="C20" i="4"/>
  <c r="C35" i="4" s="1"/>
  <c r="E142" i="5"/>
  <c r="E90" i="5"/>
  <c r="E126" i="5" s="1"/>
  <c r="C28" i="8"/>
  <c r="C28" i="4"/>
  <c r="C43" i="4" s="1"/>
  <c r="G20" i="4"/>
  <c r="G35" i="4" s="1"/>
  <c r="G20" i="8"/>
  <c r="D28" i="4"/>
  <c r="D43" i="4" s="1"/>
  <c r="D28" i="8"/>
  <c r="C23" i="8"/>
  <c r="C23" i="4"/>
  <c r="C38" i="4" s="1"/>
  <c r="F134" i="5"/>
  <c r="F82" i="5"/>
  <c r="F118" i="5" s="1"/>
  <c r="C81" i="5"/>
  <c r="C117" i="5" s="1"/>
  <c r="E139" i="5"/>
  <c r="E87" i="5"/>
  <c r="E123" i="5" s="1"/>
  <c r="G23" i="4"/>
  <c r="G38" i="4" s="1"/>
  <c r="G23" i="8"/>
  <c r="G27" i="4"/>
  <c r="G42" i="4" s="1"/>
  <c r="G27" i="8"/>
  <c r="D79" i="5"/>
  <c r="D115" i="5" s="1"/>
  <c r="G86" i="5"/>
  <c r="G122" i="5" s="1"/>
  <c r="F81" i="5"/>
  <c r="F117" i="5" s="1"/>
  <c r="F133" i="5"/>
  <c r="C82" i="5"/>
  <c r="C118" i="5" s="1"/>
  <c r="G88" i="5"/>
  <c r="G124" i="5" s="1"/>
  <c r="D18" i="4"/>
  <c r="D33" i="4" s="1"/>
  <c r="D18" i="8"/>
  <c r="D19" i="8"/>
  <c r="D19" i="4"/>
  <c r="G25" i="4"/>
  <c r="G40" i="4" s="1"/>
  <c r="G25" i="8"/>
  <c r="E86" i="5"/>
  <c r="E122" i="5" s="1"/>
  <c r="E138" i="5"/>
  <c r="C90" i="5"/>
  <c r="C126" i="5" s="1"/>
  <c r="F90" i="5"/>
  <c r="F126" i="5" s="1"/>
  <c r="C86" i="5"/>
  <c r="C122" i="5" s="1"/>
  <c r="E135" i="5"/>
  <c r="E83" i="5"/>
  <c r="G28" i="4"/>
  <c r="G43" i="4" s="1"/>
  <c r="G28" i="8"/>
  <c r="E82" i="5"/>
  <c r="E118" i="5" s="1"/>
  <c r="E134" i="5"/>
  <c r="D134" i="5"/>
  <c r="D82" i="5"/>
  <c r="G22" i="4"/>
  <c r="G37" i="4" s="1"/>
  <c r="G22" i="8"/>
  <c r="D83" i="5"/>
  <c r="D119" i="5" s="1"/>
  <c r="F18" i="8"/>
  <c r="F18" i="4"/>
  <c r="F33" i="4" s="1"/>
  <c r="G29" i="8"/>
  <c r="G29" i="4"/>
  <c r="G44" i="4" s="1"/>
  <c r="D29" i="4"/>
  <c r="D44" i="4" s="1"/>
  <c r="D29" i="8"/>
  <c r="G19" i="4"/>
  <c r="G34" i="4" s="1"/>
  <c r="G19" i="8"/>
  <c r="E79" i="5"/>
  <c r="E115" i="5" s="1"/>
  <c r="E131" i="5"/>
  <c r="M109" i="5"/>
  <c r="C79" i="5"/>
  <c r="C85" i="5"/>
  <c r="C121" i="5" s="1"/>
  <c r="C88" i="5"/>
  <c r="C124" i="5" s="1"/>
  <c r="D88" i="5"/>
  <c r="D124" i="5" s="1"/>
  <c r="D138" i="5"/>
  <c r="D86" i="5"/>
  <c r="D122" i="5" s="1"/>
  <c r="E80" i="5"/>
  <c r="E116" i="5" s="1"/>
  <c r="E132" i="5"/>
  <c r="M110" i="5"/>
  <c r="C80" i="5"/>
  <c r="C116" i="5" s="1"/>
  <c r="D20" i="4"/>
  <c r="D35" i="4" s="1"/>
  <c r="D20" i="8"/>
  <c r="E89" i="5"/>
  <c r="E125" i="5" s="1"/>
  <c r="E141" i="5"/>
  <c r="G82" i="5"/>
  <c r="G118" i="5" s="1"/>
  <c r="D27" i="8"/>
  <c r="D27" i="4"/>
  <c r="D42" i="4" s="1"/>
  <c r="C89" i="5"/>
  <c r="C125" i="5" s="1"/>
  <c r="D89" i="5"/>
  <c r="D125" i="5" s="1"/>
  <c r="C84" i="5"/>
  <c r="C120" i="5" s="1"/>
  <c r="C19" i="4"/>
  <c r="C34" i="4" s="1"/>
  <c r="C19" i="8"/>
  <c r="G21" i="8"/>
  <c r="G21" i="4"/>
  <c r="G36" i="4" s="1"/>
  <c r="C21" i="4"/>
  <c r="C36" i="4" s="1"/>
  <c r="C21" i="8"/>
  <c r="M108" i="5"/>
  <c r="D84" i="5"/>
  <c r="D120" i="5" s="1"/>
  <c r="E140" i="5"/>
  <c r="E88" i="5"/>
  <c r="E124" i="5" s="1"/>
  <c r="D87" i="5"/>
  <c r="D123" i="5" s="1"/>
  <c r="C29" i="4"/>
  <c r="C44" i="4" s="1"/>
  <c r="C29" i="8"/>
  <c r="E81" i="5"/>
  <c r="E117" i="5" s="1"/>
  <c r="E133" i="5"/>
  <c r="C25" i="4"/>
  <c r="C40" i="4" s="1"/>
  <c r="C25" i="8"/>
  <c r="G24" i="8"/>
  <c r="G24" i="4"/>
  <c r="G39" i="4" s="1"/>
  <c r="G79" i="5"/>
  <c r="G115" i="5" s="1"/>
  <c r="E40" i="10" l="1" a="1"/>
  <c r="E40" i="10" s="1"/>
  <c r="A44" i="10" a="1"/>
  <c r="A44" i="10" s="1"/>
  <c r="D34" i="4"/>
  <c r="C108" i="5" a="1"/>
  <c r="C108" i="5" s="1"/>
  <c r="F25" i="4"/>
  <c r="F40" i="4" s="1"/>
  <c r="F25" i="8"/>
  <c r="A109" i="5"/>
  <c r="B2" i="3" s="1" a="1"/>
  <c r="B2" i="3" s="1"/>
  <c r="E3" i="9" a="1"/>
  <c r="E3" i="9" s="1"/>
  <c r="C115" i="5"/>
  <c r="C128" i="5" s="1"/>
  <c r="D21" i="4"/>
  <c r="D36" i="4" s="1"/>
  <c r="D21" i="8"/>
  <c r="F21" i="4"/>
  <c r="F36" i="4" s="1"/>
  <c r="F21" i="8"/>
  <c r="F122" i="5"/>
  <c r="F128" i="5" s="1"/>
  <c r="F28" i="4"/>
  <c r="F43" i="4" s="1"/>
  <c r="F28" i="8"/>
  <c r="D24" i="4"/>
  <c r="D39" i="4" s="1"/>
  <c r="D24" i="8"/>
  <c r="F19" i="4"/>
  <c r="F34" i="4" s="1"/>
  <c r="F19" i="8"/>
  <c r="D118" i="5"/>
  <c r="D128" i="5" s="1"/>
  <c r="E19" i="4"/>
  <c r="E34" i="4" s="1"/>
  <c r="E19" i="8"/>
  <c r="E21" i="8"/>
  <c r="E21" i="4"/>
  <c r="E36" i="4" s="1"/>
  <c r="G123" i="5"/>
  <c r="G128" i="5" s="1"/>
  <c r="E23" i="4"/>
  <c r="E38" i="4" s="1"/>
  <c r="E23" i="8"/>
  <c r="E18" i="4"/>
  <c r="E33" i="4" s="1"/>
  <c r="E18" i="8"/>
  <c r="B4" i="3"/>
  <c r="I50" i="1" s="1"/>
  <c r="B3" i="3"/>
  <c r="E25" i="4"/>
  <c r="E40" i="4" s="1"/>
  <c r="E25" i="8"/>
  <c r="E29" i="8"/>
  <c r="E29" i="4"/>
  <c r="E44" i="4" s="1"/>
  <c r="E28" i="4"/>
  <c r="E43" i="4" s="1"/>
  <c r="E28" i="8"/>
  <c r="F26" i="4"/>
  <c r="F41" i="4" s="1"/>
  <c r="F26" i="8"/>
  <c r="F24" i="4"/>
  <c r="F39" i="4" s="1"/>
  <c r="F24" i="8"/>
  <c r="E20" i="4"/>
  <c r="E35" i="4" s="1"/>
  <c r="E20" i="8"/>
  <c r="E27" i="8"/>
  <c r="E27" i="4"/>
  <c r="E42" i="4" s="1"/>
  <c r="D25" i="4"/>
  <c r="D40" i="4" s="1"/>
  <c r="D25" i="8"/>
  <c r="F20" i="4"/>
  <c r="F35" i="4" s="1"/>
  <c r="F20" i="8"/>
  <c r="F23" i="4"/>
  <c r="F38" i="4" s="1"/>
  <c r="F23" i="8"/>
  <c r="E24" i="4"/>
  <c r="E39" i="4" s="1"/>
  <c r="E24" i="8"/>
  <c r="E119" i="5"/>
  <c r="E128" i="5" s="1"/>
  <c r="E26" i="8"/>
  <c r="E26" i="4"/>
  <c r="E41" i="4" s="1"/>
  <c r="F22" i="4"/>
  <c r="F37" i="4" s="1"/>
  <c r="F22" i="8"/>
  <c r="E22" i="4"/>
  <c r="E37" i="4" s="1"/>
  <c r="E22" i="8"/>
  <c r="F27" i="4"/>
  <c r="F42" i="4" s="1"/>
  <c r="F27" i="8"/>
  <c r="I51" i="1" l="1"/>
  <c r="B5" i="3"/>
  <c r="Y52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<sst xmlns="http://schemas.openxmlformats.org/spreadsheetml/2006/main" count="997" uniqueCount="169">
  <si>
    <t>Generation</t>
  </si>
  <si>
    <t>Adoption Rate (U.S. 2024-25)</t>
  </si>
  <si>
    <t>Usage Frequency (Weekly+)</t>
  </si>
  <si>
    <t>Late Payment Incidence</t>
  </si>
  <si>
    <t>Regret After Use</t>
  </si>
  <si>
    <t>Gen Z (18-28)</t>
  </si>
  <si>
    <t>38% - 44%</t>
  </si>
  <si>
    <t>39% - 51%</t>
  </si>
  <si>
    <t>27% - 64%</t>
  </si>
  <si>
    <t>Millennials (29-44)</t>
  </si>
  <si>
    <t>37% - 48%</t>
  </si>
  <si>
    <t>30% - 57%</t>
  </si>
  <si>
    <t>Gen X (45-60)</t>
  </si>
  <si>
    <t>28% - 29%</t>
  </si>
  <si>
    <t>22% - 37%</t>
  </si>
  <si>
    <t>Baby Boomers (61-79)</t>
  </si>
  <si>
    <t>13% - 21%</t>
  </si>
  <si>
    <t>18% - 20%</t>
  </si>
  <si>
    <t>Revenue Source</t>
  </si>
  <si>
    <t>Typical Share</t>
  </si>
  <si>
    <t>Merchant fees</t>
  </si>
  <si>
    <t>60–80%</t>
  </si>
  <si>
    <t>Consumer interest</t>
  </si>
  <si>
    <t>10–30%</t>
  </si>
  <si>
    <t>Late fees</t>
  </si>
  <si>
    <t>5–10%</t>
  </si>
  <si>
    <t>Interchange + other</t>
  </si>
  <si>
    <t>5–15%</t>
  </si>
  <si>
    <t>% BNPL Users</t>
  </si>
  <si>
    <t>Gen Z</t>
  </si>
  <si>
    <t>Millenial</t>
  </si>
  <si>
    <t>Millenials</t>
  </si>
  <si>
    <t>Gen X</t>
  </si>
  <si>
    <t>Baby Boomers</t>
  </si>
  <si>
    <t>Income Bracket</t>
  </si>
  <si>
    <t>&lt;50,000</t>
  </si>
  <si>
    <t>50,000-1,00,000</t>
  </si>
  <si>
    <t>&gt;1,00,000</t>
  </si>
  <si>
    <t>Column1</t>
  </si>
  <si>
    <t>Column2</t>
  </si>
  <si>
    <t>Adjustment Factor</t>
  </si>
  <si>
    <t>What % of Gen uses BNPL services</t>
  </si>
  <si>
    <t>What % of Income Bracket uses BNPL services</t>
  </si>
  <si>
    <t xml:space="preserve">Adoption Rate </t>
  </si>
  <si>
    <t>Adoption Rate</t>
  </si>
  <si>
    <t># Population (in M)</t>
  </si>
  <si>
    <t>Weight</t>
  </si>
  <si>
    <t>Portfoliio Comp</t>
  </si>
  <si>
    <t># of BNPL Users (in M)</t>
  </si>
  <si>
    <t>Portfolio Comp</t>
  </si>
  <si>
    <t>Percentage of Population</t>
  </si>
  <si>
    <t>Baby Boomer</t>
  </si>
  <si>
    <t>% of BNPL Users</t>
  </si>
  <si>
    <t>% of Different Generations belonging to different Income Brackets</t>
  </si>
  <si>
    <t>BNPL Portfolio Composition</t>
  </si>
  <si>
    <t>% BNPL Portfolio Composition</t>
  </si>
  <si>
    <t>Credit Score</t>
  </si>
  <si>
    <t>Credit Category</t>
  </si>
  <si>
    <t>Deep Subprime</t>
  </si>
  <si>
    <t>Subprime</t>
  </si>
  <si>
    <t>Near Prime</t>
  </si>
  <si>
    <t>Prime</t>
  </si>
  <si>
    <t>Super Prime</t>
  </si>
  <si>
    <t>&lt;580</t>
  </si>
  <si>
    <t>580-619</t>
  </si>
  <si>
    <t>620-659</t>
  </si>
  <si>
    <t>660-719</t>
  </si>
  <si>
    <t>&gt;720</t>
  </si>
  <si>
    <t>BNPL Loan Originations</t>
  </si>
  <si>
    <t>BNPL Default Rates</t>
  </si>
  <si>
    <t>No Score</t>
  </si>
  <si>
    <t>What % of an Income Bracket lies in what Credit Category?</t>
  </si>
  <si>
    <t xml:space="preserve">Income Bracket </t>
  </si>
  <si>
    <t>Default Rate</t>
  </si>
  <si>
    <t>Default Rates by Income Brackets</t>
  </si>
  <si>
    <t>Default Rates by Generation</t>
  </si>
  <si>
    <t>What % of a Generation lies in what Credit Category?</t>
  </si>
  <si>
    <t>Default Rates</t>
  </si>
  <si>
    <t>%Default Rates by User Segment</t>
  </si>
  <si>
    <t># BNPL Portfolio Composition (in M)</t>
  </si>
  <si>
    <t xml:space="preserve"> </t>
  </si>
  <si>
    <t xml:space="preserve">Generation Default Behaviour Multiplier </t>
  </si>
  <si>
    <t>&lt;50k</t>
  </si>
  <si>
    <t>Sub Prime</t>
  </si>
  <si>
    <t>Sum</t>
  </si>
  <si>
    <t>50k-100k</t>
  </si>
  <si>
    <t>&gt;100k</t>
  </si>
  <si>
    <t>% BNPL Portfolio</t>
  </si>
  <si>
    <t># BNPL Portfolio (in M)</t>
  </si>
  <si>
    <t>Default Behaviour Multiplier</t>
  </si>
  <si>
    <t>Portfolio Default Rate</t>
  </si>
  <si>
    <t># BNPL User Count</t>
  </si>
  <si>
    <t>N/A</t>
  </si>
  <si>
    <t>Loan Share by Segment</t>
  </si>
  <si>
    <t>Loan Originations</t>
  </si>
  <si>
    <t>US Population (in M)</t>
  </si>
  <si>
    <t># Total Loans (in M)</t>
  </si>
  <si>
    <t>Avg Loan per User</t>
  </si>
  <si>
    <t>Loan Count (in M)</t>
  </si>
  <si>
    <t>Loan Share by Segment (in M)</t>
  </si>
  <si>
    <t xml:space="preserve">Average Loans </t>
  </si>
  <si>
    <t>Portfolio Average Default Rate</t>
  </si>
  <si>
    <t>Portfolio Average Loan</t>
  </si>
  <si>
    <t>Average Ticket Size</t>
  </si>
  <si>
    <t>Average Revenue Per User</t>
  </si>
  <si>
    <t>Avg MDR Rate</t>
  </si>
  <si>
    <t>Portfolio ATS</t>
  </si>
  <si>
    <t>Portfolio ARPU</t>
  </si>
  <si>
    <t>Portfolio CM</t>
  </si>
  <si>
    <t>Portfolio Metrics</t>
  </si>
  <si>
    <t>Avg Ticket Size</t>
  </si>
  <si>
    <t>Revenue Per Segment (In M)</t>
  </si>
  <si>
    <t>US Industry Revenue (in M)</t>
  </si>
  <si>
    <t>Income Beta</t>
  </si>
  <si>
    <t>Beta Value</t>
  </si>
  <si>
    <t>Credit Category Beta</t>
  </si>
  <si>
    <t>Beta Segment</t>
  </si>
  <si>
    <t>Income</t>
  </si>
  <si>
    <t>Ticket Size</t>
  </si>
  <si>
    <t>PD(T)</t>
  </si>
  <si>
    <t>PD(0)</t>
  </si>
  <si>
    <t>ATS</t>
  </si>
  <si>
    <t>LGD</t>
  </si>
  <si>
    <t>Fixed Cost</t>
  </si>
  <si>
    <t>Funding Rate</t>
  </si>
  <si>
    <t>Tenure (in months)</t>
  </si>
  <si>
    <t>Expected Credit Loss (ECL)</t>
  </si>
  <si>
    <t>Funding Cost (FC)</t>
  </si>
  <si>
    <t>Revenue per Loan (in $)</t>
  </si>
  <si>
    <t>CM per Loan (in $)</t>
  </si>
  <si>
    <t>CM per User (in $)</t>
  </si>
  <si>
    <t>Delta</t>
  </si>
  <si>
    <t>User Profiles</t>
  </si>
  <si>
    <t>User1</t>
  </si>
  <si>
    <t>User2</t>
  </si>
  <si>
    <t>User3</t>
  </si>
  <si>
    <t>Users</t>
  </si>
  <si>
    <t>Beta Val</t>
  </si>
  <si>
    <t>Average # of Loans</t>
  </si>
  <si>
    <t>Portfolio %</t>
  </si>
  <si>
    <t>ARPU</t>
  </si>
  <si>
    <t>% of Total Loans</t>
  </si>
  <si>
    <t>Delta Funding Rate</t>
  </si>
  <si>
    <t xml:space="preserve">Delta MDR </t>
  </si>
  <si>
    <t>(in BPS)</t>
  </si>
  <si>
    <t>%Portfolio Composition</t>
  </si>
  <si>
    <t># Profitable Loans(in M)</t>
  </si>
  <si>
    <t xml:space="preserve">%Profitable Loans </t>
  </si>
  <si>
    <t>%Unprofitable Loans</t>
  </si>
  <si>
    <t>Selected User</t>
  </si>
  <si>
    <t>Overall Portfolio Statistics</t>
  </si>
  <si>
    <t>Average Default Rate</t>
  </si>
  <si>
    <t>$ CM Per User</t>
  </si>
  <si>
    <t>Average CM per Loan (in $)</t>
  </si>
  <si>
    <t>Min Profitable Ticket Size</t>
  </si>
  <si>
    <t>Max Profitable Ticket Size</t>
  </si>
  <si>
    <t>Gen Z,
&lt;50,000,
Deep Subprime</t>
  </si>
  <si>
    <t>Millenial,
50,000-1,00,000,
Near Prime</t>
  </si>
  <si>
    <t>Gen X,
&gt;1,00,000,
Super Prime</t>
  </si>
  <si>
    <t>Millenial,
50,000-1,00,000,
Sub Prime</t>
  </si>
  <si>
    <t>›</t>
  </si>
  <si>
    <t>Peak CM</t>
  </si>
  <si>
    <t>Delta Peak</t>
  </si>
  <si>
    <t>Peak ATS</t>
  </si>
  <si>
    <t>Min Profitable Delta</t>
  </si>
  <si>
    <t>Max Profitable Delta</t>
  </si>
  <si>
    <t>Min Profitable ATS</t>
  </si>
  <si>
    <t>Max Profitable ATS</t>
  </si>
  <si>
    <t>Ticket Size at Peak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</si>
</sst>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₹&quot;* #,##0.00_);_(&quot;₹&quot;* \(#,##0.00\);_(&quot;₹&quot;* &quot;-&quot;??_);_(@_)"/>
    <numFmt numFmtId="164" formatCode="0.000"/>
    <numFmt numFmtId="165" formatCode="0.0"/>
    <numFmt numFmtId="166" formatCode="_([$$-409]* #,##0.00_);_([$$-409]* \(#,##0.00\);_([$$-409]* &quot;-&quot;??_);_(@_)"/>
    <numFmt numFmtId="167" formatCode="0.0%"/>
    <numFmt numFmtId="168" formatCode="_([$$-409]* #,##0.0_);_([$$-409]* \(#,##0.0\);_([$$-409]* &quot;-&quot;??_);_(@_)"/>
    <numFmt numFmtId="169" formatCode="[$$-409]#,##0.00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theme="0"/>
      <name val="Arial"/>
      <family val="2"/>
    </font>
    <font>
      <sz val="12"/>
      <color rgb="FF000000"/>
      <name val="Aptos Narrow"/>
      <family val="2"/>
      <scheme val="minor"/>
    </font>
    <font>
      <sz val="12"/>
      <color theme="0"/>
      <name val="Arial"/>
      <family val="2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28"/>
      <color theme="1"/>
      <name val="Aptos Narrow"/>
      <scheme val="minor"/>
    </font>
    <font>
      <sz val="22"/>
      <color theme="1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 style="thin">
        <color rgb="FF44B3E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3"/>
      </left>
      <right/>
      <top style="thin">
        <color theme="3"/>
      </top>
      <bottom/>
      <diagonal/>
    </border>
    <border>
      <left/>
      <right style="thin">
        <color theme="3"/>
      </right>
      <top style="thin">
        <color theme="3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thin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/>
      <diagonal/>
    </border>
    <border>
      <left style="thin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medium">
        <color theme="0"/>
      </top>
      <bottom style="thin">
        <color theme="3"/>
      </bottom>
      <diagonal/>
    </border>
    <border>
      <left style="thin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/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/>
      <diagonal/>
    </border>
    <border>
      <left style="medium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/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/>
      <diagonal/>
    </border>
    <border>
      <left style="thin">
        <color theme="3"/>
      </left>
      <right style="medium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thin">
        <color theme="0"/>
      </bottom>
      <diagonal/>
    </border>
    <border>
      <left style="thin">
        <color theme="3"/>
      </left>
      <right/>
      <top style="thin">
        <color theme="3"/>
      </top>
      <bottom style="medium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medium">
        <color theme="0"/>
      </bottom>
      <diagonal/>
    </border>
    <border>
      <left/>
      <right style="thin">
        <color theme="3"/>
      </right>
      <top style="thin">
        <color theme="3"/>
      </top>
      <bottom style="medium">
        <color theme="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4">
    <xf numFmtId="0" fontId="0" fillId="0" borderId="0" xfId="0"/>
    <xf numFmtId="0" fontId="6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9" fontId="9" fillId="0" borderId="0" xfId="0" applyNumberFormat="1" applyFont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wrapText="1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2" xfId="0" applyFill="1" applyBorder="1" applyAlignment="1">
      <alignment horizontal="left"/>
    </xf>
    <xf numFmtId="0" fontId="2" fillId="2" borderId="0" xfId="0" applyFont="1" applyFill="1" applyAlignment="1">
      <alignment horizontal="left"/>
    </xf>
    <xf numFmtId="10" fontId="0" fillId="0" borderId="0" xfId="0" applyNumberFormat="1" applyAlignment="1">
      <alignment horizontal="left"/>
    </xf>
    <xf numFmtId="9" fontId="0" fillId="3" borderId="4" xfId="0" applyNumberFormat="1" applyFill="1" applyBorder="1" applyAlignment="1">
      <alignment horizontal="left"/>
    </xf>
    <xf numFmtId="9" fontId="0" fillId="0" borderId="4" xfId="0" applyNumberFormat="1" applyBorder="1" applyAlignment="1">
      <alignment horizontal="left"/>
    </xf>
    <xf numFmtId="9" fontId="0" fillId="0" borderId="3" xfId="0" applyNumberFormat="1" applyBorder="1" applyAlignment="1">
      <alignment horizontal="left"/>
    </xf>
    <xf numFmtId="9" fontId="0" fillId="3" borderId="0" xfId="0" applyNumberFormat="1" applyFill="1" applyAlignment="1">
      <alignment horizontal="left"/>
    </xf>
    <xf numFmtId="9" fontId="0" fillId="0" borderId="0" xfId="0" applyNumberFormat="1" applyAlignment="1">
      <alignment horizontal="left"/>
    </xf>
    <xf numFmtId="10" fontId="0" fillId="3" borderId="0" xfId="0" applyNumberFormat="1" applyFill="1" applyAlignment="1">
      <alignment horizontal="left"/>
    </xf>
    <xf numFmtId="9" fontId="0" fillId="0" borderId="0" xfId="2" applyFont="1" applyAlignment="1">
      <alignment horizontal="left"/>
    </xf>
    <xf numFmtId="9" fontId="0" fillId="3" borderId="4" xfId="2" applyFont="1" applyFill="1" applyBorder="1" applyAlignment="1">
      <alignment horizontal="left"/>
    </xf>
    <xf numFmtId="9" fontId="0" fillId="0" borderId="4" xfId="2" applyFont="1" applyBorder="1" applyAlignment="1">
      <alignment horizontal="left"/>
    </xf>
    <xf numFmtId="9" fontId="0" fillId="3" borderId="3" xfId="2" applyFont="1" applyFill="1" applyBorder="1" applyAlignment="1">
      <alignment horizontal="left"/>
    </xf>
    <xf numFmtId="9" fontId="0" fillId="3" borderId="5" xfId="2" applyFont="1" applyFill="1" applyBorder="1" applyAlignment="1">
      <alignment horizontal="left"/>
    </xf>
    <xf numFmtId="9" fontId="0" fillId="0" borderId="5" xfId="2" applyFont="1" applyBorder="1" applyAlignment="1">
      <alignment horizontal="left"/>
    </xf>
    <xf numFmtId="9" fontId="0" fillId="3" borderId="2" xfId="2" applyFont="1" applyFill="1" applyBorder="1" applyAlignment="1">
      <alignment horizontal="left"/>
    </xf>
    <xf numFmtId="2" fontId="0" fillId="3" borderId="5" xfId="0" applyNumberFormat="1" applyFill="1" applyBorder="1" applyAlignment="1">
      <alignment horizontal="left"/>
    </xf>
    <xf numFmtId="2" fontId="0" fillId="0" borderId="5" xfId="0" applyNumberFormat="1" applyBorder="1" applyAlignment="1">
      <alignment horizontal="left"/>
    </xf>
    <xf numFmtId="2" fontId="0" fillId="3" borderId="2" xfId="0" applyNumberFormat="1" applyFill="1" applyBorder="1" applyAlignment="1">
      <alignment horizontal="left"/>
    </xf>
    <xf numFmtId="0" fontId="8" fillId="0" borderId="0" xfId="0" applyFont="1" applyAlignment="1">
      <alignment horizontal="left"/>
    </xf>
    <xf numFmtId="0" fontId="11" fillId="4" borderId="6" xfId="0" applyFont="1" applyFill="1" applyBorder="1" applyAlignment="1">
      <alignment horizontal="lef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8" fillId="5" borderId="6" xfId="0" applyFont="1" applyFill="1" applyBorder="1" applyAlignment="1">
      <alignment horizontal="left"/>
    </xf>
    <xf numFmtId="2" fontId="8" fillId="5" borderId="8" xfId="0" applyNumberFormat="1" applyFont="1" applyFill="1" applyBorder="1" applyAlignment="1">
      <alignment horizontal="left"/>
    </xf>
    <xf numFmtId="0" fontId="8" fillId="0" borderId="6" xfId="0" applyFont="1" applyBorder="1" applyAlignment="1">
      <alignment horizontal="left"/>
    </xf>
    <xf numFmtId="2" fontId="8" fillId="0" borderId="7" xfId="0" applyNumberFormat="1" applyFont="1" applyBorder="1" applyAlignment="1">
      <alignment horizontal="left"/>
    </xf>
    <xf numFmtId="2" fontId="8" fillId="0" borderId="8" xfId="0" applyNumberFormat="1" applyFont="1" applyBorder="1" applyAlignment="1">
      <alignment horizontal="left"/>
    </xf>
    <xf numFmtId="9" fontId="8" fillId="5" borderId="7" xfId="2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1" fillId="4" borderId="9" xfId="0" applyFont="1" applyFill="1" applyBorder="1" applyAlignment="1">
      <alignment horizontal="left"/>
    </xf>
    <xf numFmtId="0" fontId="11" fillId="4" borderId="10" xfId="0" applyFont="1" applyFill="1" applyBorder="1" applyAlignment="1">
      <alignment horizontal="left"/>
    </xf>
    <xf numFmtId="0" fontId="8" fillId="0" borderId="11" xfId="0" applyFont="1" applyBorder="1" applyAlignment="1">
      <alignment horizontal="left"/>
    </xf>
    <xf numFmtId="9" fontId="8" fillId="5" borderId="11" xfId="2" applyFont="1" applyFill="1" applyBorder="1" applyAlignment="1">
      <alignment horizontal="left"/>
    </xf>
    <xf numFmtId="10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9" fontId="0" fillId="0" borderId="0" xfId="2" applyFont="1"/>
    <xf numFmtId="10" fontId="0" fillId="0" borderId="0" xfId="2" applyNumberFormat="1" applyFont="1"/>
    <xf numFmtId="1" fontId="0" fillId="0" borderId="0" xfId="0" applyNumberFormat="1"/>
    <xf numFmtId="0" fontId="11" fillId="4" borderId="6" xfId="0" applyFont="1" applyFill="1" applyBorder="1"/>
    <xf numFmtId="0" fontId="11" fillId="4" borderId="8" xfId="0" applyFont="1" applyFill="1" applyBorder="1"/>
    <xf numFmtId="0" fontId="8" fillId="5" borderId="6" xfId="0" applyFont="1" applyFill="1" applyBorder="1"/>
    <xf numFmtId="0" fontId="8" fillId="0" borderId="6" xfId="0" applyFont="1" applyBorder="1"/>
    <xf numFmtId="0" fontId="11" fillId="4" borderId="7" xfId="0" applyFont="1" applyFill="1" applyBorder="1"/>
    <xf numFmtId="2" fontId="8" fillId="5" borderId="7" xfId="0" applyNumberFormat="1" applyFont="1" applyFill="1" applyBorder="1"/>
    <xf numFmtId="0" fontId="8" fillId="5" borderId="7" xfId="0" applyFont="1" applyFill="1" applyBorder="1"/>
    <xf numFmtId="0" fontId="8" fillId="0" borderId="7" xfId="0" applyFont="1" applyBorder="1"/>
    <xf numFmtId="0" fontId="11" fillId="4" borderId="9" xfId="0" applyFont="1" applyFill="1" applyBorder="1"/>
    <xf numFmtId="0" fontId="11" fillId="4" borderId="10" xfId="0" applyFont="1" applyFill="1" applyBorder="1"/>
    <xf numFmtId="0" fontId="8" fillId="5" borderId="11" xfId="0" applyFont="1" applyFill="1" applyBorder="1"/>
    <xf numFmtId="2" fontId="8" fillId="5" borderId="11" xfId="0" applyNumberFormat="1" applyFont="1" applyFill="1" applyBorder="1"/>
    <xf numFmtId="2" fontId="8" fillId="0" borderId="0" xfId="0" applyNumberFormat="1" applyFont="1" applyAlignment="1">
      <alignment horizontal="left"/>
    </xf>
    <xf numFmtId="0" fontId="8" fillId="0" borderId="6" xfId="0" applyFont="1" applyBorder="1" applyAlignment="1">
      <alignment wrapText="1"/>
    </xf>
    <xf numFmtId="10" fontId="8" fillId="0" borderId="0" xfId="0" applyNumberFormat="1" applyFont="1"/>
    <xf numFmtId="10" fontId="4" fillId="0" borderId="0" xfId="0" applyNumberFormat="1" applyFont="1"/>
    <xf numFmtId="2" fontId="0" fillId="0" borderId="0" xfId="2" applyNumberFormat="1" applyFont="1"/>
    <xf numFmtId="0" fontId="8" fillId="5" borderId="12" xfId="0" applyFont="1" applyFill="1" applyBorder="1"/>
    <xf numFmtId="0" fontId="8" fillId="5" borderId="9" xfId="0" applyFont="1" applyFill="1" applyBorder="1"/>
    <xf numFmtId="2" fontId="8" fillId="0" borderId="0" xfId="0" applyNumberFormat="1" applyFont="1"/>
    <xf numFmtId="0" fontId="8" fillId="0" borderId="12" xfId="0" applyFont="1" applyBorder="1"/>
    <xf numFmtId="0" fontId="8" fillId="0" borderId="9" xfId="0" applyFont="1" applyBorder="1"/>
    <xf numFmtId="0" fontId="8" fillId="0" borderId="12" xfId="0" applyFont="1" applyBorder="1" applyAlignment="1">
      <alignment wrapText="1"/>
    </xf>
    <xf numFmtId="0" fontId="8" fillId="0" borderId="9" xfId="0" applyFont="1" applyBorder="1" applyAlignment="1">
      <alignment wrapText="1"/>
    </xf>
    <xf numFmtId="0" fontId="12" fillId="0" borderId="0" xfId="0" applyFont="1"/>
    <xf numFmtId="0" fontId="13" fillId="0" borderId="0" xfId="0" applyFont="1"/>
    <xf numFmtId="44" fontId="13" fillId="0" borderId="0" xfId="1" applyFont="1"/>
    <xf numFmtId="2" fontId="13" fillId="0" borderId="0" xfId="0" applyNumberFormat="1" applyFont="1"/>
    <xf numFmtId="2" fontId="5" fillId="0" borderId="0" xfId="0" applyNumberFormat="1" applyFont="1"/>
    <xf numFmtId="0" fontId="4" fillId="0" borderId="0" xfId="0" applyFont="1"/>
    <xf numFmtId="166" fontId="0" fillId="0" borderId="0" xfId="1" applyNumberFormat="1" applyFont="1"/>
    <xf numFmtId="166" fontId="0" fillId="0" borderId="0" xfId="0" applyNumberFormat="1" applyAlignment="1">
      <alignment horizontal="left"/>
    </xf>
    <xf numFmtId="166" fontId="0" fillId="0" borderId="0" xfId="0" applyNumberFormat="1"/>
    <xf numFmtId="3" fontId="0" fillId="0" borderId="0" xfId="0" applyNumberFormat="1" applyAlignment="1">
      <alignment horizontal="left"/>
    </xf>
    <xf numFmtId="0" fontId="8" fillId="0" borderId="0" xfId="0" applyFont="1" applyAlignment="1">
      <alignment wrapText="1"/>
    </xf>
    <xf numFmtId="166" fontId="8" fillId="5" borderId="7" xfId="0" applyNumberFormat="1" applyFont="1" applyFill="1" applyBorder="1"/>
    <xf numFmtId="0" fontId="8" fillId="0" borderId="11" xfId="0" applyFont="1" applyBorder="1" applyAlignment="1">
      <alignment wrapText="1"/>
    </xf>
    <xf numFmtId="0" fontId="8" fillId="0" borderId="11" xfId="0" applyFont="1" applyBorder="1"/>
    <xf numFmtId="166" fontId="8" fillId="5" borderId="11" xfId="0" applyNumberFormat="1" applyFont="1" applyFill="1" applyBorder="1"/>
    <xf numFmtId="168" fontId="0" fillId="0" borderId="0" xfId="0" applyNumberFormat="1"/>
    <xf numFmtId="0" fontId="0" fillId="0" borderId="0" xfId="0" applyAlignment="1">
      <alignment vertical="center"/>
    </xf>
    <xf numFmtId="167" fontId="8" fillId="5" borderId="7" xfId="0" applyNumberFormat="1" applyFont="1" applyFill="1" applyBorder="1" applyAlignment="1">
      <alignment horizontal="left"/>
    </xf>
    <xf numFmtId="167" fontId="8" fillId="0" borderId="7" xfId="0" applyNumberFormat="1" applyFont="1" applyBorder="1" applyAlignment="1">
      <alignment horizontal="left"/>
    </xf>
    <xf numFmtId="0" fontId="0" fillId="14" borderId="0" xfId="0" applyFill="1"/>
    <xf numFmtId="0" fontId="2" fillId="2" borderId="13" xfId="0" applyFont="1" applyFill="1" applyBorder="1"/>
    <xf numFmtId="9" fontId="0" fillId="3" borderId="13" xfId="0" applyNumberFormat="1" applyFill="1" applyBorder="1"/>
    <xf numFmtId="166" fontId="0" fillId="3" borderId="5" xfId="0" applyNumberFormat="1" applyFill="1" applyBorder="1"/>
    <xf numFmtId="9" fontId="0" fillId="0" borderId="13" xfId="0" applyNumberFormat="1" applyBorder="1"/>
    <xf numFmtId="166" fontId="0" fillId="0" borderId="5" xfId="0" applyNumberFormat="1" applyBorder="1"/>
    <xf numFmtId="0" fontId="2" fillId="2" borderId="5" xfId="0" applyFont="1" applyFill="1" applyBorder="1" applyAlignment="1">
      <alignment wrapText="1" shrinkToFit="1"/>
    </xf>
    <xf numFmtId="0" fontId="22" fillId="14" borderId="0" xfId="0" applyFont="1" applyFill="1" applyAlignment="1">
      <alignment horizontal="left" vertical="center" wrapText="1"/>
    </xf>
    <xf numFmtId="169" fontId="18" fillId="6" borderId="25" xfId="0" applyNumberFormat="1" applyFont="1" applyFill="1" applyBorder="1" applyAlignment="1">
      <alignment horizontal="center" vertical="center"/>
    </xf>
    <xf numFmtId="0" fontId="14" fillId="6" borderId="25" xfId="0" applyFont="1" applyFill="1" applyBorder="1" applyAlignment="1">
      <alignment horizontal="center" vertical="center" wrapText="1"/>
    </xf>
    <xf numFmtId="10" fontId="18" fillId="6" borderId="25" xfId="0" applyNumberFormat="1" applyFont="1" applyFill="1" applyBorder="1" applyAlignment="1">
      <alignment horizontal="center" vertical="center"/>
    </xf>
    <xf numFmtId="0" fontId="18" fillId="6" borderId="25" xfId="0" applyFont="1" applyFill="1" applyBorder="1" applyAlignment="1">
      <alignment horizontal="center" vertical="center"/>
    </xf>
    <xf numFmtId="0" fontId="21" fillId="7" borderId="0" xfId="0" applyFont="1" applyFill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shrinkToFit="1"/>
    </xf>
    <xf numFmtId="0" fontId="14" fillId="11" borderId="32" xfId="0" applyFont="1" applyFill="1" applyBorder="1" applyAlignment="1">
      <alignment horizontal="center" vertical="center" shrinkToFit="1"/>
    </xf>
    <xf numFmtId="0" fontId="14" fillId="11" borderId="17" xfId="0" applyFont="1" applyFill="1" applyBorder="1" applyAlignment="1">
      <alignment horizontal="center" vertical="center" shrinkToFit="1"/>
    </xf>
    <xf numFmtId="0" fontId="14" fillId="11" borderId="21" xfId="0" applyFont="1" applyFill="1" applyBorder="1" applyAlignment="1">
      <alignment horizontal="center" vertical="center" shrinkToFit="1"/>
    </xf>
    <xf numFmtId="10" fontId="20" fillId="11" borderId="34" xfId="2" applyNumberFormat="1" applyFont="1" applyFill="1" applyBorder="1" applyAlignment="1">
      <alignment horizontal="center" vertical="center"/>
    </xf>
    <xf numFmtId="10" fontId="20" fillId="11" borderId="20" xfId="2" applyNumberFormat="1" applyFont="1" applyFill="1" applyBorder="1" applyAlignment="1">
      <alignment horizontal="center" vertical="center"/>
    </xf>
    <xf numFmtId="10" fontId="20" fillId="11" borderId="33" xfId="2" applyNumberFormat="1" applyFont="1" applyFill="1" applyBorder="1" applyAlignment="1">
      <alignment horizontal="center" vertical="center"/>
    </xf>
    <xf numFmtId="10" fontId="20" fillId="11" borderId="14" xfId="2" applyNumberFormat="1" applyFont="1" applyFill="1" applyBorder="1" applyAlignment="1">
      <alignment horizontal="center" vertical="center"/>
    </xf>
    <xf numFmtId="0" fontId="14" fillId="11" borderId="26" xfId="0" applyFont="1" applyFill="1" applyBorder="1" applyAlignment="1">
      <alignment horizontal="center" vertical="center" shrinkToFit="1"/>
    </xf>
    <xf numFmtId="0" fontId="14" fillId="11" borderId="30" xfId="0" applyFont="1" applyFill="1" applyBorder="1" applyAlignment="1">
      <alignment horizontal="center" vertical="center" shrinkToFit="1"/>
    </xf>
    <xf numFmtId="0" fontId="14" fillId="11" borderId="33" xfId="0" applyFont="1" applyFill="1" applyBorder="1" applyAlignment="1">
      <alignment horizontal="center" vertical="center" shrinkToFit="1"/>
    </xf>
    <xf numFmtId="0" fontId="14" fillId="11" borderId="18" xfId="0" applyFont="1" applyFill="1" applyBorder="1" applyAlignment="1">
      <alignment horizontal="center" vertical="center" shrinkToFit="1"/>
    </xf>
    <xf numFmtId="169" fontId="20" fillId="11" borderId="34" xfId="0" applyNumberFormat="1" applyFont="1" applyFill="1" applyBorder="1" applyAlignment="1">
      <alignment horizontal="center" vertical="center"/>
    </xf>
    <xf numFmtId="169" fontId="20" fillId="11" borderId="20" xfId="0" applyNumberFormat="1" applyFont="1" applyFill="1" applyBorder="1" applyAlignment="1">
      <alignment horizontal="center" vertical="center"/>
    </xf>
    <xf numFmtId="169" fontId="20" fillId="11" borderId="28" xfId="0" applyNumberFormat="1" applyFont="1" applyFill="1" applyBorder="1" applyAlignment="1">
      <alignment horizontal="center" vertical="center"/>
    </xf>
    <xf numFmtId="169" fontId="20" fillId="11" borderId="39" xfId="0" applyNumberFormat="1" applyFont="1" applyFill="1" applyBorder="1" applyAlignment="1">
      <alignment horizontal="center" vertical="center"/>
    </xf>
    <xf numFmtId="10" fontId="20" fillId="11" borderId="19" xfId="2" applyNumberFormat="1" applyFont="1" applyFill="1" applyBorder="1" applyAlignment="1">
      <alignment horizontal="center" vertical="center"/>
    </xf>
    <xf numFmtId="10" fontId="20" fillId="11" borderId="23" xfId="2" applyNumberFormat="1" applyFont="1" applyFill="1" applyBorder="1" applyAlignment="1">
      <alignment horizontal="center" vertical="center"/>
    </xf>
    <xf numFmtId="10" fontId="20" fillId="11" borderId="40" xfId="2" applyNumberFormat="1" applyFont="1" applyFill="1" applyBorder="1" applyAlignment="1">
      <alignment horizontal="center" vertical="center"/>
    </xf>
    <xf numFmtId="10" fontId="20" fillId="11" borderId="41" xfId="2" applyNumberFormat="1" applyFont="1" applyFill="1" applyBorder="1" applyAlignment="1">
      <alignment horizontal="center" vertical="center"/>
    </xf>
    <xf numFmtId="10" fontId="20" fillId="11" borderId="16" xfId="2" applyNumberFormat="1" applyFont="1" applyFill="1" applyBorder="1" applyAlignment="1">
      <alignment horizontal="center" vertical="center"/>
    </xf>
    <xf numFmtId="10" fontId="20" fillId="11" borderId="35" xfId="2" applyNumberFormat="1" applyFont="1" applyFill="1" applyBorder="1" applyAlignment="1">
      <alignment horizontal="center" vertical="center"/>
    </xf>
    <xf numFmtId="10" fontId="20" fillId="11" borderId="42" xfId="2" applyNumberFormat="1" applyFont="1" applyFill="1" applyBorder="1" applyAlignment="1">
      <alignment horizontal="center" vertical="center"/>
    </xf>
    <xf numFmtId="10" fontId="20" fillId="11" borderId="29" xfId="2" applyNumberFormat="1" applyFont="1" applyFill="1" applyBorder="1" applyAlignment="1">
      <alignment horizontal="center" vertical="center"/>
    </xf>
    <xf numFmtId="0" fontId="14" fillId="11" borderId="19" xfId="0" applyFont="1" applyFill="1" applyBorder="1" applyAlignment="1">
      <alignment horizontal="center" vertical="center" shrinkToFit="1"/>
    </xf>
    <xf numFmtId="0" fontId="14" fillId="11" borderId="37" xfId="0" applyFont="1" applyFill="1" applyBorder="1" applyAlignment="1">
      <alignment horizontal="center" vertical="center" shrinkToFit="1"/>
    </xf>
    <xf numFmtId="0" fontId="14" fillId="11" borderId="38" xfId="0" applyFont="1" applyFill="1" applyBorder="1" applyAlignment="1">
      <alignment horizontal="center" vertical="center" shrinkToFit="1"/>
    </xf>
    <xf numFmtId="0" fontId="14" fillId="11" borderId="19" xfId="0" applyFont="1" applyFill="1" applyBorder="1" applyAlignment="1">
      <alignment horizontal="center" vertical="center" wrapText="1" shrinkToFit="1"/>
    </xf>
    <xf numFmtId="0" fontId="14" fillId="11" borderId="23" xfId="0" applyFont="1" applyFill="1" applyBorder="1" applyAlignment="1">
      <alignment horizontal="center" vertical="center" wrapText="1" shrinkToFit="1"/>
    </xf>
    <xf numFmtId="0" fontId="14" fillId="11" borderId="17" xfId="0" applyFont="1" applyFill="1" applyBorder="1" applyAlignment="1">
      <alignment horizontal="center" vertical="center" wrapText="1" shrinkToFit="1"/>
    </xf>
    <xf numFmtId="0" fontId="14" fillId="11" borderId="24" xfId="0" applyFont="1" applyFill="1" applyBorder="1" applyAlignment="1">
      <alignment horizontal="center" vertical="center" wrapText="1" shrinkToFit="1"/>
    </xf>
    <xf numFmtId="0" fontId="14" fillId="11" borderId="34" xfId="0" applyFont="1" applyFill="1" applyBorder="1" applyAlignment="1">
      <alignment horizontal="center" vertical="center" shrinkToFit="1"/>
    </xf>
    <xf numFmtId="0" fontId="14" fillId="11" borderId="20" xfId="0" applyFont="1" applyFill="1" applyBorder="1" applyAlignment="1">
      <alignment horizontal="center" vertical="center" shrinkToFit="1"/>
    </xf>
    <xf numFmtId="0" fontId="14" fillId="11" borderId="14" xfId="0" applyFont="1" applyFill="1" applyBorder="1" applyAlignment="1">
      <alignment horizontal="center" vertical="center" shrinkToFit="1"/>
    </xf>
    <xf numFmtId="169" fontId="20" fillId="11" borderId="16" xfId="0" applyNumberFormat="1" applyFont="1" applyFill="1" applyBorder="1" applyAlignment="1">
      <alignment horizontal="center" vertical="center"/>
    </xf>
    <xf numFmtId="169" fontId="20" fillId="11" borderId="35" xfId="0" applyNumberFormat="1" applyFont="1" applyFill="1" applyBorder="1" applyAlignment="1">
      <alignment horizontal="center" vertical="center"/>
    </xf>
    <xf numFmtId="169" fontId="20" fillId="11" borderId="15" xfId="0" applyNumberFormat="1" applyFont="1" applyFill="1" applyBorder="1" applyAlignment="1">
      <alignment horizontal="center" vertical="center"/>
    </xf>
    <xf numFmtId="169" fontId="20" fillId="11" borderId="36" xfId="0" applyNumberFormat="1" applyFont="1" applyFill="1" applyBorder="1" applyAlignment="1">
      <alignment horizontal="center" vertical="center"/>
    </xf>
    <xf numFmtId="169" fontId="20" fillId="11" borderId="19" xfId="0" applyNumberFormat="1" applyFont="1" applyFill="1" applyBorder="1" applyAlignment="1">
      <alignment horizontal="center" vertical="center"/>
    </xf>
    <xf numFmtId="169" fontId="20" fillId="11" borderId="23" xfId="0" applyNumberFormat="1" applyFont="1" applyFill="1" applyBorder="1" applyAlignment="1">
      <alignment horizontal="center" vertical="center"/>
    </xf>
    <xf numFmtId="169" fontId="20" fillId="11" borderId="22" xfId="0" applyNumberFormat="1" applyFont="1" applyFill="1" applyBorder="1" applyAlignment="1">
      <alignment horizontal="center" vertical="center"/>
    </xf>
    <xf numFmtId="169" fontId="20" fillId="11" borderId="18" xfId="0" applyNumberFormat="1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/>
    </xf>
    <xf numFmtId="0" fontId="16" fillId="13" borderId="0" xfId="0" applyFont="1" applyFill="1" applyAlignment="1" applyProtection="1">
      <alignment horizontal="center" vertical="center"/>
      <protection locked="0"/>
    </xf>
    <xf numFmtId="0" fontId="14" fillId="11" borderId="27" xfId="0" applyFont="1" applyFill="1" applyBorder="1" applyAlignment="1">
      <alignment horizontal="center" vertical="center" shrinkToFit="1"/>
    </xf>
    <xf numFmtId="0" fontId="14" fillId="11" borderId="28" xfId="0" applyFont="1" applyFill="1" applyBorder="1" applyAlignment="1">
      <alignment horizontal="center" vertical="center" shrinkToFit="1"/>
    </xf>
    <xf numFmtId="0" fontId="14" fillId="11" borderId="29" xfId="0" applyFont="1" applyFill="1" applyBorder="1" applyAlignment="1">
      <alignment horizontal="center" vertical="center" shrinkToFit="1"/>
    </xf>
    <xf numFmtId="0" fontId="16" fillId="8" borderId="0" xfId="0" applyFont="1" applyFill="1" applyAlignment="1">
      <alignment horizontal="center" vertical="center" shrinkToFit="1"/>
    </xf>
    <xf numFmtId="0" fontId="17" fillId="9" borderId="0" xfId="0" applyFont="1" applyFill="1" applyAlignment="1">
      <alignment horizontal="center" vertical="center"/>
    </xf>
    <xf numFmtId="0" fontId="15" fillId="10" borderId="0" xfId="0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/>
    </xf>
  </cellXfs>
  <cellStyles count="3">
    <cellStyle name="Currency" xfId="1" builtinId="4"/>
    <cellStyle name="Normal" xfId="0" builtinId="0"/>
    <cellStyle name="Per cent" xfId="2" builtinId="5"/>
  </cellStyles>
  <dxfs count="230"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4" formatCode="0.00%"/>
    </dxf>
    <dxf>
      <numFmt numFmtId="166" formatCode="_([$$-409]* #,##0.00_);_([$$-409]* \(#,##0.00\);_([$$-409]* &quot;-&quot;??_);_(@_)"/>
    </dxf>
    <dxf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</dxf>
    <dxf>
      <numFmt numFmtId="2" formatCode="0.00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border outline="0">
        <left style="thin">
          <color theme="4" tint="0.39997558519241921"/>
        </left>
      </border>
    </dxf>
    <dxf>
      <numFmt numFmtId="13" formatCode="0%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top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E2741"/>
      <color rgb="FFFFC800"/>
      <color rgb="FFFFD800"/>
      <color rgb="FFC25353"/>
      <color rgb="FF6BC17C"/>
      <color rgb="FFE7AE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A-A34E-817C-5BAB7E903A2C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A-A34E-817C-5BAB7E903A2C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EA-A34E-817C-5BAB7E903A2C}"/>
                </c:ext>
              </c:extLst>
            </c:dLbl>
            <c:dLbl>
              <c:idx val="3"/>
              <c:layout>
                <c:manualLayout>
                  <c:x val="0"/>
                  <c:y val="-5.63152522601341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EA-A34E-817C-5BAB7E903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EA-A34E-817C-5BAB7E903A2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Loan</a:t>
            </a:r>
            <a:r>
              <a:rPr lang="en-GB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D2-044C-BB0A-7E7F1306010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D2-044C-BB0A-7E7F1306010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shade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D2-044C-BB0A-7E7F1306010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D2-044C-BB0A-7E7F1306010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1">
                      <a:tint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2D2-044C-BB0A-7E7F1306010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2D2-044C-BB0A-7E7F130601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6-2C46-9CA2-F07F41A9A0E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%</a:t>
            </a:r>
            <a:r>
              <a:rPr lang="en-GB" baseline="0"/>
              <a:t> of Profitable Loans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71-2744-919D-4B65E397C4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571-2744-919D-4B65E397C4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0%</c:formatCode>
                <c:ptCount val="2"/>
                <c:pt idx="0">
                  <c:v>0.35274775178987594</c:v>
                </c:pt>
                <c:pt idx="1">
                  <c:v>0.64725224821012406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9-5B42-A5B5-C07000B4F7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-2.8847363281250002</c:v>
                </c:pt>
                <c:pt idx="1">
                  <c:v>-2.7694726562500005</c:v>
                </c:pt>
                <c:pt idx="2">
                  <c:v>-2.6542089843749999</c:v>
                </c:pt>
                <c:pt idx="3">
                  <c:v>-2.5389453125000001</c:v>
                </c:pt>
                <c:pt idx="4">
                  <c:v>-3.3674874638496513</c:v>
                </c:pt>
                <c:pt idx="5">
                  <c:v>-4.795103079467129</c:v>
                </c:pt>
                <c:pt idx="6">
                  <c:v>-6.9274035550058519</c:v>
                </c:pt>
                <c:pt idx="7">
                  <c:v>-9.8680621394749277</c:v>
                </c:pt>
                <c:pt idx="8">
                  <c:v>-13.719123618459729</c:v>
                </c:pt>
                <c:pt idx="9">
                  <c:v>-18.581231342684262</c:v>
                </c:pt>
                <c:pt idx="10">
                  <c:v>-24.553800586247633</c:v>
                </c:pt>
                <c:pt idx="11">
                  <c:v>-31.73515510738061</c:v>
                </c:pt>
                <c:pt idx="12">
                  <c:v>-40.222637400523638</c:v>
                </c:pt>
                <c:pt idx="13">
                  <c:v>-50.112699500860252</c:v>
                </c:pt>
                <c:pt idx="14">
                  <c:v>-61.500979016448014</c:v>
                </c:pt>
                <c:pt idx="15">
                  <c:v>-74.482363682077036</c:v>
                </c:pt>
                <c:pt idx="16">
                  <c:v>-89.151046821855473</c:v>
                </c:pt>
                <c:pt idx="17">
                  <c:v>-105.60057549184353</c:v>
                </c:pt>
                <c:pt idx="18">
                  <c:v>-123.92389264437</c:v>
                </c:pt>
                <c:pt idx="19">
                  <c:v>-144.21337434847572</c:v>
                </c:pt>
                <c:pt idx="20">
                  <c:v>-166.56086287664331</c:v>
                </c:pt>
                <c:pt idx="21">
                  <c:v>-191.05769630117203</c:v>
                </c:pt>
                <c:pt idx="22">
                  <c:v>-217.79473511744064</c:v>
                </c:pt>
                <c:pt idx="23">
                  <c:v>-246.86238631454688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6944-83F3-71F526602E8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Near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-1.7633085937500002</c:v>
                </c:pt>
                <c:pt idx="1">
                  <c:v>-0.52661718750000031</c:v>
                </c:pt>
                <c:pt idx="2">
                  <c:v>0.71007421874999976</c:v>
                </c:pt>
                <c:pt idx="3">
                  <c:v>1.9467656249999994</c:v>
                </c:pt>
                <c:pt idx="4">
                  <c:v>2.6386874482343452</c:v>
                </c:pt>
                <c:pt idx="5">
                  <c:v>3.0692419866357707</c:v>
                </c:pt>
                <c:pt idx="6">
                  <c:v>3.2226646165696264</c:v>
                </c:pt>
                <c:pt idx="7">
                  <c:v>3.084902921365245</c:v>
                </c:pt>
                <c:pt idx="8">
                  <c:v>2.6432184120281974</c:v>
                </c:pt>
                <c:pt idx="9">
                  <c:v>1.8859186013432172</c:v>
                </c:pt>
                <c:pt idx="10">
                  <c:v>0.80216705212291828</c:v>
                </c:pt>
                <c:pt idx="11">
                  <c:v>-0.61815678324042267</c:v>
                </c:pt>
                <c:pt idx="12">
                  <c:v>-2.3845642928101469</c:v>
                </c:pt>
                <c:pt idx="13">
                  <c:v>-4.5060410774859392</c:v>
                </c:pt>
                <c:pt idx="14">
                  <c:v>-6.9911134652382714</c:v>
                </c:pt>
                <c:pt idx="15">
                  <c:v>-9.847902525456913</c:v>
                </c:pt>
                <c:pt idx="16">
                  <c:v>-13.084168601237174</c:v>
                </c:pt>
                <c:pt idx="17">
                  <c:v>-16.707348506987699</c:v>
                </c:pt>
                <c:pt idx="18">
                  <c:v>-20.724586955591672</c:v>
                </c:pt>
                <c:pt idx="19">
                  <c:v>-25.142763378012141</c:v>
                </c:pt>
                <c:pt idx="20">
                  <c:v>-29.968515015460518</c:v>
                </c:pt>
                <c:pt idx="21">
                  <c:v>-35.208256960859273</c:v>
                </c:pt>
                <c:pt idx="22">
                  <c:v>-40.868199677335376</c:v>
                </c:pt>
                <c:pt idx="23">
                  <c:v>-46.954364410530495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6944-83F3-71F526602E8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2.9318310546874993</c:v>
                </c:pt>
                <c:pt idx="1">
                  <c:v>8.8636621093749994</c:v>
                </c:pt>
                <c:pt idx="2">
                  <c:v>14.795493164062497</c:v>
                </c:pt>
                <c:pt idx="3">
                  <c:v>20.727324218749999</c:v>
                </c:pt>
                <c:pt idx="4">
                  <c:v>25.163715084255458</c:v>
                </c:pt>
                <c:pt idx="5">
                  <c:v>28.976096953153423</c:v>
                </c:pt>
                <c:pt idx="6">
                  <c:v>32.156296597367138</c:v>
                </c:pt>
                <c:pt idx="7">
                  <c:v>34.69733083922938</c:v>
                </c:pt>
                <c:pt idx="8">
                  <c:v>36.593094025865014</c:v>
                </c:pt>
                <c:pt idx="9">
                  <c:v>37.838155598553982</c:v>
                </c:pt>
                <c:pt idx="10">
                  <c:v>38.42762118012029</c:v>
                </c:pt>
                <c:pt idx="11">
                  <c:v>38.357032974278752</c:v>
                </c:pt>
                <c:pt idx="12">
                  <c:v>37.622295841224002</c:v>
                </c:pt>
                <c:pt idx="13">
                  <c:v>36.219620875042864</c:v>
                </c:pt>
                <c:pt idx="14">
                  <c:v>34.145481332967819</c:v>
                </c:pt>
                <c:pt idx="15">
                  <c:v>31.396577537324845</c:v>
                </c:pt>
                <c:pt idx="16">
                  <c:v>27.969808456444653</c:v>
                </c:pt>
                <c:pt idx="17">
                  <c:v>23.86224836212341</c:v>
                </c:pt>
                <c:pt idx="18">
                  <c:v>19.071127416148741</c:v>
                </c:pt>
                <c:pt idx="19">
                  <c:v>13.593815346324902</c:v>
                </c:pt>
                <c:pt idx="20">
                  <c:v>7.4278075860286776</c:v>
                </c:pt>
                <c:pt idx="21">
                  <c:v>0.57071340272591442</c:v>
                </c:pt>
                <c:pt idx="22">
                  <c:v>-6.9797543497328434</c:v>
                </c:pt>
                <c:pt idx="23">
                  <c:v>-15.225788139817865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6944-83F3-71F526602E8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Z,
50,000-1,00,000,
Near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-2.1836953124999998</c:v>
                </c:pt>
                <c:pt idx="1">
                  <c:v>-1.3673906250000001</c:v>
                </c:pt>
                <c:pt idx="2">
                  <c:v>-0.55108593750000001</c:v>
                </c:pt>
                <c:pt idx="3">
                  <c:v>0.26521874999999995</c:v>
                </c:pt>
                <c:pt idx="4">
                  <c:v>0.70437526464300815</c:v>
                </c:pt>
                <c:pt idx="5">
                  <c:v>0.96258519747861016</c:v>
                </c:pt>
                <c:pt idx="6">
                  <c:v>1.0289345782982036</c:v>
                </c:pt>
                <c:pt idx="7">
                  <c:v>0.89369481094517056</c:v>
                </c:pt>
                <c:pt idx="8">
                  <c:v>0.54804694150029221</c:v>
                </c:pt>
                <c:pt idx="9">
                  <c:v>-1.6103828877771953E-2</c:v>
                </c:pt>
                <c:pt idx="10">
                  <c:v>-0.8062596490110554</c:v>
                </c:pt>
                <c:pt idx="11">
                  <c:v>-1.8294270518587545</c:v>
                </c:pt>
                <c:pt idx="12">
                  <c:v>-3.0921908445416406</c:v>
                </c:pt>
                <c:pt idx="13">
                  <c:v>-4.6007718276825749</c:v>
                </c:pt>
                <c:pt idx="14">
                  <c:v>-6.3610728437226491</c:v>
                </c:pt>
                <c:pt idx="15">
                  <c:v>-8.3787161714701686</c:v>
                </c:pt>
                <c:pt idx="16">
                  <c:v>-10.659074356144966</c:v>
                </c:pt>
                <c:pt idx="17">
                  <c:v>-13.207295961568402</c:v>
                </c:pt>
                <c:pt idx="18">
                  <c:v>-16.028327327428855</c:v>
                </c:pt>
                <c:pt idx="19">
                  <c:v>-19.126931136700712</c:v>
                </c:pt>
                <c:pt idx="20">
                  <c:v>-22.507702402530359</c:v>
                </c:pt>
                <c:pt idx="21">
                  <c:v>-26.175082343094882</c:v>
                </c:pt>
                <c:pt idx="22">
                  <c:v>-30.133370509789867</c:v>
                </c:pt>
                <c:pt idx="23">
                  <c:v>-34.386735457290349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69-6944-83F3-71F526602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>
                <a:solidFill>
                  <a:schemeClr val="tx1"/>
                </a:solidFill>
              </a:rPr>
              <a:t>User</a:t>
            </a:r>
            <a:r>
              <a:rPr lang="en-GB" sz="2400" b="1" baseline="0">
                <a:solidFill>
                  <a:schemeClr val="tx1"/>
                </a:solidFill>
              </a:rPr>
              <a:t> Base by Generation</a:t>
            </a:r>
            <a:endParaRPr lang="en-GB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B-0C4C-8856-E11C2FA75B23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B-0C4C-8856-E11C2FA75B23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0B-0C4C-8856-E11C2FA75B23}"/>
                </c:ext>
              </c:extLst>
            </c:dLbl>
            <c:dLbl>
              <c:idx val="3"/>
              <c:layout>
                <c:manualLayout>
                  <c:x val="-2.048719848530237E-3"/>
                  <c:y val="-5.40560253020936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0B-0C4C-8856-E11C2FA75B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0B-0C4C-8856-E11C2FA75B2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Loan</a:t>
            </a:r>
            <a:r>
              <a:rPr lang="en-GB" sz="2400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33-8F40-989B-50EEED1D01B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33-8F40-989B-50EEED1D01B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33-8F40-989B-50EEED1D01B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33-8F40-989B-50EEED1D01B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33-8F40-989B-50EEED1D01B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33-8F40-989B-50EEED1D01B5}"/>
              </c:ext>
            </c:extLst>
          </c:dPt>
          <c:dLbls>
            <c:dLbl>
              <c:idx val="0"/>
              <c:layout>
                <c:manualLayout>
                  <c:x val="1.4996271955203816E-2"/>
                  <c:y val="1.56952066455596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33-8F40-989B-50EEED1D01B5}"/>
                </c:ext>
              </c:extLst>
            </c:dLbl>
            <c:dLbl>
              <c:idx val="1"/>
              <c:layout>
                <c:manualLayout>
                  <c:x val="-0.20093007997656004"/>
                  <c:y val="-3.47375554302481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33-8F40-989B-50EEED1D01B5}"/>
                </c:ext>
              </c:extLst>
            </c:dLbl>
            <c:dLbl>
              <c:idx val="2"/>
              <c:layout>
                <c:manualLayout>
                  <c:x val="9.5888185617451493E-2"/>
                  <c:y val="-0.1462040580055033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33-8F40-989B-50EEED1D01B5}"/>
                </c:ext>
              </c:extLst>
            </c:dLbl>
            <c:dLbl>
              <c:idx val="3"/>
              <c:layout>
                <c:manualLayout>
                  <c:x val="5.5016374952544932E-2"/>
                  <c:y val="-1.759741425749685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33-8F40-989B-50EEED1D01B5}"/>
                </c:ext>
              </c:extLst>
            </c:dLbl>
            <c:dLbl>
              <c:idx val="4"/>
              <c:layout>
                <c:manualLayout>
                  <c:x val="7.5022329480743083E-2"/>
                  <c:y val="8.217236416047288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33-8F40-989B-50EEED1D01B5}"/>
                </c:ext>
              </c:extLst>
            </c:dLbl>
            <c:dLbl>
              <c:idx val="5"/>
              <c:layout>
                <c:manualLayout>
                  <c:x val="7.3878977364916443E-2"/>
                  <c:y val="0.14597563859185078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823003199634033"/>
                      <c:h val="8.53221372531707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6C33-8F40-989B-50EEED1D01B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C33-8F40-989B-50EEED1D01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11063450381309"/>
          <c:y val="0.16737171980928281"/>
          <c:w val="0.24037741502935991"/>
          <c:h val="0.7168587449296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%</a:t>
            </a:r>
            <a:r>
              <a:rPr lang="en-GB" sz="2400" baseline="0"/>
              <a:t> of Profitable Loans</a:t>
            </a:r>
            <a:endParaRPr lang="en-GB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A8-5842-A8BC-9490603FC91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AA8-5842-A8BC-9490603FC9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0%</c:formatCode>
                <c:ptCount val="2"/>
                <c:pt idx="0">
                  <c:v>0.35274775178987594</c:v>
                </c:pt>
                <c:pt idx="1">
                  <c:v>0.64725224821012406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A8-5842-A8BC-9490603FC91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-2.8847363281250002</c:v>
                </c:pt>
                <c:pt idx="1">
                  <c:v>-2.7694726562500005</c:v>
                </c:pt>
                <c:pt idx="2">
                  <c:v>-2.6542089843749999</c:v>
                </c:pt>
                <c:pt idx="3">
                  <c:v>-2.5389453125000001</c:v>
                </c:pt>
                <c:pt idx="4">
                  <c:v>-3.3674874638496513</c:v>
                </c:pt>
                <c:pt idx="5">
                  <c:v>-4.795103079467129</c:v>
                </c:pt>
                <c:pt idx="6">
                  <c:v>-6.9274035550058519</c:v>
                </c:pt>
                <c:pt idx="7">
                  <c:v>-9.8680621394749277</c:v>
                </c:pt>
                <c:pt idx="8">
                  <c:v>-13.719123618459729</c:v>
                </c:pt>
                <c:pt idx="9">
                  <c:v>-18.581231342684262</c:v>
                </c:pt>
                <c:pt idx="10">
                  <c:v>-24.553800586247633</c:v>
                </c:pt>
                <c:pt idx="11">
                  <c:v>-31.73515510738061</c:v>
                </c:pt>
                <c:pt idx="12">
                  <c:v>-40.222637400523638</c:v>
                </c:pt>
                <c:pt idx="13">
                  <c:v>-50.112699500860252</c:v>
                </c:pt>
                <c:pt idx="14">
                  <c:v>-61.500979016448014</c:v>
                </c:pt>
                <c:pt idx="15">
                  <c:v>-74.482363682077036</c:v>
                </c:pt>
                <c:pt idx="16">
                  <c:v>-89.151046821855473</c:v>
                </c:pt>
                <c:pt idx="17">
                  <c:v>-105.60057549184353</c:v>
                </c:pt>
                <c:pt idx="18">
                  <c:v>-123.92389264437</c:v>
                </c:pt>
                <c:pt idx="19">
                  <c:v>-144.21337434847572</c:v>
                </c:pt>
                <c:pt idx="20">
                  <c:v>-166.56086287664331</c:v>
                </c:pt>
                <c:pt idx="21">
                  <c:v>-191.05769630117203</c:v>
                </c:pt>
                <c:pt idx="22">
                  <c:v>-217.79473511744064</c:v>
                </c:pt>
                <c:pt idx="23">
                  <c:v>-246.86238631454688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5-434D-847B-01347B35963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Near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-1.7633085937500002</c:v>
                </c:pt>
                <c:pt idx="1">
                  <c:v>-0.52661718750000031</c:v>
                </c:pt>
                <c:pt idx="2">
                  <c:v>0.71007421874999976</c:v>
                </c:pt>
                <c:pt idx="3">
                  <c:v>1.9467656249999994</c:v>
                </c:pt>
                <c:pt idx="4">
                  <c:v>2.6386874482343452</c:v>
                </c:pt>
                <c:pt idx="5">
                  <c:v>3.0692419866357707</c:v>
                </c:pt>
                <c:pt idx="6">
                  <c:v>3.2226646165696264</c:v>
                </c:pt>
                <c:pt idx="7">
                  <c:v>3.084902921365245</c:v>
                </c:pt>
                <c:pt idx="8">
                  <c:v>2.6432184120281974</c:v>
                </c:pt>
                <c:pt idx="9">
                  <c:v>1.8859186013432172</c:v>
                </c:pt>
                <c:pt idx="10">
                  <c:v>0.80216705212291828</c:v>
                </c:pt>
                <c:pt idx="11">
                  <c:v>-0.61815678324042267</c:v>
                </c:pt>
                <c:pt idx="12">
                  <c:v>-2.3845642928101469</c:v>
                </c:pt>
                <c:pt idx="13">
                  <c:v>-4.5060410774859392</c:v>
                </c:pt>
                <c:pt idx="14">
                  <c:v>-6.9911134652382714</c:v>
                </c:pt>
                <c:pt idx="15">
                  <c:v>-9.847902525456913</c:v>
                </c:pt>
                <c:pt idx="16">
                  <c:v>-13.084168601237174</c:v>
                </c:pt>
                <c:pt idx="17">
                  <c:v>-16.707348506987699</c:v>
                </c:pt>
                <c:pt idx="18">
                  <c:v>-20.724586955591672</c:v>
                </c:pt>
                <c:pt idx="19">
                  <c:v>-25.142763378012141</c:v>
                </c:pt>
                <c:pt idx="20">
                  <c:v>-29.968515015460518</c:v>
                </c:pt>
                <c:pt idx="21">
                  <c:v>-35.208256960859273</c:v>
                </c:pt>
                <c:pt idx="22">
                  <c:v>-40.868199677335376</c:v>
                </c:pt>
                <c:pt idx="23">
                  <c:v>-46.954364410530495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5-434D-847B-01347B35963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2.9318310546874993</c:v>
                </c:pt>
                <c:pt idx="1">
                  <c:v>8.8636621093749994</c:v>
                </c:pt>
                <c:pt idx="2">
                  <c:v>14.795493164062497</c:v>
                </c:pt>
                <c:pt idx="3">
                  <c:v>20.727324218749999</c:v>
                </c:pt>
                <c:pt idx="4">
                  <c:v>25.163715084255458</c:v>
                </c:pt>
                <c:pt idx="5">
                  <c:v>28.976096953153423</c:v>
                </c:pt>
                <c:pt idx="6">
                  <c:v>32.156296597367138</c:v>
                </c:pt>
                <c:pt idx="7">
                  <c:v>34.69733083922938</c:v>
                </c:pt>
                <c:pt idx="8">
                  <c:v>36.593094025865014</c:v>
                </c:pt>
                <c:pt idx="9">
                  <c:v>37.838155598553982</c:v>
                </c:pt>
                <c:pt idx="10">
                  <c:v>38.42762118012029</c:v>
                </c:pt>
                <c:pt idx="11">
                  <c:v>38.357032974278752</c:v>
                </c:pt>
                <c:pt idx="12">
                  <c:v>37.622295841224002</c:v>
                </c:pt>
                <c:pt idx="13">
                  <c:v>36.219620875042864</c:v>
                </c:pt>
                <c:pt idx="14">
                  <c:v>34.145481332967819</c:v>
                </c:pt>
                <c:pt idx="15">
                  <c:v>31.396577537324845</c:v>
                </c:pt>
                <c:pt idx="16">
                  <c:v>27.969808456444653</c:v>
                </c:pt>
                <c:pt idx="17">
                  <c:v>23.86224836212341</c:v>
                </c:pt>
                <c:pt idx="18">
                  <c:v>19.071127416148741</c:v>
                </c:pt>
                <c:pt idx="19">
                  <c:v>13.593815346324902</c:v>
                </c:pt>
                <c:pt idx="20">
                  <c:v>7.4278075860286776</c:v>
                </c:pt>
                <c:pt idx="21">
                  <c:v>0.57071340272591442</c:v>
                </c:pt>
                <c:pt idx="22">
                  <c:v>-6.9797543497328434</c:v>
                </c:pt>
                <c:pt idx="23">
                  <c:v>-15.225788139817865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5-434D-847B-01347B35963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Z,
50,000-1,00,000,
Near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-2.1836953124999998</c:v>
                </c:pt>
                <c:pt idx="1">
                  <c:v>-1.3673906250000001</c:v>
                </c:pt>
                <c:pt idx="2">
                  <c:v>-0.55108593750000001</c:v>
                </c:pt>
                <c:pt idx="3">
                  <c:v>0.26521874999999995</c:v>
                </c:pt>
                <c:pt idx="4">
                  <c:v>0.70437526464300815</c:v>
                </c:pt>
                <c:pt idx="5">
                  <c:v>0.96258519747861016</c:v>
                </c:pt>
                <c:pt idx="6">
                  <c:v>1.0289345782982036</c:v>
                </c:pt>
                <c:pt idx="7">
                  <c:v>0.89369481094517056</c:v>
                </c:pt>
                <c:pt idx="8">
                  <c:v>0.54804694150029221</c:v>
                </c:pt>
                <c:pt idx="9">
                  <c:v>-1.6103828877771953E-2</c:v>
                </c:pt>
                <c:pt idx="10">
                  <c:v>-0.8062596490110554</c:v>
                </c:pt>
                <c:pt idx="11">
                  <c:v>-1.8294270518587545</c:v>
                </c:pt>
                <c:pt idx="12">
                  <c:v>-3.0921908445416406</c:v>
                </c:pt>
                <c:pt idx="13">
                  <c:v>-4.6007718276825749</c:v>
                </c:pt>
                <c:pt idx="14">
                  <c:v>-6.3610728437226491</c:v>
                </c:pt>
                <c:pt idx="15">
                  <c:v>-8.3787161714701686</c:v>
                </c:pt>
                <c:pt idx="16">
                  <c:v>-10.659074356144966</c:v>
                </c:pt>
                <c:pt idx="17">
                  <c:v>-13.207295961568402</c:v>
                </c:pt>
                <c:pt idx="18">
                  <c:v>-16.028327327428855</c:v>
                </c:pt>
                <c:pt idx="19">
                  <c:v>-19.126931136700712</c:v>
                </c:pt>
                <c:pt idx="20">
                  <c:v>-22.507702402530359</c:v>
                </c:pt>
                <c:pt idx="21">
                  <c:v>-26.175082343094882</c:v>
                </c:pt>
                <c:pt idx="22">
                  <c:v>-30.133370509789867</c:v>
                </c:pt>
                <c:pt idx="23">
                  <c:v>-34.386735457290349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5-434D-847B-01347B35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810638</xdr:colOff>
      <xdr:row>58</xdr:row>
      <xdr:rowOff>57501</xdr:rowOff>
    </xdr:from>
    <xdr:to>
      <xdr:col>8</xdr:col>
      <xdr:colOff>385972</xdr:colOff>
      <xdr:row>93</xdr:row>
      <xdr:rowOff>54043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B5B6875-1376-2536-17C1-C14022F6E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520700</xdr:colOff>
      <xdr:row>9</xdr:row>
      <xdr:rowOff>0</xdr:rowOff>
    </xdr:from>
    <xdr:to>
      <xdr:col>16</xdr:col>
      <xdr:colOff>137160</xdr:colOff>
      <xdr:row>21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251291-9F3F-35EF-97F1-AEE9E175D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85618</xdr:colOff>
      <xdr:row>4</xdr:row>
      <xdr:rowOff>126716</xdr:rowOff>
    </xdr:from>
    <xdr:to>
      <xdr:col>20</xdr:col>
      <xdr:colOff>527978</xdr:colOff>
      <xdr:row>26</xdr:row>
      <xdr:rowOff>14270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552EFE-D307-FCF2-5C60-91F7DF306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258296</xdr:colOff>
      <xdr:row>1</xdr:row>
      <xdr:rowOff>117957</xdr:rowOff>
    </xdr:from>
    <xdr:to>
      <xdr:col>25</xdr:col>
      <xdr:colOff>2021</xdr:colOff>
      <xdr:row>38</xdr:row>
      <xdr:rowOff>47215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8D23F0-966E-3445-BF9D-671891CAA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39687</xdr:colOff>
      <xdr:row>0</xdr:row>
      <xdr:rowOff>39687</xdr:rowOff>
    </xdr:from>
    <xdr:to>
      <xdr:col>26</xdr:col>
      <xdr:colOff>197556</xdr:colOff>
      <xdr:row>8</xdr:row>
      <xdr:rowOff>145520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72D8AF-6A1A-3B53-5216-D123A33EB275}"/>
            </a:ext>
          </a:extLst>
        </xdr:cNvPr>
        <xdr:cNvSpPr/>
      </xdr:nvSpPr>
      <xdr:spPr>
        <a:xfrm>
          <a:off x="39687" y="39687"/>
          <a:ext cx="22904980" cy="1686277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7800">
              <a:latin typeface="Helvetica" pitchFamily="2" charset="0"/>
            </a:rPr>
            <a:t>BNPL</a:t>
          </a:r>
          <a:r>
            <a:rPr lang="en-GB" sz="7800" baseline="0">
              <a:latin typeface="Helvetica" pitchFamily="2" charset="0"/>
            </a:rPr>
            <a:t> UNIT ECONOMICS</a:t>
          </a:r>
          <a:endParaRPr lang="en-GB" sz="7800">
            <a:latin typeface="Helvetica" pitchFamily="2" charset="0"/>
          </a:endParaRPr>
        </a:p>
        <a:p>
          <a:pPr algn="ctr"/>
          <a:endParaRPr lang="en-GB" sz="7800"/>
        </a:p>
      </xdr:txBody>
    </xdr:sp>
    <xdr:clientData/>
  </xdr:twoCellAnchor>
  <xdr:twoCellAnchor>
    <xdr:from>
      <xdr:col>21</xdr:col>
      <xdr:colOff>248356</xdr:colOff>
      <xdr:row>9</xdr:row>
      <xdr:rowOff>104763</xdr:rowOff>
    </xdr:from>
    <xdr:to>
      <xdr:col>26</xdr:col>
      <xdr:colOff>197557</xdr:colOff>
      <xdr:row>38</xdr:row>
      <xdr:rowOff>366889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8AED53-C6D4-8E4F-91E1-723342ABB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23475</xdr:colOff>
      <xdr:row>9</xdr:row>
      <xdr:rowOff>23873</xdr:rowOff>
    </xdr:from>
    <xdr:to>
      <xdr:col>5</xdr:col>
      <xdr:colOff>660400</xdr:colOff>
      <xdr:row>36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EFA125-9D1D-954D-AD5B-302E8574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</xdr:colOff>
      <xdr:row>45</xdr:row>
      <xdr:rowOff>133350</xdr:rowOff>
    </xdr:from>
    <xdr:to>
      <xdr:col>5</xdr:col>
      <xdr:colOff>431800</xdr:colOff>
      <xdr:row>67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B0BED7-E639-264A-BB60-C49D92448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409222</xdr:colOff>
      <xdr:row>27</xdr:row>
      <xdr:rowOff>101600</xdr:rowOff>
    </xdr:from>
    <xdr:to>
      <xdr:col>20</xdr:col>
      <xdr:colOff>42333</xdr:colOff>
      <xdr:row>58</xdr:row>
      <xdr:rowOff>81846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A26354-740A-4640-9DD8-4862D4D9E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6CEFBD-81E8-924F-9BC3-9F7A8ABB38E2}" name="Table1" displayName="Table1" ref="A1:E5" totalsRowShown="0" headerRowDxfId="229" dataDxfId="228">
  <autoFilter ref="A1:E5" xr:uid="{0B6CEFBD-81E8-924F-9BC3-9F7A8ABB38E2}"/>
  <tableColumns count="5">
    <tableColumn id="1" xr3:uid="{36DBCDB0-1AA6-FC47-B49B-A70A894238D6}" name="Generation" dataDxfId="227"/>
    <tableColumn id="2" xr3:uid="{09D252C7-D2CF-054F-9357-1B0E8BEC06F3}" name="Adoption Rate (U.S. 2024-25)" dataDxfId="226"/>
    <tableColumn id="3" xr3:uid="{96D00993-4575-2F4E-A427-42BFF016795A}" name="Usage Frequency (Weekly+)" dataDxfId="225"/>
    <tableColumn id="4" xr3:uid="{42623925-8FCA-A548-B9FE-6DDBEAAF575D}" name="Late Payment Incidence" dataDxfId="224"/>
    <tableColumn id="5" xr3:uid="{AC13235E-52E1-AD4A-B5E7-3C7310C1E263}" name="Regret After Use" dataDxfId="2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1FDFA-53BA-7546-8E1B-CD65750653EB}" name="Table2" displayName="Table2" ref="J1:K5" totalsRowShown="0" headerRowDxfId="222" dataDxfId="221">
  <autoFilter ref="J1:K5" xr:uid="{AE91FDFA-53BA-7546-8E1B-CD65750653EB}"/>
  <tableColumns count="2">
    <tableColumn id="1" xr3:uid="{370EC5D7-DE91-4247-B192-94EDA3EECEE5}" name="Revenue Source" dataDxfId="220"/>
    <tableColumn id="2" xr3:uid="{AAC0BD8C-D5C7-EB40-A600-48CEF9D98D1E}" name="Typical Share" dataDxfId="2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EAD16B-91FC-484A-A2FB-D4B10F5D31E0}" name="Table4" displayName="Table4" ref="A15:B19" totalsRowShown="0" headerRowDxfId="218" dataDxfId="217">
  <autoFilter ref="A15:B19" xr:uid="{09EAD16B-91FC-484A-A2FB-D4B10F5D31E0}"/>
  <tableColumns count="2">
    <tableColumn id="1" xr3:uid="{31C2DA3C-05BB-FA4E-932F-D50430F0EE8B}" name="Generation" dataDxfId="216"/>
    <tableColumn id="2" xr3:uid="{E723BBB9-AD52-B640-9C4D-E713715D1757}" name="% BNPL Users" dataDxfId="2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CC3D48-A00E-0943-876E-26DDE9236D52}" name="Table5" displayName="Table5" ref="A21:B24" totalsRowShown="0" headerRowDxfId="214" dataDxfId="213">
  <autoFilter ref="A21:B24" xr:uid="{59CC3D48-A00E-0943-876E-26DDE9236D52}"/>
  <tableColumns count="2">
    <tableColumn id="1" xr3:uid="{C5A7213A-D6DA-3B4D-AD8F-000F3E3EC5D5}" name="Income Bracket" dataDxfId="212"/>
    <tableColumn id="2" xr3:uid="{2896389C-D755-0141-9F03-86A3DC8837BE}" name="% BNPL Users" dataDxfId="2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F37EB-CF09-BA4B-B50B-EE8BE232B99C}" name="Table8" displayName="Table8" ref="A27:D31" totalsRowShown="0" headerRowDxfId="210" dataDxfId="209">
  <autoFilter ref="A27:D31" xr:uid="{D2BF37EB-CF09-BA4B-B50B-EE8BE232B99C}"/>
  <tableColumns count="4">
    <tableColumn id="1" xr3:uid="{2E32C3F0-6007-3E49-9252-BE1BB5FB1437}" name="Generation" dataDxfId="208"/>
    <tableColumn id="2" xr3:uid="{CC9F5147-AFE4-1248-A36F-5E8B219489F1}" name="&lt;50,000" dataDxfId="207"/>
    <tableColumn id="3" xr3:uid="{77717B4C-38D0-8940-85D2-8536FC637202}" name="50,000-1,00,000" dataDxfId="206"/>
    <tableColumn id="4" xr3:uid="{2BA5208A-D796-B045-8471-F1C166682870}" name="&gt;1,00,000" dataDxfId="20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2E6925-EFF3-D04C-B653-D4A480A60DAF}" name="Table11" displayName="Table11" ref="A33:B37" totalsRowShown="0" headerRowDxfId="204" dataDxfId="203">
  <autoFilter ref="A33:B37" xr:uid="{182E6925-EFF3-D04C-B653-D4A480A60DAF}"/>
  <tableColumns count="2">
    <tableColumn id="1" xr3:uid="{A1417CC9-B0C1-BD49-B4EC-D6FF905366BF}" name="Generation" dataDxfId="202"/>
    <tableColumn id="2" xr3:uid="{98C781C6-EFBA-8F4F-9BEA-CC95921DE9E0}" name="Adjustment Factor" dataDxfId="20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623B19A-AEF1-C648-B36F-C8ECCDED215D}" name="Table12" displayName="Table12" ref="A39:D40" totalsRowShown="0" headerRowDxfId="200" dataDxfId="199">
  <autoFilter ref="A39:D40" xr:uid="{2623B19A-AEF1-C648-B36F-C8ECCDED215D}"/>
  <tableColumns count="4">
    <tableColumn id="1" xr3:uid="{236E04C3-8C9E-B649-B96B-83BCAAAC4862}" name="Income Bracket" dataDxfId="198"/>
    <tableColumn id="2" xr3:uid="{96F567B8-7555-2A4F-B4AC-0EC94A9C23A0}" name="&lt;50,000" dataDxfId="197"/>
    <tableColumn id="3" xr3:uid="{BEEB3F52-BDB3-CD45-AC07-71600B7854A5}" name="50,000-1,00,000" dataDxfId="196"/>
    <tableColumn id="4" xr3:uid="{AE6D3677-26FB-D543-B5FB-14F96BB28007}" name="&gt;1,00,000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AAE11A-569E-0E40-8FC6-2C0FC6B91B0F}" name="Table15" displayName="Table15" ref="A44:F48" totalsRowShown="0" tableBorderDxfId="194">
  <autoFilter ref="A44:F48" xr:uid="{53AAE11A-569E-0E40-8FC6-2C0FC6B91B0F}"/>
  <tableColumns count="6">
    <tableColumn id="1" xr3:uid="{EFC326FA-11AD-8049-B139-082961387047}" name="Generation"/>
    <tableColumn id="6" xr3:uid="{DDC1D445-24C3-2341-B8D3-F760AB388013}" name="# Population (in M)"/>
    <tableColumn id="2" xr3:uid="{120CBCC9-E1ED-4541-ADA6-335ED1D700DC}" name="Adoption Rate " dataDxfId="193"/>
    <tableColumn id="7" xr3:uid="{CCFADA93-6037-8148-8245-08D7327BE314}" name="Weight" dataDxfId="192">
      <calculatedColumnFormula>Table15[[#This Row],[Adoption Rate ]]*Table15[[#This Row],['# Population (in M)]]/SUM(Table15['# Population (in M)])</calculatedColumnFormula>
    </tableColumn>
    <tableColumn id="3" xr3:uid="{884E80E6-EEF2-4B4B-A800-A939844F85D8}" name="Portfoliio Comp" dataDxfId="191" dataCellStyle="Per cent">
      <calculatedColumnFormula>Table15[[#This Row],[Weight]]/SUM(Table15[Weight])</calculatedColumnFormula>
    </tableColumn>
    <tableColumn id="4" xr3:uid="{2136A3FD-AE31-9146-B8B7-35744296D49E}" name="# of BNPL Users (in M)" dataDxfId="190">
      <calculatedColumnFormula>$I$46*Table15[[#This Row],[Portfoliio Comp]]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8D30D7-8421-3E4A-A85B-32EF3EA8457C}" name="Table16" displayName="Table16" ref="A53:G56" totalsRowShown="0" tableBorderDxfId="189">
  <autoFilter ref="A53:G56" xr:uid="{848D30D7-8421-3E4A-A85B-32EF3EA8457C}"/>
  <tableColumns count="7">
    <tableColumn id="1" xr3:uid="{3CDD15B8-6F52-3043-98D6-194094CEF7FF}" name="Income Bracket"/>
    <tableColumn id="7" xr3:uid="{4502DEE6-0372-0544-8936-AE672F9304F4}" name="Percentage of Population" dataCellStyle="Per cent"/>
    <tableColumn id="5" xr3:uid="{C4F95827-4EF6-4442-BD3E-865CC69641C9}" name="# Population (in M)" dataDxfId="188">
      <calculatedColumnFormula>239.1*Table16[[#This Row],[Percentage of Population]]</calculatedColumnFormula>
    </tableColumn>
    <tableColumn id="2" xr3:uid="{E850AE82-2B6B-B346-B929-D9B9F539A204}" name="Adoption Rate" dataCellStyle="Per cent"/>
    <tableColumn id="6" xr3:uid="{2BCDBBBC-0C42-CC4F-9583-B36A5893B2C0}" name="Weight" dataDxfId="187">
      <calculatedColumnFormula>Table16[[#This Row],[Adoption Rate]]*Table16[[#This Row],[Percentage of Population]]</calculatedColumnFormula>
    </tableColumn>
    <tableColumn id="3" xr3:uid="{5F42BD65-6C42-E442-9396-65BD4C3AEA44}" name="Portfolio Comp" dataDxfId="186">
      <calculatedColumnFormula>Table16[[#This Row],[Weight]]/SUM(Table16[Weight])</calculatedColumnFormula>
    </tableColumn>
    <tableColumn id="4" xr3:uid="{9444E0F7-6703-5A49-B3EB-5194AC5AB52F}" name="# of BNPL Users (in M)" dataDxfId="185">
      <calculatedColumnFormula>$I$46*Table16[[#This Row],[Portfolio Comp]]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4090BA0-0273-6849-884C-621ACEFB4858}" name="Table17" displayName="Table17" ref="A59:D63" totalsRowShown="0" headerRowDxfId="184" dataDxfId="183">
  <autoFilter ref="A59:D63" xr:uid="{74090BA0-0273-6849-884C-621ACEFB4858}"/>
  <tableColumns count="4">
    <tableColumn id="1" xr3:uid="{DEF031C4-5FE4-DD4A-90F1-3D352FD6FA4A}" name="Generation" dataDxfId="182"/>
    <tableColumn id="2" xr3:uid="{39AF08E8-7241-3840-8FEB-CC8BFE815E86}" name="&lt;50,000" dataDxfId="181"/>
    <tableColumn id="3" xr3:uid="{2857BA6E-D3B2-BA49-A56E-F6E7F546903E}" name="50,000-1,00,000" dataDxfId="180"/>
    <tableColumn id="4" xr3:uid="{8B956C8E-1B3F-E144-ADF0-70607F54D5D6}" name="&gt;1,00,000" dataDxfId="17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9601D6D-CBF7-D84D-B091-F6446A623FC6}" name="Table21" displayName="Table21" ref="H43:I51" totalsRowShown="0" headerRowDxfId="178">
  <autoFilter ref="H43:I51" xr:uid="{89601D6D-CBF7-D84D-B091-F6446A623FC6}"/>
  <tableColumns count="2">
    <tableColumn id="1" xr3:uid="{1C74FFC3-AA98-C34C-A3E5-AA50573E6FCD}" name="Column1" dataDxfId="177"/>
    <tableColumn id="2" xr3:uid="{C2CD8D35-333F-4A47-BEDB-ABE3F3860301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D2A7B3D-C422-3048-B18F-5B2309E7C967}" name="Table1723" displayName="Table1723" ref="A66:D70" totalsRowShown="0" headerRowDxfId="176" dataDxfId="175">
  <autoFilter ref="A66:D70" xr:uid="{6D2A7B3D-C422-3048-B18F-5B2309E7C967}"/>
  <tableColumns count="4">
    <tableColumn id="1" xr3:uid="{92D2C2D7-1999-3C47-AAA1-CDB960B54B01}" name="Generation" dataDxfId="174"/>
    <tableColumn id="2" xr3:uid="{ECB219C1-B18F-3A4E-B0CB-4C04A9151E7E}" name="&lt;50,000" dataDxfId="173">
      <calculatedColumnFormula>$F45*B60</calculatedColumnFormula>
    </tableColumn>
    <tableColumn id="3" xr3:uid="{2A7BAA9C-3B8D-D745-8F07-8DA4BCDEA95F}" name="50,000-1,00,000" dataDxfId="172">
      <calculatedColumnFormula>$F45*C60</calculatedColumnFormula>
    </tableColumn>
    <tableColumn id="4" xr3:uid="{D4AC1C77-B6C7-F041-8509-C247F445AE08}" name="&gt;1,00,000" dataDxfId="171">
      <calculatedColumnFormula>$F45*D60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AFD191A-2F37-7F42-AA75-378DB25F8F7D}" name="Table25" displayName="Table25" ref="A82:D86" totalsRowShown="0" headerRowDxfId="170" dataDxfId="169">
  <autoFilter ref="A82:D86" xr:uid="{7AFD191A-2F37-7F42-AA75-378DB25F8F7D}"/>
  <tableColumns count="4">
    <tableColumn id="1" xr3:uid="{34A1F047-C0DF-EB4F-AA6B-A51A3424EA8C}" name="Generation" dataDxfId="168"/>
    <tableColumn id="2" xr3:uid="{BF932974-99FA-6447-A399-29E3A012214F}" name="&lt;50,000" dataDxfId="167">
      <calculatedColumnFormula>B74*($F45/SUM($B74:$D74))</calculatedColumnFormula>
    </tableColumn>
    <tableColumn id="3" xr3:uid="{76AB8306-2A5D-AE4A-8BEC-A71D0380408A}" name="50,000-1,00,000" dataDxfId="166">
      <calculatedColumnFormula>C74*($F45/SUM($B74:$D74))</calculatedColumnFormula>
    </tableColumn>
    <tableColumn id="4" xr3:uid="{DC0CCA2D-C2C9-014D-8616-260681C1DC36}" name="&gt;1,00,000" dataDxfId="165">
      <calculatedColumnFormula>D74*($F45/SUM($B74:$D74))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B08374-266E-0A49-8BA3-5F188623904C}" name="Table26" displayName="Table26" ref="A89:D93" totalsRowShown="0" headerRowDxfId="164" dataDxfId="162" headerRowBorderDxfId="163" tableBorderDxfId="161" totalsRowBorderDxfId="160" dataCellStyle="Per cent">
  <autoFilter ref="A89:D93" xr:uid="{FEB08374-266E-0A49-8BA3-5F188623904C}"/>
  <tableColumns count="4">
    <tableColumn id="1" xr3:uid="{03192776-6993-B445-B247-51BA978AA6AE}" name="Generation"/>
    <tableColumn id="2" xr3:uid="{22130AC5-FE6A-EB4E-BE88-DDCAED3064EB}" name="&lt;50,000" dataDxfId="159" dataCellStyle="Per cent">
      <calculatedColumnFormula>B83/SUM(Table25[[&lt;50,000]:[&gt;1,00,000]])</calculatedColumnFormula>
    </tableColumn>
    <tableColumn id="3" xr3:uid="{C4A18B38-FF59-814A-B0CF-F4B3B4CAEB33}" name="50,000-1,00,000" dataDxfId="158" dataCellStyle="Per cent">
      <calculatedColumnFormula>C83/SUM(Table25[[&lt;50,000]:[&gt;1,00,000]])</calculatedColumnFormula>
    </tableColumn>
    <tableColumn id="4" xr3:uid="{1949D44D-A4DD-2A47-A17B-2796C1030731}" name="&gt;1,00,000" dataDxfId="157" dataCellStyle="Per cent">
      <calculatedColumnFormula>D83/SUM(Table25[[&lt;50,000]:[&gt;1,00,000]])</calculatedColumnFormula>
    </tableColumn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BBEF25-CCF1-144B-A008-DEC1FD283A2D}" name="Table27" displayName="Table27" ref="A1:B6" totalsRowShown="0">
  <autoFilter ref="A1:B6" xr:uid="{BDBBEF25-CCF1-144B-A008-DEC1FD283A2D}"/>
  <tableColumns count="2">
    <tableColumn id="1" xr3:uid="{B9F450CC-16C6-B049-BF1A-9B11DB9D82A6}" name="Credit Category"/>
    <tableColumn id="2" xr3:uid="{73F615D0-7B64-1548-A061-125E9B7675C1}" name="Credit Scor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F5C4B89-B7A9-5C40-BB21-06C77AF8117D}" name="Table28" displayName="Table28" ref="A9:D15" totalsRowShown="0" headerRowDxfId="156">
  <autoFilter ref="A9:D15" xr:uid="{3F5C4B89-B7A9-5C40-BB21-06C77AF8117D}"/>
  <tableColumns count="4">
    <tableColumn id="1" xr3:uid="{FFC7A182-2554-F148-B5F1-31B19DC0556E}" name="Credit Category" dataDxfId="155"/>
    <tableColumn id="4" xr3:uid="{6247D1A5-71E3-BE47-A48E-DFB5264756A0}" name="# BNPL User Count" dataDxfId="154"/>
    <tableColumn id="2" xr3:uid="{AF343AFC-3E42-0841-B3B9-5BA4116683B0}" name="BNPL Loan Originations" dataDxfId="153"/>
    <tableColumn id="3" xr3:uid="{1ABDA881-DF2F-854A-ADAC-A33A164DB2CE}" name="BNPL Default Rates" dataDxfId="15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68486F5-7B60-1C49-ABC3-FE73FC5ECC97}" name="Table29" displayName="Table29" ref="A18:F21" totalsRowShown="0">
  <autoFilter ref="A18:F21" xr:uid="{968486F5-7B60-1C49-ABC3-FE73FC5ECC97}"/>
  <tableColumns count="6">
    <tableColumn id="1" xr3:uid="{8CF9BC96-FDBB-834B-8CA8-A7DB75B1F791}" name="Income Bracket"/>
    <tableColumn id="2" xr3:uid="{712E5315-5C8F-AA49-99CE-EDDCAF315BBF}" name="Deep Subprime" dataDxfId="151"/>
    <tableColumn id="3" xr3:uid="{5A94BFF4-8329-D64C-924C-61FE44FB91CA}" name="Subprime" dataDxfId="150"/>
    <tableColumn id="4" xr3:uid="{60906D79-BF8D-0748-999C-7120DEE875A3}" name="Near Prime" dataDxfId="149"/>
    <tableColumn id="5" xr3:uid="{7266496E-69A3-314A-9A34-6DD169478A3C}" name="Prime" dataDxfId="148"/>
    <tableColumn id="6" xr3:uid="{BCA70B61-DEBB-9643-A8F6-ACBE0B5FA445}" name="Super Prime" dataDxfId="14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1298921-1FB2-4A44-B20D-20021AF66D9F}" name="Table30" displayName="Table30" ref="A29:B31" totalsRowShown="0">
  <autoFilter ref="A29:B31" xr:uid="{51298921-1FB2-4A44-B20D-20021AF66D9F}"/>
  <tableColumns count="2">
    <tableColumn id="1" xr3:uid="{A2B83B3C-3EAF-8742-B95C-76088E6DE258}" name="Income Bracket "/>
    <tableColumn id="2" xr3:uid="{8F922337-CFD1-7145-B7E1-D209B8864A44}" name="Default Rate" dataDxfId="146">
      <calculatedColumnFormula>$B19*$D$11+$C19*$D$12+$D19*$D$13+$E19*$D$14+$F19*$D$15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742B03A-DF9F-7D4A-BF47-A0BB9A3C2535}" name="Table31" displayName="Table31" ref="A35:F39" totalsRowShown="0">
  <autoFilter ref="A35:F39" xr:uid="{0742B03A-DF9F-7D4A-BF47-A0BB9A3C2535}"/>
  <tableColumns count="6">
    <tableColumn id="1" xr3:uid="{FB906B7C-6720-4C44-A7A9-944D5CE8D6E8}" name="Generation" dataDxfId="145"/>
    <tableColumn id="2" xr3:uid="{8563DD83-5F49-B54E-9CE0-4D9C31109411}" name="Deep Subprime" dataDxfId="144">
      <calculatedColumnFormula>'User Segmentation'!$B60*'Default Rates'!B$19+'User Segmentation'!$C60*'Default Rates'!B$20+'User Segmentation'!$D60*'Default Rates'!B$21</calculatedColumnFormula>
    </tableColumn>
    <tableColumn id="3" xr3:uid="{E3758252-909B-924F-AF23-5394A8B739A9}" name="Subprime" dataDxfId="143">
      <calculatedColumnFormula>'User Segmentation'!$B60*'Default Rates'!C$19+'User Segmentation'!$C60*'Default Rates'!C$20+'User Segmentation'!$D60*'Default Rates'!C$21+0.0292</calculatedColumnFormula>
    </tableColumn>
    <tableColumn id="4" xr3:uid="{187F7B26-8325-3F48-8A62-B587481BDC9B}" name="Near Prime" dataDxfId="142">
      <calculatedColumnFormula>'User Segmentation'!$B60*'Default Rates'!D$19+'User Segmentation'!$C60*'Default Rates'!D$20+'User Segmentation'!$D60*'Default Rates'!D$21+0.05</calculatedColumnFormula>
    </tableColumn>
    <tableColumn id="5" xr3:uid="{DBF6861C-46F5-744F-92C8-F7B41D5FBA20}" name="Prime" dataDxfId="141">
      <calculatedColumnFormula>('User Segmentation'!$B60*'Default Rates'!E$19+'User Segmentation'!$C60*'Default Rates'!E$20+'User Segmentation'!$D60*'Default Rates'!E$21)*0.75</calculatedColumnFormula>
    </tableColumn>
    <tableColumn id="6" xr3:uid="{86E9A211-4CC9-604D-8493-80823BCB4D2C}" name="Super Prime" dataDxfId="140">
      <calculatedColumnFormula>'User Segmentation'!$B60*'Default Rates'!F$19+'User Segmentation'!$C60*'Default Rates'!F$20+'User Segmentation'!$D60*'Default Rates'!F$21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23750A6-9EE8-0846-986F-1F40807C7D04}" name="Table33" displayName="Table33" ref="A43:B47" totalsRowShown="0">
  <autoFilter ref="A43:B47" xr:uid="{823750A6-9EE8-0846-986F-1F40807C7D04}"/>
  <tableColumns count="2">
    <tableColumn id="1" xr3:uid="{3B89CBA8-7123-6D44-80EE-4756B27BB2EE}" name="Generation"/>
    <tableColumn id="2" xr3:uid="{57FDFC47-27F3-324F-A1EC-A1138D0DC36C}" name="Default Rates" dataDxfId="139">
      <calculatedColumnFormula>'User Segmentation'!B60*'Default Rates'!B58+'User Segmentation'!C60*'Default Rates'!C58+'User Segmentation'!D60*'Default Rates'!D58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F4465B4-F490-C845-82A9-21E87DAD50FE}" name="Table34" displayName="Table34" ref="A50:D54" totalsRowShown="0">
  <autoFilter ref="A50:D54" xr:uid="{8F4465B4-F490-C845-82A9-21E87DAD50FE}"/>
  <tableColumns count="4">
    <tableColumn id="1" xr3:uid="{DAC27248-0798-EE40-A872-5229453889CA}" name="Generation"/>
    <tableColumn id="2" xr3:uid="{9573F112-2F53-4F4F-8847-E625011F3A17}" name="&lt;50,000"/>
    <tableColumn id="3" xr3:uid="{0C7C24D7-F5D6-ED4A-93F5-200291858B50}" name="50,000-1,00,000"/>
    <tableColumn id="4" xr3:uid="{373C743E-79FF-8E47-A088-881A44B7634B}" name="&gt;1,00,00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97CE6D5-613E-964F-877E-607599720A35}" name="Table3436" displayName="Table3436" ref="A57:D61" totalsRowShown="0">
  <autoFilter ref="A57:D61" xr:uid="{B97CE6D5-613E-964F-877E-607599720A35}"/>
  <tableColumns count="4">
    <tableColumn id="1" xr3:uid="{B6FD4500-45C3-174A-BB81-1A152E3EA053}" name="Generation"/>
    <tableColumn id="2" xr3:uid="{B0716422-C56B-374A-8704-4C9A1C2BCD48}" name="&lt;50,000" dataDxfId="138">
      <calculatedColumnFormula>$B$30*B51</calculatedColumnFormula>
    </tableColumn>
    <tableColumn id="3" xr3:uid="{65439561-A3B9-F24F-8DAD-6DD047C5E147}" name="50,000-1,00,000" dataDxfId="137">
      <calculatedColumnFormula>$B$31*C51</calculatedColumnFormula>
    </tableColumn>
    <tableColumn id="4" xr3:uid="{62829A76-F0D8-C946-A908-E1A40059B58B}" name="&gt;1,00,000" dataDxfId="136">
      <calculatedColumnFormula>$B$32*D51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2409746-303D-FD4D-BB1A-B67DC905EFAF}" name="Table52" displayName="Table52" ref="A23:F26" totalsRowShown="0" headerRowDxfId="135" dataDxfId="133" headerRowBorderDxfId="134" tableBorderDxfId="132" totalsRowBorderDxfId="131">
  <autoFilter ref="A23:F26" xr:uid="{F2409746-303D-FD4D-BB1A-B67DC905EFAF}"/>
  <tableColumns count="6">
    <tableColumn id="1" xr3:uid="{7A373984-AC60-A845-AF52-FB33ACFF2756}" name="Income Bracket"/>
    <tableColumn id="2" xr3:uid="{91482F82-E749-6D4D-AC4F-192693D3B44E}" name="Deep Subprime" dataDxfId="130">
      <calculatedColumnFormula>B19*$J19</calculatedColumnFormula>
    </tableColumn>
    <tableColumn id="3" xr3:uid="{012D2F32-C95A-F948-A34D-002BB529F81A}" name="Subprime" dataDxfId="129">
      <calculatedColumnFormula>C19*$J19</calculatedColumnFormula>
    </tableColumn>
    <tableColumn id="4" xr3:uid="{9ABFE0B7-5486-DC44-A346-20E2395B8537}" name="Near Prime" dataDxfId="128">
      <calculatedColumnFormula>D19*$J19</calculatedColumnFormula>
    </tableColumn>
    <tableColumn id="5" xr3:uid="{EB9F052B-C48E-BB4B-8349-F5C7404A2CA1}" name="Prime" dataDxfId="127">
      <calculatedColumnFormula>E19*$J19</calculatedColumnFormula>
    </tableColumn>
    <tableColumn id="6" xr3:uid="{FEF25C1C-DB7C-A546-BA0B-F6B8EF345C31}" name="Super Prime" dataDxfId="126">
      <calculatedColumnFormula>F19*$J19</calculatedColumnFormula>
    </tableColumn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32B0FD5-6C7C-4244-A873-B6E252A28DEB}" name="Table36" displayName="Table36" ref="A1:G13" totalsRowShown="0">
  <autoFilter ref="A1:G13" xr:uid="{932B0FD5-6C7C-4244-A873-B6E252A28DEB}"/>
  <tableColumns count="7">
    <tableColumn id="1" xr3:uid="{29954296-C32D-8345-843A-5D33CA8044D7}" name="Generation"/>
    <tableColumn id="2" xr3:uid="{BD156A6F-7CE4-3C4D-8135-C065CCCCACD4}" name="Income Bracket" dataDxfId="125"/>
    <tableColumn id="3" xr3:uid="{3D3E5270-F1BF-F744-B9FB-AAB55DB1B50D}" name="Deep Subprime" dataDxfId="124"/>
    <tableColumn id="4" xr3:uid="{F36331A6-E301-1F4A-8CDF-B06E5FB54625}" name="Sub Prime" dataDxfId="123"/>
    <tableColumn id="5" xr3:uid="{9150B2BE-AA9B-4648-8704-758552E22EDC}" name="Near Prime" dataDxfId="122"/>
    <tableColumn id="6" xr3:uid="{FE97B692-AD72-F543-8093-DB43106EE425}" name="Prime" dataDxfId="121"/>
    <tableColumn id="7" xr3:uid="{9128C9C9-F756-F347-BC87-2321DF949046}" name="Super Prime" dataDxfId="12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25FCE9E-6379-AD49-8A15-26D85CA63A6E}" name="Table40" displayName="Table40" ref="A16:G28" totalsRowShown="0">
  <autoFilter ref="A16:G28" xr:uid="{625FCE9E-6379-AD49-8A15-26D85CA63A6E}"/>
  <tableColumns count="7">
    <tableColumn id="1" xr3:uid="{D2354ED9-0838-F34C-BF45-65D5B6DE7951}" name="Generation"/>
    <tableColumn id="2" xr3:uid="{A6D3B1AE-DE8B-234A-8E10-923680DD4489}" name="Income Bracket"/>
    <tableColumn id="3" xr3:uid="{13E9AFB6-586A-B14F-AEB4-BE91EC84DFFF}" name="Deep Subprime" dataDxfId="119"/>
    <tableColumn id="4" xr3:uid="{9BFBF956-D036-EF4A-A964-93BA493817C3}" name="Sub Prime" dataDxfId="118"/>
    <tableColumn id="5" xr3:uid="{AC4E11AB-70F5-7541-8286-093B52E1C102}" name="Near Prime" dataDxfId="117"/>
    <tableColumn id="6" xr3:uid="{40E9FEFF-F81E-5E4C-B1B8-465BC79DDAF8}" name="Prime" dataDxfId="116"/>
    <tableColumn id="7" xr3:uid="{FB967C6B-C929-ED41-9C5F-A5A95FA1DB69}" name="Super Prime" dataDxfId="11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6C57C68-045B-9743-A6F4-CD2BED8AD60F}" name="Table41" displayName="Table41" ref="A78:G90" totalsRowShown="0" dataDxfId="114" dataCellStyle="Per cent">
  <autoFilter ref="A78:G90" xr:uid="{46C57C68-045B-9743-A6F4-CD2BED8AD60F}"/>
  <tableColumns count="7">
    <tableColumn id="1" xr3:uid="{D205AFFB-50B6-E642-9DBF-EF1B169DB6BB}" name="Generation"/>
    <tableColumn id="2" xr3:uid="{10E47263-88F6-5B48-A4D9-99FA5F8C5788}" name="Income Bracket"/>
    <tableColumn id="3" xr3:uid="{B4E2C88D-88D9-9343-9237-FA50E90B6D3A}" name="Deep Subprime" dataDxfId="113" dataCellStyle="Per cent">
      <calculatedColumnFormula>C64/SUM(Table4254[[Deep Subprime]:[Super Prime]])</calculatedColumnFormula>
    </tableColumn>
    <tableColumn id="4" xr3:uid="{B8DA3415-FB83-A343-BC54-3FEE3C1CB682}" name="Sub Prime" dataDxfId="112" dataCellStyle="Per cent">
      <calculatedColumnFormula>D64/SUM(Table4254[[Deep Subprime]:[Super Prime]])</calculatedColumnFormula>
    </tableColumn>
    <tableColumn id="5" xr3:uid="{C0524D98-18A0-2D41-A909-48E961554118}" name="Near Prime" dataDxfId="111" dataCellStyle="Per cent">
      <calculatedColumnFormula>E64/SUM(Table4254[[Deep Subprime]:[Super Prime]])</calculatedColumnFormula>
    </tableColumn>
    <tableColumn id="6" xr3:uid="{745D5B86-998A-0745-B545-159A726CB6AA}" name="Prime" dataDxfId="110" dataCellStyle="Per cent">
      <calculatedColumnFormula>F64/SUM(Table4254[[Deep Subprime]:[Super Prime]])</calculatedColumnFormula>
    </tableColumn>
    <tableColumn id="7" xr3:uid="{CD1FE0D8-9B26-CE4B-ACF8-49072FB98441}" name="Super Prime" dataDxfId="109" dataCellStyle="Per cent">
      <calculatedColumnFormula>G64/SUM(Table4254[[Deep Subprime]:[Super Prime]])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2335188-FBF6-BD40-A2B3-1DBF8E743EE9}" name="Table42" displayName="Table42" ref="A47:G59" totalsRowShown="0">
  <autoFilter ref="A47:G59" xr:uid="{22335188-FBF6-BD40-A2B3-1DBF8E743EE9}"/>
  <tableColumns count="7">
    <tableColumn id="1" xr3:uid="{88B34142-BE5A-4646-89F2-B1598507B32E}" name="Generation"/>
    <tableColumn id="2" xr3:uid="{3516D6FF-CCD7-4049-8956-8CAFA2417460}" name="Income Bracket"/>
    <tableColumn id="3" xr3:uid="{EA5884B8-2AEB-5645-96EB-B4C7566AA76A}" name="Deep Subprime" dataDxfId="108"/>
    <tableColumn id="4" xr3:uid="{A470A14D-7FAA-6A43-A89D-4E6730FE8190}" name="Sub Prime" dataDxfId="107"/>
    <tableColumn id="5" xr3:uid="{ABE86512-D35F-374A-A549-35C243D829B3}" name="Near Prime" dataDxfId="106"/>
    <tableColumn id="6" xr3:uid="{3D4E3E60-790B-C141-81FC-AD16F6D33026}" name="Prime" dataDxfId="105"/>
    <tableColumn id="7" xr3:uid="{D4F7550A-99EE-874E-8C9E-8A95D7924A91}" name="Super Prime" dataDxfId="104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EADCF42E-0058-8A43-8891-B2A7E4EDE611}" name="Table45" displayName="Table45" ref="A93:G105" totalsRowShown="0">
  <autoFilter ref="A93:G105" xr:uid="{EADCF42E-0058-8A43-8891-B2A7E4EDE611}"/>
  <tableColumns count="7">
    <tableColumn id="1" xr3:uid="{2A5F496E-010B-F64B-87B4-8DA530D531A0}" name="Generation"/>
    <tableColumn id="2" xr3:uid="{044345CA-A50B-2C4E-B844-A19F3847EAB1}" name="Income Bracket"/>
    <tableColumn id="3" xr3:uid="{1B7BF3CB-B2CB-024E-B3EA-25AA31E713D8}" name="Deep Subprime" dataDxfId="103">
      <calculatedColumnFormula>'Default Rates'!$D$11 * INDEX($K$94:$M$97,
             MATCH($A94,$J$94:$J$97,0),
             MATCH($B94,$K$93:$M$93,0))</calculatedColumnFormula>
    </tableColumn>
    <tableColumn id="4" xr3:uid="{19ED3C39-DFFB-F646-A146-E860BAB37E14}" name="Sub Prime" dataDxfId="102">
      <calculatedColumnFormula>'Default Rates'!$D$12 * INDEX($K$94:$M$97,
             MATCH($A94,$J$94:$J$97,0),
             MATCH($B94,$K$93:$M$93,0))</calculatedColumnFormula>
    </tableColumn>
    <tableColumn id="5" xr3:uid="{24D1DA0C-15F4-E545-9EF3-163DBB6C064E}" name="Near Prime" dataDxfId="101">
      <calculatedColumnFormula>'Default Rates'!$D$13 * INDEX($K$94:$M$97,
             MATCH($A94,$J$94:$J$97,0),
             MATCH($B94,$K$93:$M$93,0))</calculatedColumnFormula>
    </tableColumn>
    <tableColumn id="6" xr3:uid="{5A0B8159-5EE6-8B45-9B21-956E2B503424}" name="Prime" dataDxfId="100">
      <calculatedColumnFormula>'Default Rates'!$D$14 * INDEX($K$94:$M$97,
             MATCH($A94,$J$94:$J$97,0),
             MATCH($B94,$K$93:$M$93,0))</calculatedColumnFormula>
    </tableColumn>
    <tableColumn id="7" xr3:uid="{B0113B2C-2781-D840-883B-56168E891CCE}" name="Super Prime" dataDxfId="99">
      <calculatedColumnFormula>'Default Rates'!$D$15 * INDEX($K$94:$M$97,
             MATCH($A94,$J$94:$J$97,0),
             MATCH($B94,$K$93:$M$93,0))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2413953-D858-254B-9BC7-DDF0426A3F4A}" name="Table46" displayName="Table46" ref="J93:M97" totalsRowShown="0">
  <autoFilter ref="J93:M97" xr:uid="{C2413953-D858-254B-9BC7-DDF0426A3F4A}"/>
  <tableColumns count="4">
    <tableColumn id="1" xr3:uid="{24A30BBF-D8ED-2545-BA15-38669FB640B5}" name="Generation"/>
    <tableColumn id="2" xr3:uid="{6C9D65B6-1B6F-404F-8474-9B4CF13BA706}" name="&lt;50,000"/>
    <tableColumn id="3" xr3:uid="{EC38517B-DED2-E642-97F5-9677854606DE}" name="50,000-1,00,000"/>
    <tableColumn id="4" xr3:uid="{ECE5E312-B847-3443-9E05-3D1846ECF682}" name="&gt;1,00,0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D418B33-19D0-F448-8F8C-B785D20B3D19}" name="Table48" displayName="Table48" ref="A108:A109" totalsRowShown="0" headerRowDxfId="98" dataDxfId="97" headerRowCellStyle="Per cent" dataCellStyle="Per cent">
  <autoFilter ref="A108:A109" xr:uid="{0D418B33-19D0-F448-8F8C-B785D20B3D19}"/>
  <tableColumns count="1">
    <tableColumn id="1" xr3:uid="{EF86411F-CDAB-AE49-80CC-2CCFD1EE0F0E}" name="Portfolio Default Rate" dataDxfId="96" dataCellStyle="Per cent">
      <calculatedColumnFormula>SUMPRODUCT(C94:G105,Table41[[Deep Subprime]:[Super Prime]])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906A7484-1E6D-7841-ADE0-4B96ABE4165E}" name="Table51" displayName="Table51" ref="J47:K50" totalsRowShown="0">
  <autoFilter ref="J47:K50" xr:uid="{906A7484-1E6D-7841-ADE0-4B96ABE4165E}"/>
  <tableColumns count="2">
    <tableColumn id="1" xr3:uid="{68880F41-78D8-FE4B-A749-7DC8BA0964A5}" name="Income Bracket"/>
    <tableColumn id="2" xr3:uid="{EA69346D-F475-C741-955E-8B9207681E60}" name="# of BNPL Users (in M)">
      <calculatedColumnFormula>P31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A6C2ACC-5823-2745-99F5-2AB7C16B0A47}" name="Table4254" displayName="Table4254" ref="A63:G75" totalsRowShown="0">
  <autoFilter ref="A63:G75" xr:uid="{CA6C2ACC-5823-2745-99F5-2AB7C16B0A47}"/>
  <tableColumns count="7">
    <tableColumn id="1" xr3:uid="{C5DD0E9F-8F2C-4346-809C-DA1AB65521BC}" name="Generation"/>
    <tableColumn id="2" xr3:uid="{10932E30-6DF1-7646-9ED9-A67DA5A8F7FF}" name="Income Bracket"/>
    <tableColumn id="3" xr3:uid="{7B370D97-6C61-5D4B-A961-98347858626C}" name="Deep Subprime" dataDxfId="95">
      <calculatedColumnFormula>C48*$K$55/C$61</calculatedColumnFormula>
    </tableColumn>
    <tableColumn id="4" xr3:uid="{542ACE23-03E2-4B4B-987F-E56EFB75602F}" name="Sub Prime" dataDxfId="94">
      <calculatedColumnFormula>D48*$K$56/D$61</calculatedColumnFormula>
    </tableColumn>
    <tableColumn id="5" xr3:uid="{030BA92F-B960-0349-AE7C-7A3B16DEFEEB}" name="Near Prime" dataDxfId="93">
      <calculatedColumnFormula>E48*$K$57/E$61</calculatedColumnFormula>
    </tableColumn>
    <tableColumn id="6" xr3:uid="{A1E062B4-AFA8-1A45-8D72-4580BA0F9BAA}" name="Prime" dataDxfId="92">
      <calculatedColumnFormula>F48*$K$58/F$61</calculatedColumnFormula>
    </tableColumn>
    <tableColumn id="7" xr3:uid="{AE09CF48-3AB1-F042-92CD-7F926EBF787D}" name="Super Prime" dataDxfId="91">
      <calculatedColumnFormula>G48*$K$59/G$61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E6C7BAC-7072-AA47-822A-0B819F122E82}" name="Table54" displayName="Table54" ref="J106:M111" totalsRowShown="0">
  <autoFilter ref="J106:M111" xr:uid="{DE6C7BAC-7072-AA47-822A-0B819F122E82}"/>
  <tableColumns count="4">
    <tableColumn id="1" xr3:uid="{2BEBF28F-A153-5A4D-8C0C-B8946CCC790F}" name="Credit Category"/>
    <tableColumn id="2" xr3:uid="{D7B03DCC-FF4F-E348-ACD2-94D8DDE5400D}" name="Loan Originations" dataDxfId="90"/>
    <tableColumn id="3" xr3:uid="{F0F0C8C7-A6CD-6A48-AAEF-2DB5FCE2D759}" name="Loan Count (in M)" dataDxfId="89">
      <calculatedColumnFormula>Table54[[#This Row],[Loan Originations]]*'User Segmentation'!$I$47</calculatedColumnFormula>
    </tableColumn>
    <tableColumn id="4" xr3:uid="{6CDE11E4-9B1F-7E4B-8E43-F8561FF57D09}" name="Average Loans " dataDxfId="88">
      <calculatedColumnFormula>Table54[[#This Row],[Loan Count (in M)]]/SUM(Table41[Deep Subprime])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EB507F71-1B7A-4D40-AB7F-A86E59D63C91}" name="Table55" displayName="Table55" ref="A130:G142" totalsRowShown="0" headerRowDxfId="87" dataDxfId="85" headerRowBorderDxfId="86" tableBorderDxfId="84">
  <autoFilter ref="A130:G142" xr:uid="{EB507F71-1B7A-4D40-AB7F-A86E59D63C91}"/>
  <tableColumns count="7">
    <tableColumn id="1" xr3:uid="{C5DD8D7B-1263-2641-9BE0-34391782F1E0}" name="Generation"/>
    <tableColumn id="2" xr3:uid="{9AF0E465-AF1A-974D-B4A3-068ECD6A2BDA}" name="Income Bracket" dataDxfId="83"/>
    <tableColumn id="3" xr3:uid="{BDBE18A6-9854-B14C-AE0C-48D2AEBD08BD}" name="Deep Subprime" dataDxfId="82">
      <calculatedColumnFormula>C64*B$145</calculatedColumnFormula>
    </tableColumn>
    <tableColumn id="4" xr3:uid="{0AD0EB46-0D04-4943-B597-2D4BF50C4C4B}" name="Sub Prime" dataDxfId="81">
      <calculatedColumnFormula>D64*C$145</calculatedColumnFormula>
    </tableColumn>
    <tableColumn id="5" xr3:uid="{93C434E8-C694-5349-8B65-023C5E2DB371}" name="Near Prime" dataDxfId="80">
      <calculatedColumnFormula>E64*D$145</calculatedColumnFormula>
    </tableColumn>
    <tableColumn id="6" xr3:uid="{6908B149-7A48-6740-8E9B-61EC35CAA2B6}" name="Prime" dataDxfId="79">
      <calculatedColumnFormula>F64*E$145</calculatedColumnFormula>
    </tableColumn>
    <tableColumn id="7" xr3:uid="{1193A69C-742F-DB4F-B311-47B24E2B956A}" name="Super Prime" dataDxfId="78">
      <calculatedColumnFormula>G64*F$145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2D98FCC9-574B-204D-AC33-EE5477B72F39}" name="Table56" displayName="Table56" ref="A2:G14" totalsRowShown="0" headerRowDxfId="77" dataDxfId="76">
  <autoFilter ref="A2:G14" xr:uid="{2D98FCC9-574B-204D-AC33-EE5477B72F39}"/>
  <tableColumns count="7">
    <tableColumn id="1" xr3:uid="{09FFD9A4-4DBA-E348-98E7-18F4F2CF4BA6}" name="Generation"/>
    <tableColumn id="7" xr3:uid="{825F08F9-9923-8C43-83EB-A4F422AAA12E}" name="Income Bracket"/>
    <tableColumn id="2" xr3:uid="{FE039684-1A06-6E47-B529-D08CF107363A}" name="Deep Subprime" dataDxfId="75" dataCellStyle="Currency"/>
    <tableColumn id="3" xr3:uid="{35C60B3D-C7E6-2948-B312-5C2440E91E32}" name="Sub Prime" dataDxfId="74" dataCellStyle="Currency"/>
    <tableColumn id="4" xr3:uid="{DA16EE14-C94D-8940-8678-E4518B9D7981}" name="Near Prime" dataDxfId="73" dataCellStyle="Currency"/>
    <tableColumn id="5" xr3:uid="{13616484-023E-C54B-9169-EA4763582AB7}" name="Prime" dataDxfId="72" dataCellStyle="Currency"/>
    <tableColumn id="6" xr3:uid="{0340187F-74EF-984A-AC98-8F79E716D6F4}" name="Super Prime" dataDxfId="71" dataCellStyle="Currency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3026E8C-A249-E741-8951-07E8B0A95D7F}" name="Table57" displayName="Table57" ref="A17:G29" totalsRowShown="0" headerRowCellStyle="Normal" dataCellStyle="Normal">
  <autoFilter ref="A17:G29" xr:uid="{C3026E8C-A249-E741-8951-07E8B0A95D7F}"/>
  <tableColumns count="7">
    <tableColumn id="1" xr3:uid="{87D4895C-0EA3-EB4B-A321-87EED4FBBC39}" name="Generation" dataCellStyle="Normal"/>
    <tableColumn id="7" xr3:uid="{6CB70145-BA72-FC4E-A9E1-AB30AB04D11B}" name="Column1" dataDxfId="70"/>
    <tableColumn id="2" xr3:uid="{9DCCFF95-1EBB-BE49-83B6-C28D7F24E72B}" name="Deep Subprime" dataDxfId="69" dataCellStyle="Currency">
      <calculatedColumnFormula>C3*'Portfolio x PD x Loan Count'!C131*'User Segmentation'!$I$49/'Portfolio x PD x Loan Count'!C64</calculatedColumnFormula>
    </tableColumn>
    <tableColumn id="3" xr3:uid="{16091AF0-28A7-C34D-BEA0-60002AFBF2BA}" name="Sub Prime" dataDxfId="68" dataCellStyle="Currency">
      <calculatedColumnFormula>D3*'Portfolio x PD x Loan Count'!D131*'User Segmentation'!$I$49/'Portfolio x PD x Loan Count'!D64</calculatedColumnFormula>
    </tableColumn>
    <tableColumn id="4" xr3:uid="{EFA28897-3500-A941-A582-DE38910A514B}" name="Near Prime" dataDxfId="67" dataCellStyle="Currency">
      <calculatedColumnFormula>E3*'Portfolio x PD x Loan Count'!E131*'User Segmentation'!$I$49/'Portfolio x PD x Loan Count'!E64</calculatedColumnFormula>
    </tableColumn>
    <tableColumn id="5" xr3:uid="{9BE87F57-D8EC-E64F-BE4B-3BA923DA5C0E}" name="Prime" dataDxfId="66" dataCellStyle="Currency">
      <calculatedColumnFormula>F3*'Portfolio x PD x Loan Count'!F131*'User Segmentation'!$I$49/'Portfolio x PD x Loan Count'!F64</calculatedColumnFormula>
    </tableColumn>
    <tableColumn id="6" xr3:uid="{96D0FC67-BC71-1947-8AD9-4FF5B7049F03}" name="Super Prime" dataDxfId="65" dataCellStyle="Currency">
      <calculatedColumnFormula>G3*'Portfolio x PD x Loan Count'!G131*'User Segmentation'!$I$49/'Portfolio x PD x Loan Count'!G64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D121DABD-9C64-3E4F-B600-2C9EBEA0A4B4}" name="Table62" displayName="Table62" ref="A32:G44" totalsRowShown="0">
  <autoFilter ref="A32:G44" xr:uid="{D121DABD-9C64-3E4F-B600-2C9EBEA0A4B4}"/>
  <tableColumns count="7">
    <tableColumn id="1" xr3:uid="{960AB964-53F8-6944-977D-0C7FBC1351C8}" name="Generation"/>
    <tableColumn id="8" xr3:uid="{3B1D92B6-E1BE-FE41-908C-3CDF59724650}" name="Column1" dataDxfId="64"/>
    <tableColumn id="2" xr3:uid="{DB4F5BB5-6371-2F40-A2DF-84419DEC1035}" name="Deep Subprime" dataDxfId="63">
      <calculatedColumnFormula>C18*'Portfolio x PD x Loan Count'!C64</calculatedColumnFormula>
    </tableColumn>
    <tableColumn id="3" xr3:uid="{7EAEA1FF-9A04-5248-9590-DBD9CE493775}" name="Sub Prime" dataDxfId="62">
      <calculatedColumnFormula>D18*'Portfolio x PD x Loan Count'!D64</calculatedColumnFormula>
    </tableColumn>
    <tableColumn id="4" xr3:uid="{4966F406-149A-7244-B2A5-BBD2A59C5700}" name="Near Prime" dataDxfId="61">
      <calculatedColumnFormula>E18*'Portfolio x PD x Loan Count'!E64</calculatedColumnFormula>
    </tableColumn>
    <tableColumn id="5" xr3:uid="{D9710B82-3C22-974D-B116-5E91E73A7143}" name="Prime" dataDxfId="60">
      <calculatedColumnFormula>F18*'Portfolio x PD x Loan Count'!F64</calculatedColumnFormula>
    </tableColumn>
    <tableColumn id="6" xr3:uid="{F1EA737D-695F-F64E-9ADA-522EB68E7BD2}" name="Super Prime" dataDxfId="59">
      <calculatedColumnFormula>G18*'Portfolio x PD x Loan Count'!G64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5CF9A7F-4C23-7E4B-9CBB-E89F980E9309}" name="Table5673" displayName="Table5673" ref="I2:O14" totalsRowShown="0" headerRowDxfId="58" dataDxfId="57">
  <autoFilter ref="I2:O14" xr:uid="{A5CF9A7F-4C23-7E4B-9CBB-E89F980E9309}"/>
  <tableColumns count="7">
    <tableColumn id="1" xr3:uid="{C225CC1A-78FC-5442-902A-A51CC37B167C}" name="Generation"/>
    <tableColumn id="7" xr3:uid="{64D9D0B0-58F3-384D-B737-56498DBF7082}" name="Income Bracket"/>
    <tableColumn id="2" xr3:uid="{1C497AB3-9350-4642-BE94-EC507AA3BC7A}" name="Deep Subprime" dataDxfId="56" dataCellStyle="Currency">
      <calculatedColumnFormula array="1">Table56[[#This Row],[Deep Subprime]]*'Dynamic PD'!N3*Table70[[LGD]:[LGD]]</calculatedColumnFormula>
    </tableColumn>
    <tableColumn id="3" xr3:uid="{B7723376-4B19-BD41-9774-9466CC79FF97}" name="Sub Prime" dataDxfId="55" dataCellStyle="Currency">
      <calculatedColumnFormula array="1">Table56[[#This Row],[Sub Prime]]*'Dynamic PD'!O3*Table70[[LGD]:[LGD]]</calculatedColumnFormula>
    </tableColumn>
    <tableColumn id="4" xr3:uid="{08E03395-60E6-2E43-B253-93B1CC91AC17}" name="Near Prime" dataDxfId="54" dataCellStyle="Currency">
      <calculatedColumnFormula array="1">Table56[[#This Row],[Near Prime]]*'Dynamic PD'!P3*Table70[[LGD]:[LGD]]</calculatedColumnFormula>
    </tableColumn>
    <tableColumn id="5" xr3:uid="{9E3F0526-DFD1-6442-BDBF-9149FA0156B2}" name="Prime" dataDxfId="53" dataCellStyle="Currency">
      <calculatedColumnFormula array="1">Table56[[#This Row],[Prime]]*'Dynamic PD'!Q3*Table70[[LGD]:[LGD]]</calculatedColumnFormula>
    </tableColumn>
    <tableColumn id="6" xr3:uid="{BC7116E2-C735-C84B-A5ED-69E1F15E542E}" name="Super Prime" dataDxfId="52" dataCellStyle="Currency">
      <calculatedColumnFormula array="1">Table56[[#This Row],[Super Prime]]*'Dynamic PD'!R3*Table70[[LGD]:[LGD]]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6561C4F2-5539-804C-BE8F-507BD1F5BCDC}" name="Table567375" displayName="Table567375" ref="I17:O29" totalsRowShown="0" headerRowDxfId="51" dataDxfId="50">
  <autoFilter ref="I17:O29" xr:uid="{6561C4F2-5539-804C-BE8F-507BD1F5BCDC}"/>
  <tableColumns count="7">
    <tableColumn id="1" xr3:uid="{2B4DBB45-62E8-924E-B9F2-44AE4800CF04}" name="Generation"/>
    <tableColumn id="7" xr3:uid="{8A9C184A-204F-6A4C-8FFC-1E3F4C78C962}" name="Income Bracket"/>
    <tableColumn id="2" xr3:uid="{B9A979E2-091A-4148-9512-04705C8FC499}" name="Deep Subprime" dataDxfId="49" dataCellStyle="Currency">
      <calculatedColumnFormula array="1">C3*Table70[[Funding Rate]:[Funding Rate]]*Table70[[Tenure (in months)]:[Tenure (in months)]]/12</calculatedColumnFormula>
    </tableColumn>
    <tableColumn id="3" xr3:uid="{CA0EFD4D-23B0-3846-8ADC-B2C916282217}" name="Sub Prime" dataDxfId="48" dataCellStyle="Currency">
      <calculatedColumnFormula array="1">D3*Table70[[Funding Rate]:[Funding Rate]]*Table70[[Tenure (in months)]:[Tenure (in months)]]/12</calculatedColumnFormula>
    </tableColumn>
    <tableColumn id="4" xr3:uid="{7630C088-B086-044A-B842-032CFCA92B2F}" name="Near Prime" dataDxfId="47" dataCellStyle="Currency">
      <calculatedColumnFormula array="1">E3*Table70[[Funding Rate]:[Funding Rate]]*Table70[[Tenure (in months)]:[Tenure (in months)]]/12</calculatedColumnFormula>
    </tableColumn>
    <tableColumn id="5" xr3:uid="{EC23E89C-B80B-E24E-BACC-0DF09B932887}" name="Prime" dataDxfId="46" dataCellStyle="Currency">
      <calculatedColumnFormula array="1">F3*Table70[[Funding Rate]:[Funding Rate]]*Table70[[Tenure (in months)]:[Tenure (in months)]]/12</calculatedColumnFormula>
    </tableColumn>
    <tableColumn id="6" xr3:uid="{128420CA-BAC6-E240-BA02-657826EE6013}" name="Super Prime" dataDxfId="45" dataCellStyle="Currency">
      <calculatedColumnFormula array="1">G3*Table70[[Funding Rate]:[Funding Rate]]*Table70[[Tenure (in months)]:[Tenure (in months)]]/12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3A4C61CB-59F5-734A-AE4F-5B96B21A2D45}" name="Table75" displayName="Table75" ref="I32:O44" totalsRowShown="0" headerRowDxfId="44" dataDxfId="42" headerRowBorderDxfId="43" tableBorderDxfId="41" totalsRowBorderDxfId="40">
  <autoFilter ref="I32:O44" xr:uid="{3A4C61CB-59F5-734A-AE4F-5B96B21A2D45}"/>
  <tableColumns count="7">
    <tableColumn id="1" xr3:uid="{7CE0A177-DF12-8641-8A5F-014CC04D535A}" name="Generation"/>
    <tableColumn id="2" xr3:uid="{96E72501-426C-794D-B391-E62E0E6A80B3}" name="Income Bracket" dataDxfId="39"/>
    <tableColumn id="3" xr3:uid="{6510427A-50EC-014F-A102-092437D9A380}" name="Deep Subprime" dataDxfId="38">
      <calculatedColumnFormula>C3*'User Segmentation'!$I$49</calculatedColumnFormula>
    </tableColumn>
    <tableColumn id="4" xr3:uid="{E80876F0-1C3A-3D4F-B990-2192DEC39703}" name="Sub Prime" dataDxfId="37">
      <calculatedColumnFormula>D3*'User Segmentation'!$I$49</calculatedColumnFormula>
    </tableColumn>
    <tableColumn id="5" xr3:uid="{855C97B3-E455-2B4B-8748-EA98AC1282EE}" name="Near Prime" dataDxfId="36">
      <calculatedColumnFormula>E3*'User Segmentation'!$I$49</calculatedColumnFormula>
    </tableColumn>
    <tableColumn id="6" xr3:uid="{807BCA03-1AD5-F243-8D97-72A026EF1190}" name="Prime" dataDxfId="35">
      <calculatedColumnFormula>F3*'User Segmentation'!$I$49</calculatedColumnFormula>
    </tableColumn>
    <tableColumn id="7" xr3:uid="{C81B29D6-DB90-7A40-9C2B-6FB4B71D8135}" name="Super Prime" dataDxfId="34">
      <calculatedColumnFormula>G3*'User Segmentation'!$I$49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1C6F584-710A-B94A-AF94-F0A7EA13AEB8}" name="Table65" displayName="Table65" ref="F1:G4" totalsRowShown="0">
  <autoFilter ref="F1:G4" xr:uid="{21C6F584-710A-B94A-AF94-F0A7EA13AEB8}"/>
  <tableColumns count="2">
    <tableColumn id="1" xr3:uid="{4BC43BA4-F271-A946-9E6A-54F90FCDEC1D}" name="Income Beta"/>
    <tableColumn id="2" xr3:uid="{EB6EAB86-228B-0C40-A3A3-10C8B241F5C9}" name="Beta Valu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3A64603-B14C-2E43-81CD-A62E121D5BA8}" name="Table67" displayName="Table67" ref="F6:G11" totalsRowShown="0">
  <autoFilter ref="F6:G11" xr:uid="{13A64603-B14C-2E43-81CD-A62E121D5BA8}"/>
  <tableColumns count="2">
    <tableColumn id="1" xr3:uid="{9BD4FDFD-CEF5-974F-A25E-DA530B7F80A2}" name="Credit Category Beta"/>
    <tableColumn id="2" xr3:uid="{4276FB30-B946-EE44-A3A3-6FAABBD02F90}" name="Beta Valu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F0B51E22-FCC0-5F48-BE38-5DB413E64B22}" name="Table68" displayName="Table68" ref="L16:L17" totalsRowShown="0" dataDxfId="33" dataCellStyle="Per cent">
  <autoFilter ref="L16:L17" xr:uid="{F0B51E22-FCC0-5F48-BE38-5DB413E64B22}"/>
  <tableColumns count="1">
    <tableColumn id="1" xr3:uid="{B6824B3C-9809-7F4D-A49A-F30AC033DB7D}" name="PD(0)" dataDxfId="32" dataCellStyle="Per cent">
      <calculatedColumnFormula array="1">INDEX($N$3:$R$14,
       MATCH(1,($L$3:$L$14=$F$17)*($M$3:$M$14=$G$17),0),
       MATCH($H$17,$N$2:$R$2,0))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A487E7E-3B36-7648-BD72-3E6CD52B92CD}" name="Table69" displayName="Table69" ref="L34:L35" totalsRowShown="0" dataDxfId="31" dataCellStyle="Currency">
  <autoFilter ref="L34:L35" xr:uid="{AA487E7E-3B36-7648-BD72-3E6CD52B92CD}"/>
  <tableColumns count="1">
    <tableColumn id="1" xr3:uid="{4F8F8540-FF02-8144-A261-5FF8FA78DCE4}" name="ATS" dataDxfId="30" dataCellStyle="Currency">
      <calculatedColumnFormula array="1">INDEX($N$21:$R$32,MATCH(1,($L$21:$L$32=$F$17)*($M$21:$M$32=$G$17),0),MATCH($H$17,$N$20:$R$20,0))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995D5AB-B442-354F-9FA9-85E2DEFEE1BE}" name="Table70" displayName="Table70" ref="F13:J14" totalsRowShown="0">
  <autoFilter ref="F13:J14" xr:uid="{0995D5AB-B442-354F-9FA9-85E2DEFEE1BE}"/>
  <tableColumns count="5">
    <tableColumn id="1" xr3:uid="{EFE6EFCC-F873-8244-AC3F-9D639138D2E8}" name="Beta Segment">
      <calculatedColumnFormula>(VLOOKUP($G$17,Table65[#All],2,0))*(VLOOKUP($H$17,Table67[#All],2,0))</calculatedColumnFormula>
    </tableColumn>
    <tableColumn id="2" xr3:uid="{D3301976-A2A3-9448-BCC1-C3FE3CAE6D45}" name="LGD"/>
    <tableColumn id="3" xr3:uid="{77F7E678-F486-3F41-BA4B-B7F5CB5EFE24}" name="Fixed Cost" dataDxfId="29" dataCellStyle="Currency"/>
    <tableColumn id="4" xr3:uid="{02750CE9-FAF3-6C40-BEE6-EED703933CEC}" name="Funding Rate">
      <calculatedColumnFormula>(9.5% +Dashboard!$Q$25/10000)</calculatedColumnFormula>
    </tableColumn>
    <tableColumn id="5" xr3:uid="{218432A1-EC65-5544-ACF2-0E4E1969BB90}" name="Tenure (in months)" dataDxfId="28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FE4F4B9-1974-794A-834A-16AF406FFCE2}" name="Table76" displayName="Table76" ref="A2:G14" totalsRowShown="0" headerRowDxfId="27" headerRowBorderDxfId="26" tableBorderDxfId="25">
  <autoFilter ref="A2:G14" xr:uid="{6FE4F4B9-1974-794A-834A-16AF406FFCE2}"/>
  <tableColumns count="7">
    <tableColumn id="1" xr3:uid="{EEDD1236-AE0D-834D-8DC8-560AEF3EEC7E}" name="Generation"/>
    <tableColumn id="2" xr3:uid="{CE8BFFBE-1121-AF4E-BDCC-D38C496EC29A}" name="Income Bracket" dataDxfId="24"/>
    <tableColumn id="3" xr3:uid="{C2E6EC91-E387-8D46-AD57-ED5A10BFED96}" name="Deep Subprime" dataDxfId="23">
      <calculatedColumnFormula array="1">'Support Tables'!K33-'Support Tables'!K18-Table5673[[#This Row],[Deep Subprime]]-Table70[[Fixed Cost]:[Fixed Cost]]</calculatedColumnFormula>
    </tableColumn>
    <tableColumn id="4" xr3:uid="{71AE0750-E296-AE43-B75B-B95F04EA0483}" name="Sub Prime" dataDxfId="22">
      <calculatedColumnFormula array="1">'Support Tables'!L33-'Support Tables'!L18-Table5673[[#This Row],[Sub Prime]]-Table70[[Fixed Cost]:[Fixed Cost]]</calculatedColumnFormula>
    </tableColumn>
    <tableColumn id="5" xr3:uid="{B9BB9E37-8950-E64D-A927-B8534D8C7F79}" name="Near Prime" dataDxfId="21">
      <calculatedColumnFormula array="1">'Support Tables'!M33-'Support Tables'!M18-Table5673[[#This Row],[Near Prime]]-Table70[[Fixed Cost]:[Fixed Cost]]</calculatedColumnFormula>
    </tableColumn>
    <tableColumn id="6" xr3:uid="{02B06421-3681-A043-A6FF-76AFD1A86E84}" name="Prime" dataDxfId="20">
      <calculatedColumnFormula array="1">'Support Tables'!N33-'Support Tables'!N18-Table5673[[#This Row],[Prime]]-Table70[[Fixed Cost]:[Fixed Cost]]</calculatedColumnFormula>
    </tableColumn>
    <tableColumn id="7" xr3:uid="{B33E27E8-4D47-6847-8925-849869FAF4AB}" name="Super Prime" dataDxfId="19">
      <calculatedColumnFormula array="1">'Support Tables'!O33-'Support Tables'!O18-Table5673[[#This Row],[Super Prime]]-Table70[[Fixed Cost]:[Fixed Cost]]</calculatedColumnFormula>
    </tableColumn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7B670B7F-3DB5-F943-8461-50235221AF2D}" name="Table77" displayName="Table77" ref="A17:G29" totalsRowShown="0" headerRowDxfId="18" headerRowBorderDxfId="17" tableBorderDxfId="16">
  <autoFilter ref="A17:G29" xr:uid="{7B670B7F-3DB5-F943-8461-50235221AF2D}"/>
  <tableColumns count="7">
    <tableColumn id="1" xr3:uid="{316F6C9D-B9FF-EA4D-A7C7-EABF1EC030F2}" name="Generation"/>
    <tableColumn id="2" xr3:uid="{E554781F-06AD-E84F-8FE6-8E13DE93CE51}" name="Income Bracket" dataDxfId="15"/>
    <tableColumn id="3" xr3:uid="{B8670CC5-C5E1-C54D-B2DF-7CFE0F97EF88}" name="Deep Subprime" dataDxfId="14">
      <calculatedColumnFormula>C3*'Portfolio x PD x Loan Count'!C131/'Portfolio x PD x Loan Count'!C64</calculatedColumnFormula>
    </tableColumn>
    <tableColumn id="4" xr3:uid="{FA02A5FF-CA5D-8A43-92C4-3DF6DA8FA2E1}" name="Sub Prime" dataDxfId="13">
      <calculatedColumnFormula>D3*'Portfolio x PD x Loan Count'!D131/'Portfolio x PD x Loan Count'!D64</calculatedColumnFormula>
    </tableColumn>
    <tableColumn id="5" xr3:uid="{79BA8609-8AAC-2B4A-A592-03B0409E99FA}" name="Near Prime" dataDxfId="12">
      <calculatedColumnFormula>E3*'Portfolio x PD x Loan Count'!E131/'Portfolio x PD x Loan Count'!E64</calculatedColumnFormula>
    </tableColumn>
    <tableColumn id="6" xr3:uid="{425B967D-7145-E24A-BED5-2E780B859287}" name="Prime" dataDxfId="11">
      <calculatedColumnFormula>F3*'Portfolio x PD x Loan Count'!F131/'Portfolio x PD x Loan Count'!F64</calculatedColumnFormula>
    </tableColumn>
    <tableColumn id="7" xr3:uid="{FACA6AF8-6CA4-6340-A794-AF4ECC160F4D}" name="Super Prime" dataDxfId="10">
      <calculatedColumnFormula>G3*'Portfolio x PD x Loan Count'!G131/'Portfolio x PD x Loan Count'!G64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9AF1B2-D832-6A4A-BEC3-9662F66E94C5}" name="Table6" displayName="Table6" ref="A31:B32" totalsRowShown="0" dataCellStyle="Per cent">
  <autoFilter ref="A31:B32" xr:uid="{CF9AF1B2-D832-6A4A-BEC3-9662F66E94C5}"/>
  <tableColumns count="2">
    <tableColumn id="1" xr3:uid="{DE259965-BC8E-1246-9DF5-BB2CADB4C059}" name="%Profitable Loans " dataCellStyle="Per cent">
      <calculatedColumnFormula>SUM(K18:K29,L18:L29,M18:M29,N18:N29,O18:O29)/'User Segmentation'!$I$47</calculatedColumnFormula>
    </tableColumn>
    <tableColumn id="2" xr3:uid="{863EAC1C-A614-2C47-A133-A83C195CBB65}" name="%Unprofitable Loans" dataCellStyle="Per cent">
      <calculatedColumnFormula>1-Table6[[#This Row],[%Profitable Loans ]]</calculatedColumnFormula>
    </tableColumn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D7865050-1F86-A341-B47B-973430F1B358}" name="Table78" displayName="Table78" ref="A2:H6" totalsRowShown="0">
  <autoFilter ref="A2:H6" xr:uid="{D7865050-1F86-A341-B47B-973430F1B358}"/>
  <tableColumns count="8">
    <tableColumn id="1" xr3:uid="{788A2E03-E044-9F47-B1B3-F71FE556C07D}" name="Users"/>
    <tableColumn id="2" xr3:uid="{1056A532-5CA7-F543-970E-6195E5B3DC55}" name="Generation"/>
    <tableColumn id="3" xr3:uid="{D2B5BA1A-AF03-8E45-AD7E-359AAD90B106}" name="Income Bracket"/>
    <tableColumn id="4" xr3:uid="{78375712-0E3E-E846-A45F-365EFE673B87}" name="Credit Category"/>
    <tableColumn id="8" xr3:uid="{5601B143-5328-4F49-80B1-1324CF3ED09A}" name="Portfolio %" dataDxfId="9" dataCellStyle="Per cent">
      <calculatedColumnFormula array="1">INDEX(Table41[[Deep Subprime]:[Super Prime]], MATCH(1,(Table41[Generation]=Table78[[#This Row],[Generation]:[Generation]])*(Table41[Income Bracket]=Table78[[#This Row],[Income Bracket]:[Income Bracket]]),0), MATCH(Table78[[#This Row],[Credit Category]:[Credit Category]],Table41[[#Headers],[Deep Subprime]:[Super Prime]],0))</calculatedColumnFormula>
    </tableColumn>
    <tableColumn id="5" xr3:uid="{D267BE0C-2760-6F43-99A9-80FAAD16F19B}" name="ATS" dataDxfId="8">
      <calculatedColumnFormula array="1">INDEX(
    Table56[[Deep Subprime]:[Super Prime]],
    MATCH(1,
        (Table56[Generation]=Table78[[#This Row],[Generation]])*
        (Table56[Income Bracket]=Table78[[#This Row],[Income Bracket]]),
    0),
    MATCH(Table78[[#This Row],[Credit Category]],
        Table56[[#Headers],[Deep Subprime]:[Super Prime]],
    0)
)</calculatedColumnFormula>
    </tableColumn>
    <tableColumn id="6" xr3:uid="{7CC435E9-1BC3-2349-849E-F73CE2C598FB}" name="PD(0)" dataDxfId="7">
      <calculatedColumnFormula array="1">INDEX('Dynamic PD'!$N$3:$R$14, MATCH(1,('Dynamic PD'!$L$3:$L$14=Table78[[#This Row],[Generation]])*('Dynamic PD'!$M$3:$M$14=Table78[[#This Row],[Income Bracket]]),0),MATCH(Table78[[#This Row],[Credit Category]],'Dynamic PD'!$N$2:$R$2,0))</calculatedColumnFormula>
    </tableColumn>
    <tableColumn id="7" xr3:uid="{B4895339-4665-704B-B3D6-99B99B3F40B6}" name="Beta Val" dataDxfId="6">
      <calculatedColumnFormula>(VLOOKUP(Table78[[#This Row],[Income Bracket]],Table65[],2,FALSE))*(VLOOKUP(Table78[[#This Row],[Credit Category]],Table67[],2,FALSE))</calculatedColumnFormula>
    </tableColumn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FDEB01-2F64-D84B-9F41-DF3BF610EC44}" name="Table7" displayName="Table7" ref="Q8:U168" totalsRowShown="0" headerRowDxfId="5">
  <autoFilter ref="Q8:U168" xr:uid="{ABFDEB01-2F64-D84B-9F41-DF3BF610EC44}"/>
  <tableColumns count="5">
    <tableColumn id="1" xr3:uid="{AB9E7BBC-B288-9645-BC35-60C523FBD1D0}" name="Delta" dataDxfId="4" dataCellStyle="Per cent"/>
    <tableColumn id="2" xr3:uid="{AE9760BD-C142-C447-A78F-3248B4273576}" name="Gen Z,_x000a_&lt;50,000,_x000a_Deep Subprime" dataDxfId="3">
      <calculatedColumnFormula array="1">($F$3*(1+$Q9)*'User Segmentation'!$I$49)
- Table70[[Fixed Cost]:[Fixed Cost]]
- (Table70[[Funding Rate]:[Funding Rate]]
   *Table70[[Tenure (in months)]:[Tenure (in months)]]
   *$F$3*(1+$Q9)/12)
- (
   IF($Q9&lt;0,
      'Dynamic CM'!$G$3,
      'Dynamic CM'!$G$3*(( $F$3*(1+$Q9) / $F$3 )^'Dynamic CM'!$H$3)
     )
   *Table70[[LGD]:[LGD]]
   *$F$3*(1+$Q9)
 )</calculatedColumnFormula>
    </tableColumn>
    <tableColumn id="3" xr3:uid="{CD7609D2-6CEF-5C4D-A078-2CC247EFEC74}" name="Millenial,_x000a_50,000-1,00,000,_x000a_Near Prime" dataDxfId="2">
      <calculatedColumnFormula array="1">($F$4*(1+$Q9)*'User Segmentation'!$I$49)
- Table70[[Fixed Cost]:[Fixed Cost]]
- (Table70[[Funding Rate]:[Funding Rate]]
   *Table70[[Tenure (in months)]:[Tenure (in months)]]
   *$F$4*(1+$Q9)/12)
- (
   IF($Q9&lt;0,
      'Dynamic CM'!$G$4,
      'Dynamic CM'!$G$4*(( $F$4*(1+$Q9) / $F$4 )^'Dynamic CM'!$H$4)
     )
   *Table70[[LGD]:[LGD]]
   *$F$4*(1+$Q9)
 )</calculatedColumnFormula>
    </tableColumn>
    <tableColumn id="4" xr3:uid="{6AEF65F6-02EC-F54B-A582-2AB0D8C6CB56}" name="Gen X,_x000a_&gt;1,00,000,_x000a_Super Prime" dataDxfId="1">
      <calculatedColumnFormula array="1">($F$5*(1+$Q9)*'User Segmentation'!$I$49)
- Table70[[Fixed Cost]:[Fixed Cost]]
- (Table70[[Funding Rate]:[Funding Rate]]
   *Table70[[Tenure (in months)]:[Tenure (in months)]]
   *$F$5*(1+$Q9)/12)
- (
   IF($Q9&lt;0,
      'Dynamic CM'!$G$5,
      'Dynamic CM'!$G$5*(( $F$5*(1+$Q9) / $F$5 )^'Dynamic CM'!$H$5)
     )
   *Table70[[LGD]:[LGD]]
   *$F$5*(1+$Q9)
 )</calculatedColumnFormula>
    </tableColumn>
    <tableColumn id="5" xr3:uid="{11C337F7-DAC4-6041-94CE-5CB911DE2DE5}" name="Millenial,_x000a_50,000-1,00,000,_x000a_Sub Prime" dataDxfId="0">
      <calculatedColumnFormula array="1">($F$6*(1+$Q9)*'User Segmentation'!$I$49)
- Table70[[Fixed Cost]:[Fixed Cost]]
- (Table70[[Funding Rate]:[Funding Rate]]
   *Table70[[Tenure (in months)]:[Tenure (in months)]]
   *$F$6*(1+$Q9)/12)
- (
   IF($Q9&lt;0,
      'Dynamic CM'!$G$6,
      'Dynamic CM'!$G$6*(( $F$6*(1+$Q9) / $F$6)^'Dynamic CM'!$H$6)
     )
   *Table70[[LGD]:[LGD]]
   *$F$6*(1+$Q9)
 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078F717-3B7B-2741-9DC0-EE2747DEC7BF}" name="Table59" displayName="Table59" ref="A1:B6" totalsRowShown="0">
  <autoFilter ref="A1:B6" xr:uid="{3078F717-3B7B-2741-9DC0-EE2747DEC7BF}"/>
  <tableColumns count="2">
    <tableColumn id="1" xr3:uid="{B5CE6EAD-7A6E-1B4C-A61C-48356C3FB2FB}" name="Portfolio Metrics"/>
    <tableColumn id="2" xr3:uid="{96097623-041B-BE40-B9F5-D661A0D8CC0E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11" Type="http://schemas.openxmlformats.org/officeDocument/2006/relationships/table" Target="../tables/table34.xml"/><Relationship Id="rId5" Type="http://schemas.openxmlformats.org/officeDocument/2006/relationships/table" Target="../tables/table28.xml"/><Relationship Id="rId10" Type="http://schemas.openxmlformats.org/officeDocument/2006/relationships/table" Target="../tables/table33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drawing" Target="../drawings/drawing3.xml"/><Relationship Id="rId4" Type="http://schemas.openxmlformats.org/officeDocument/2006/relationships/table" Target="../tables/table4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332F-70C1-3B4B-BBC7-C35414A85F98}">
  <sheetPr codeName="Sheet1">
    <tabColor theme="1" tint="0.14999847407452621"/>
  </sheetPr>
  <dimension ref="A1:K93"/>
  <sheetViews>
    <sheetView topLeftCell="A43" zoomScale="75" workbookViewId="0">
      <selection activeCell="B60" sqref="B60"/>
    </sheetView>
  </sheetViews>
  <sheetFormatPr baseColWidth="10" defaultRowHeight="16" x14ac:dyDescent="0.2"/>
  <cols>
    <col min="1" max="1" width="26.1640625" style="12" bestFit="1" customWidth="1"/>
    <col min="2" max="2" width="24.5" style="12" customWidth="1"/>
    <col min="3" max="3" width="18.83203125" style="12" customWidth="1"/>
    <col min="4" max="4" width="15" style="12" customWidth="1"/>
    <col min="5" max="5" width="16.1640625" style="12" customWidth="1"/>
    <col min="6" max="6" width="21.6640625" style="12" customWidth="1"/>
    <col min="7" max="7" width="21.33203125" style="12" customWidth="1"/>
    <col min="8" max="8" width="22.83203125" style="12" bestFit="1" customWidth="1"/>
    <col min="9" max="9" width="11.6640625" style="12" customWidth="1"/>
    <col min="10" max="10" width="17" style="12" bestFit="1" customWidth="1"/>
    <col min="11" max="11" width="14.33203125" style="12" bestFit="1" customWidth="1"/>
    <col min="12" max="16384" width="10.83203125" style="12"/>
  </cols>
  <sheetData>
    <row r="1" spans="1:11" hidden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J1" s="13" t="s">
        <v>18</v>
      </c>
      <c r="K1" s="13" t="s">
        <v>19</v>
      </c>
    </row>
    <row r="2" spans="1:11" hidden="1" x14ac:dyDescent="0.2">
      <c r="A2" s="5" t="s">
        <v>5</v>
      </c>
      <c r="B2" s="5" t="s">
        <v>6</v>
      </c>
      <c r="C2" s="6">
        <v>0.4</v>
      </c>
      <c r="D2" s="5" t="s">
        <v>7</v>
      </c>
      <c r="E2" s="5" t="s">
        <v>8</v>
      </c>
      <c r="J2" s="12" t="s">
        <v>20</v>
      </c>
      <c r="K2" s="12" t="s">
        <v>21</v>
      </c>
    </row>
    <row r="3" spans="1:11" hidden="1" x14ac:dyDescent="0.2">
      <c r="A3" s="5" t="s">
        <v>9</v>
      </c>
      <c r="B3" s="5" t="s">
        <v>10</v>
      </c>
      <c r="C3" s="6">
        <v>0.28000000000000003</v>
      </c>
      <c r="D3" s="6">
        <v>0.35</v>
      </c>
      <c r="E3" s="5" t="s">
        <v>11</v>
      </c>
      <c r="J3" s="12" t="s">
        <v>22</v>
      </c>
      <c r="K3" s="12" t="s">
        <v>23</v>
      </c>
    </row>
    <row r="4" spans="1:11" hidden="1" x14ac:dyDescent="0.2">
      <c r="A4" s="5" t="s">
        <v>12</v>
      </c>
      <c r="B4" s="5" t="s">
        <v>13</v>
      </c>
      <c r="C4" s="6">
        <v>0.1</v>
      </c>
      <c r="D4" s="6">
        <v>0.17</v>
      </c>
      <c r="E4" s="5" t="s">
        <v>14</v>
      </c>
      <c r="J4" s="12" t="s">
        <v>24</v>
      </c>
      <c r="K4" s="12" t="s">
        <v>25</v>
      </c>
    </row>
    <row r="5" spans="1:11" hidden="1" x14ac:dyDescent="0.2">
      <c r="A5" s="5" t="s">
        <v>15</v>
      </c>
      <c r="B5" s="5" t="s">
        <v>16</v>
      </c>
      <c r="C5" s="6">
        <v>0.09</v>
      </c>
      <c r="D5" s="6">
        <v>0.11</v>
      </c>
      <c r="E5" s="5" t="s">
        <v>17</v>
      </c>
      <c r="J5" s="12" t="s">
        <v>26</v>
      </c>
      <c r="K5" s="12" t="s">
        <v>27</v>
      </c>
    </row>
    <row r="6" spans="1:11" hidden="1" x14ac:dyDescent="0.2"/>
    <row r="7" spans="1:11" hidden="1" x14ac:dyDescent="0.2"/>
    <row r="8" spans="1:11" hidden="1" x14ac:dyDescent="0.2"/>
    <row r="9" spans="1:11" hidden="1" x14ac:dyDescent="0.2"/>
    <row r="10" spans="1:11" hidden="1" x14ac:dyDescent="0.2"/>
    <row r="11" spans="1:11" hidden="1" x14ac:dyDescent="0.2"/>
    <row r="12" spans="1:11" hidden="1" x14ac:dyDescent="0.2"/>
    <row r="13" spans="1:11" hidden="1" x14ac:dyDescent="0.2"/>
    <row r="14" spans="1:11" hidden="1" x14ac:dyDescent="0.2"/>
    <row r="15" spans="1:11" hidden="1" x14ac:dyDescent="0.2">
      <c r="A15" s="12" t="s">
        <v>0</v>
      </c>
      <c r="B15" s="12" t="s">
        <v>28</v>
      </c>
    </row>
    <row r="16" spans="1:11" hidden="1" x14ac:dyDescent="0.2">
      <c r="A16" s="12" t="s">
        <v>29</v>
      </c>
      <c r="B16" s="12">
        <v>44</v>
      </c>
    </row>
    <row r="17" spans="1:4" hidden="1" x14ac:dyDescent="0.2">
      <c r="A17" s="12" t="s">
        <v>31</v>
      </c>
      <c r="B17" s="12">
        <v>48</v>
      </c>
      <c r="C17" s="7"/>
      <c r="D17" s="7"/>
    </row>
    <row r="18" spans="1:4" hidden="1" x14ac:dyDescent="0.2">
      <c r="A18" s="12" t="s">
        <v>32</v>
      </c>
      <c r="B18" s="12">
        <v>31</v>
      </c>
      <c r="C18" s="6"/>
      <c r="D18" s="6"/>
    </row>
    <row r="19" spans="1:4" hidden="1" x14ac:dyDescent="0.2">
      <c r="A19" s="12" t="s">
        <v>33</v>
      </c>
      <c r="B19" s="12">
        <v>13</v>
      </c>
      <c r="C19" s="6"/>
      <c r="D19" s="6"/>
    </row>
    <row r="20" spans="1:4" hidden="1" x14ac:dyDescent="0.2">
      <c r="A20" s="4"/>
      <c r="B20" s="6"/>
      <c r="C20" s="6"/>
      <c r="D20" s="6"/>
    </row>
    <row r="21" spans="1:4" hidden="1" x14ac:dyDescent="0.2">
      <c r="A21" s="7" t="s">
        <v>34</v>
      </c>
      <c r="B21" s="14" t="s">
        <v>28</v>
      </c>
      <c r="C21" s="6"/>
      <c r="D21" s="6"/>
    </row>
    <row r="22" spans="1:4" hidden="1" x14ac:dyDescent="0.2">
      <c r="A22" s="12" t="s">
        <v>35</v>
      </c>
      <c r="B22" s="12">
        <v>31</v>
      </c>
    </row>
    <row r="23" spans="1:4" hidden="1" x14ac:dyDescent="0.2">
      <c r="A23" s="12" t="s">
        <v>36</v>
      </c>
      <c r="B23" s="12">
        <v>32</v>
      </c>
    </row>
    <row r="24" spans="1:4" hidden="1" x14ac:dyDescent="0.2">
      <c r="A24" s="12" t="s">
        <v>37</v>
      </c>
      <c r="B24" s="12">
        <v>31</v>
      </c>
    </row>
    <row r="25" spans="1:4" hidden="1" x14ac:dyDescent="0.2"/>
    <row r="26" spans="1:4" hidden="1" x14ac:dyDescent="0.2"/>
    <row r="27" spans="1:4" hidden="1" x14ac:dyDescent="0.2">
      <c r="A27" s="12" t="s">
        <v>0</v>
      </c>
      <c r="B27" s="12" t="s">
        <v>35</v>
      </c>
      <c r="C27" s="12" t="s">
        <v>36</v>
      </c>
      <c r="D27" s="12" t="s">
        <v>37</v>
      </c>
    </row>
    <row r="28" spans="1:4" hidden="1" x14ac:dyDescent="0.2">
      <c r="A28" s="15" t="s">
        <v>29</v>
      </c>
      <c r="B28" s="12">
        <v>58</v>
      </c>
      <c r="C28" s="12">
        <v>32</v>
      </c>
      <c r="D28" s="12">
        <v>10</v>
      </c>
    </row>
    <row r="29" spans="1:4" hidden="1" x14ac:dyDescent="0.2">
      <c r="A29" s="16" t="s">
        <v>31</v>
      </c>
      <c r="B29" s="12">
        <v>34</v>
      </c>
      <c r="C29" s="12">
        <v>41</v>
      </c>
      <c r="D29" s="12">
        <v>25</v>
      </c>
    </row>
    <row r="30" spans="1:4" hidden="1" x14ac:dyDescent="0.2">
      <c r="A30" s="15" t="s">
        <v>32</v>
      </c>
      <c r="B30" s="12">
        <v>24</v>
      </c>
      <c r="C30" s="12">
        <v>39</v>
      </c>
      <c r="D30" s="12">
        <v>37</v>
      </c>
    </row>
    <row r="31" spans="1:4" hidden="1" x14ac:dyDescent="0.2">
      <c r="A31" s="16" t="s">
        <v>33</v>
      </c>
      <c r="B31" s="12">
        <v>42</v>
      </c>
      <c r="C31" s="12">
        <v>33</v>
      </c>
      <c r="D31" s="12">
        <v>25</v>
      </c>
    </row>
    <row r="32" spans="1:4" hidden="1" x14ac:dyDescent="0.2"/>
    <row r="33" spans="1:9" hidden="1" x14ac:dyDescent="0.2">
      <c r="A33" s="12" t="s">
        <v>0</v>
      </c>
      <c r="B33" s="12" t="s">
        <v>40</v>
      </c>
    </row>
    <row r="34" spans="1:9" hidden="1" x14ac:dyDescent="0.2">
      <c r="A34" s="12" t="s">
        <v>29</v>
      </c>
      <c r="B34" s="11">
        <v>1.6923076923076923</v>
      </c>
    </row>
    <row r="35" spans="1:9" hidden="1" x14ac:dyDescent="0.2">
      <c r="A35" s="12" t="s">
        <v>30</v>
      </c>
      <c r="B35" s="11">
        <v>1.7777777777777777</v>
      </c>
    </row>
    <row r="36" spans="1:9" hidden="1" x14ac:dyDescent="0.2">
      <c r="A36" s="12" t="s">
        <v>32</v>
      </c>
      <c r="B36" s="11">
        <v>1.2916666666666667</v>
      </c>
    </row>
    <row r="37" spans="1:9" hidden="1" x14ac:dyDescent="0.2">
      <c r="A37" s="12" t="s">
        <v>33</v>
      </c>
      <c r="B37" s="11">
        <v>0.56521739130434778</v>
      </c>
    </row>
    <row r="38" spans="1:9" hidden="1" x14ac:dyDescent="0.2"/>
    <row r="39" spans="1:9" hidden="1" x14ac:dyDescent="0.2">
      <c r="A39" s="12" t="s">
        <v>34</v>
      </c>
      <c r="B39" s="12" t="s">
        <v>35</v>
      </c>
      <c r="C39" s="12" t="s">
        <v>36</v>
      </c>
      <c r="D39" s="12" t="s">
        <v>37</v>
      </c>
    </row>
    <row r="40" spans="1:9" hidden="1" x14ac:dyDescent="0.2">
      <c r="A40" s="12" t="s">
        <v>40</v>
      </c>
      <c r="B40" s="17">
        <v>0.57407407407407407</v>
      </c>
      <c r="C40" s="17">
        <v>1.1851851851851851</v>
      </c>
      <c r="D40" s="17">
        <v>1.631578947368421</v>
      </c>
    </row>
    <row r="41" spans="1:9" hidden="1" x14ac:dyDescent="0.2"/>
    <row r="42" spans="1:9" hidden="1" x14ac:dyDescent="0.2"/>
    <row r="43" spans="1:9" ht="34" x14ac:dyDescent="0.2">
      <c r="A43" s="20" t="s">
        <v>41</v>
      </c>
      <c r="H43" s="12" t="s">
        <v>38</v>
      </c>
      <c r="I43" s="12" t="s">
        <v>39</v>
      </c>
    </row>
    <row r="44" spans="1:9" x14ac:dyDescent="0.2">
      <c r="A44" s="22" t="s">
        <v>0</v>
      </c>
      <c r="B44" s="22" t="s">
        <v>45</v>
      </c>
      <c r="C44" s="21" t="s">
        <v>43</v>
      </c>
      <c r="D44" s="27" t="s">
        <v>46</v>
      </c>
      <c r="E44" s="12" t="s">
        <v>47</v>
      </c>
      <c r="F44" s="12" t="s">
        <v>48</v>
      </c>
      <c r="H44" s="12" t="s">
        <v>95</v>
      </c>
      <c r="I44" s="12">
        <v>345</v>
      </c>
    </row>
    <row r="45" spans="1:9" x14ac:dyDescent="0.2">
      <c r="A45" s="23" t="s">
        <v>29</v>
      </c>
      <c r="B45" s="23">
        <v>71</v>
      </c>
      <c r="C45" s="29">
        <v>0.45</v>
      </c>
      <c r="D45" s="34">
        <f>Table15[[#This Row],[Adoption Rate ]]*Table15[[#This Row],['# Population (in M)]]/SUM(Table15['# Population (in M)])</f>
        <v>0.11576086956521739</v>
      </c>
      <c r="E45" s="35">
        <f>Table15[[#This Row],[Weight]]/SUM(Table15[Weight])</f>
        <v>0.31188988676298324</v>
      </c>
      <c r="F45" s="17">
        <f>$I$46*Table15[[#This Row],[Portfoliio Comp]]</f>
        <v>16.140301639984383</v>
      </c>
      <c r="H45" s="12" t="s">
        <v>52</v>
      </c>
      <c r="I45" s="28">
        <v>0.15</v>
      </c>
    </row>
    <row r="46" spans="1:9" x14ac:dyDescent="0.2">
      <c r="A46" s="24" t="s">
        <v>30</v>
      </c>
      <c r="B46" s="24">
        <v>74</v>
      </c>
      <c r="C46" s="30">
        <v>0.51</v>
      </c>
      <c r="D46" s="28">
        <f>Table15[[#This Row],[Adoption Rate ]]*Table15[[#This Row],['# Population (in M)]]/SUM(Table15['# Population (in M)])</f>
        <v>0.13673913043478261</v>
      </c>
      <c r="E46" s="35">
        <f>Table15[[#This Row],[Weight]]/SUM(Table15[Weight])</f>
        <v>0.36841077704021868</v>
      </c>
      <c r="F46" s="17">
        <f>$I$46*Table15[[#This Row],[Portfoliio Comp]]</f>
        <v>19.065257711831318</v>
      </c>
      <c r="H46" s="12" t="s">
        <v>48</v>
      </c>
      <c r="I46" s="17">
        <f>I45*I44</f>
        <v>51.75</v>
      </c>
    </row>
    <row r="47" spans="1:9" x14ac:dyDescent="0.2">
      <c r="A47" s="23" t="s">
        <v>32</v>
      </c>
      <c r="B47" s="23">
        <v>65.5</v>
      </c>
      <c r="C47" s="29">
        <v>0.32</v>
      </c>
      <c r="D47" s="34">
        <f>Table15[[#This Row],[Adoption Rate ]]*Table15[[#This Row],['# Population (in M)]]/SUM(Table15['# Population (in M)])</f>
        <v>7.5942028985507254E-2</v>
      </c>
      <c r="E47" s="35">
        <f>Table15[[#This Row],[Weight]]/SUM(Table15[Weight])</f>
        <v>0.20460757516595082</v>
      </c>
      <c r="F47" s="17">
        <f>$I$46*Table15[[#This Row],[Portfoliio Comp]]</f>
        <v>10.588442014837955</v>
      </c>
      <c r="H47" s="12" t="s">
        <v>96</v>
      </c>
      <c r="I47" s="12">
        <v>335.8</v>
      </c>
    </row>
    <row r="48" spans="1:9" x14ac:dyDescent="0.2">
      <c r="A48" s="25" t="s">
        <v>51</v>
      </c>
      <c r="B48" s="25">
        <v>65.5</v>
      </c>
      <c r="C48" s="31">
        <v>0.18</v>
      </c>
      <c r="D48" s="28">
        <f>Table15[[#This Row],[Adoption Rate ]]*Table15[[#This Row],['# Population (in M)]]/SUM(Table15['# Population (in M)])</f>
        <v>4.2717391304347825E-2</v>
      </c>
      <c r="E48" s="35">
        <f>Table15[[#This Row],[Weight]]/SUM(Table15[Weight])</f>
        <v>0.11509176103084733</v>
      </c>
      <c r="F48" s="17">
        <f>$I$46*Table15[[#This Row],[Portfoliio Comp]]</f>
        <v>5.9559986333463488</v>
      </c>
      <c r="H48" s="12" t="s">
        <v>97</v>
      </c>
      <c r="I48" s="17">
        <f>I47/I46</f>
        <v>6.4888888888888889</v>
      </c>
    </row>
    <row r="49" spans="1:9" x14ac:dyDescent="0.2">
      <c r="H49" s="12" t="s">
        <v>105</v>
      </c>
      <c r="I49" s="28">
        <f>(5%+Dashboard!$K$25/10000)</f>
        <v>0.05</v>
      </c>
    </row>
    <row r="50" spans="1:9" x14ac:dyDescent="0.2">
      <c r="F50" s="17"/>
      <c r="H50" s="12" t="s">
        <v>110</v>
      </c>
      <c r="I50" s="98">
        <f>'Portfolio Metrics'!B4</f>
        <v>144.15824378109292</v>
      </c>
    </row>
    <row r="51" spans="1:9" x14ac:dyDescent="0.2">
      <c r="H51" s="12" t="s">
        <v>112</v>
      </c>
      <c r="I51" s="99">
        <f>SUMPRODUCT(Table57[[Deep Subprime]:[Super Prime]],Table4254[[Deep Subprime]:[Super Prime]])</f>
        <v>2421.3515826320668</v>
      </c>
    </row>
    <row r="52" spans="1:9" ht="34" x14ac:dyDescent="0.2">
      <c r="A52" s="20" t="s">
        <v>42</v>
      </c>
    </row>
    <row r="53" spans="1:9" x14ac:dyDescent="0.2">
      <c r="A53" s="22" t="s">
        <v>34</v>
      </c>
      <c r="B53" s="22" t="s">
        <v>50</v>
      </c>
      <c r="C53" s="22" t="s">
        <v>45</v>
      </c>
      <c r="D53" s="21" t="s">
        <v>44</v>
      </c>
      <c r="E53" s="27" t="s">
        <v>46</v>
      </c>
      <c r="F53" s="12" t="s">
        <v>49</v>
      </c>
      <c r="G53" s="12" t="s">
        <v>48</v>
      </c>
    </row>
    <row r="54" spans="1:9" x14ac:dyDescent="0.2">
      <c r="A54" s="23" t="s">
        <v>35</v>
      </c>
      <c r="B54" s="39">
        <v>0.54</v>
      </c>
      <c r="C54" s="42">
        <f>239.1*Table16[[#This Row],[Percentage of Population]]</f>
        <v>129.114</v>
      </c>
      <c r="D54" s="36">
        <v>0.31</v>
      </c>
      <c r="E54" s="32">
        <f>Table16[[#This Row],[Adoption Rate]]*Table16[[#This Row],[Percentage of Population]]</f>
        <v>0.16740000000000002</v>
      </c>
      <c r="F54" s="33">
        <f>Table16[[#This Row],[Weight]]/SUM(Table16[Weight])</f>
        <v>0.52182044887780554</v>
      </c>
      <c r="G54" s="17">
        <f>$I$46*Table16[[#This Row],[Portfolio Comp]]</f>
        <v>27.004208229426435</v>
      </c>
      <c r="H54" s="17"/>
    </row>
    <row r="55" spans="1:9" x14ac:dyDescent="0.2">
      <c r="A55" s="24" t="s">
        <v>36</v>
      </c>
      <c r="B55" s="40">
        <v>0.27</v>
      </c>
      <c r="C55" s="43">
        <f>239.1*Table16[[#This Row],[Percentage of Population]]</f>
        <v>64.557000000000002</v>
      </c>
      <c r="D55" s="37">
        <v>0.35</v>
      </c>
      <c r="E55" s="33">
        <f>Table16[[#This Row],[Adoption Rate]]*Table16[[#This Row],[Percentage of Population]]</f>
        <v>9.4500000000000001E-2</v>
      </c>
      <c r="F55" s="33">
        <f>Table16[[#This Row],[Weight]]/SUM(Table16[Weight])</f>
        <v>0.29457605985037405</v>
      </c>
      <c r="G55" s="17">
        <f>$I$46*Table16[[#This Row],[Portfolio Comp]]</f>
        <v>15.244311097256857</v>
      </c>
      <c r="H55" s="17"/>
    </row>
    <row r="56" spans="1:9" x14ac:dyDescent="0.2">
      <c r="A56" s="26" t="s">
        <v>37</v>
      </c>
      <c r="B56" s="41">
        <v>0.19</v>
      </c>
      <c r="C56" s="44">
        <f>239.1*Table16[[#This Row],[Percentage of Population]]</f>
        <v>45.429000000000002</v>
      </c>
      <c r="D56" s="38">
        <v>0.31</v>
      </c>
      <c r="E56" s="32">
        <f>Table16[[#This Row],[Adoption Rate]]*Table16[[#This Row],[Percentage of Population]]</f>
        <v>5.8900000000000001E-2</v>
      </c>
      <c r="F56" s="33">
        <f>Table16[[#This Row],[Weight]]/SUM(Table16[Weight])</f>
        <v>0.18360349127182043</v>
      </c>
      <c r="G56" s="17">
        <f>$I$46*Table16[[#This Row],[Portfolio Comp]]</f>
        <v>9.5014806733167081</v>
      </c>
      <c r="H56" s="17"/>
    </row>
    <row r="58" spans="1:9" ht="51" x14ac:dyDescent="0.2">
      <c r="A58" s="20" t="s">
        <v>53</v>
      </c>
    </row>
    <row r="59" spans="1:9" x14ac:dyDescent="0.2">
      <c r="A59" s="12" t="s">
        <v>0</v>
      </c>
      <c r="B59" s="12" t="s">
        <v>35</v>
      </c>
      <c r="C59" s="12" t="s">
        <v>36</v>
      </c>
      <c r="D59" s="12" t="s">
        <v>37</v>
      </c>
    </row>
    <row r="60" spans="1:9" x14ac:dyDescent="0.2">
      <c r="A60" s="12" t="s">
        <v>29</v>
      </c>
      <c r="B60" s="33">
        <v>0.65</v>
      </c>
      <c r="C60" s="33">
        <v>0.3</v>
      </c>
      <c r="D60" s="33">
        <v>0.05</v>
      </c>
    </row>
    <row r="61" spans="1:9" x14ac:dyDescent="0.2">
      <c r="A61" s="12" t="s">
        <v>30</v>
      </c>
      <c r="B61" s="33">
        <v>0.25</v>
      </c>
      <c r="C61" s="33">
        <v>0.5</v>
      </c>
      <c r="D61" s="33">
        <v>0.25</v>
      </c>
    </row>
    <row r="62" spans="1:9" x14ac:dyDescent="0.2">
      <c r="A62" s="12" t="s">
        <v>32</v>
      </c>
      <c r="B62" s="33">
        <v>0.15</v>
      </c>
      <c r="C62" s="33">
        <v>0.55000000000000004</v>
      </c>
      <c r="D62" s="33">
        <v>0.3</v>
      </c>
    </row>
    <row r="63" spans="1:9" x14ac:dyDescent="0.2">
      <c r="A63" s="12" t="s">
        <v>51</v>
      </c>
      <c r="B63" s="33">
        <v>0.3</v>
      </c>
      <c r="C63" s="33">
        <v>0.5</v>
      </c>
      <c r="D63" s="33">
        <v>0.2</v>
      </c>
    </row>
    <row r="64" spans="1:9" ht="24" hidden="1" customHeight="1" x14ac:dyDescent="0.2"/>
    <row r="65" spans="1:4" hidden="1" x14ac:dyDescent="0.2">
      <c r="A65" s="12" t="s">
        <v>54</v>
      </c>
    </row>
    <row r="66" spans="1:4" hidden="1" x14ac:dyDescent="0.2">
      <c r="A66" s="12" t="s">
        <v>0</v>
      </c>
      <c r="B66" s="12" t="s">
        <v>35</v>
      </c>
      <c r="C66" s="12" t="s">
        <v>36</v>
      </c>
      <c r="D66" s="12" t="s">
        <v>37</v>
      </c>
    </row>
    <row r="67" spans="1:4" hidden="1" x14ac:dyDescent="0.2">
      <c r="A67" s="12" t="s">
        <v>29</v>
      </c>
      <c r="B67" s="17">
        <f t="shared" ref="B67:D67" si="0">$F45*B60</f>
        <v>10.491196065989849</v>
      </c>
      <c r="C67" s="17">
        <f t="shared" si="0"/>
        <v>4.8420904919953145</v>
      </c>
      <c r="D67" s="17">
        <f t="shared" si="0"/>
        <v>0.80701508199921923</v>
      </c>
    </row>
    <row r="68" spans="1:4" hidden="1" x14ac:dyDescent="0.2">
      <c r="A68" s="12" t="s">
        <v>30</v>
      </c>
      <c r="B68" s="17">
        <f t="shared" ref="B68:D68" si="1">$F46*B61</f>
        <v>4.7663144279578296</v>
      </c>
      <c r="C68" s="17">
        <f t="shared" si="1"/>
        <v>9.5326288559156591</v>
      </c>
      <c r="D68" s="17">
        <f t="shared" si="1"/>
        <v>4.7663144279578296</v>
      </c>
    </row>
    <row r="69" spans="1:4" hidden="1" x14ac:dyDescent="0.2">
      <c r="A69" s="12" t="s">
        <v>32</v>
      </c>
      <c r="B69" s="17">
        <f t="shared" ref="B69:D69" si="2">$F47*B62</f>
        <v>1.5882663022256933</v>
      </c>
      <c r="C69" s="17">
        <f t="shared" si="2"/>
        <v>5.8236431081608764</v>
      </c>
      <c r="D69" s="17">
        <f t="shared" si="2"/>
        <v>3.1765326044513866</v>
      </c>
    </row>
    <row r="70" spans="1:4" hidden="1" x14ac:dyDescent="0.2">
      <c r="A70" s="12" t="s">
        <v>51</v>
      </c>
      <c r="B70" s="17">
        <f t="shared" ref="B70:D70" si="3">$F48*B63</f>
        <v>1.7867995900039046</v>
      </c>
      <c r="C70" s="17">
        <f t="shared" si="3"/>
        <v>2.9779993166731744</v>
      </c>
      <c r="D70" s="17">
        <f t="shared" si="3"/>
        <v>1.1911997266692698</v>
      </c>
    </row>
    <row r="71" spans="1:4" hidden="1" x14ac:dyDescent="0.2"/>
    <row r="72" spans="1:4" hidden="1" x14ac:dyDescent="0.2">
      <c r="A72" s="12" t="s">
        <v>54</v>
      </c>
    </row>
    <row r="73" spans="1:4" hidden="1" x14ac:dyDescent="0.2">
      <c r="A73" s="12" t="s">
        <v>0</v>
      </c>
      <c r="B73" s="12" t="s">
        <v>35</v>
      </c>
      <c r="C73" s="12" t="s">
        <v>36</v>
      </c>
      <c r="D73" s="12" t="s">
        <v>37</v>
      </c>
    </row>
    <row r="74" spans="1:4" hidden="1" x14ac:dyDescent="0.2">
      <c r="A74" s="12" t="s">
        <v>29</v>
      </c>
      <c r="B74" s="17">
        <f>B67*($G$54/SUM(Table1723[&lt;50,000]))</f>
        <v>15.204899057969376</v>
      </c>
      <c r="C74" s="17">
        <f>C67*($G$55/SUM(Table1723[50,000-1,00,000]))</f>
        <v>3.1848973771133653</v>
      </c>
      <c r="D74" s="17">
        <f>D67*($G$56/SUM(Table1723[&gt;1,00,000]))</f>
        <v>0.77132989687341225</v>
      </c>
    </row>
    <row r="75" spans="1:4" hidden="1" x14ac:dyDescent="0.2">
      <c r="A75" s="12" t="s">
        <v>30</v>
      </c>
      <c r="B75" s="17">
        <f>B68*($G$54/SUM(Table1723[&lt;50,000]))</f>
        <v>6.9078234073403673</v>
      </c>
      <c r="C75" s="17">
        <f>C68*($G$55/SUM(Table1723[50,000-1,00,000]))</f>
        <v>6.2701109552560466</v>
      </c>
      <c r="D75" s="17">
        <f>D68*($G$56/SUM(Table1723[&gt;1,00,000]))</f>
        <v>4.5555540388110449</v>
      </c>
    </row>
    <row r="76" spans="1:4" hidden="1" x14ac:dyDescent="0.2">
      <c r="A76" s="12" t="s">
        <v>32</v>
      </c>
      <c r="B76" s="17">
        <f>B69*($G$54/SUM(Table1723[&lt;50,000]))</f>
        <v>2.3018756537019729</v>
      </c>
      <c r="C76" s="17">
        <f>C69*($G$55/SUM(Table1723[50,000-1,00,000]))</f>
        <v>3.8305161151134985</v>
      </c>
      <c r="D76" s="17">
        <f>D69*($G$56/SUM(Table1723[&gt;1,00,000]))</f>
        <v>3.0360703546416374</v>
      </c>
    </row>
    <row r="77" spans="1:4" hidden="1" x14ac:dyDescent="0.2">
      <c r="A77" s="12" t="s">
        <v>51</v>
      </c>
      <c r="B77" s="17">
        <f>B70*($G$54/SUM(Table1723[&lt;50,000]))</f>
        <v>2.5896101104147191</v>
      </c>
      <c r="C77" s="17">
        <f>C70*($G$55/SUM(Table1723[50,000-1,00,000]))</f>
        <v>1.9587866497739475</v>
      </c>
      <c r="D77" s="17">
        <f>D70*($G$56/SUM(Table1723[&gt;1,00,000]))</f>
        <v>1.1385263829906138</v>
      </c>
    </row>
    <row r="78" spans="1:4" hidden="1" x14ac:dyDescent="0.2"/>
    <row r="79" spans="1:4" hidden="1" x14ac:dyDescent="0.2">
      <c r="B79" s="17"/>
    </row>
    <row r="80" spans="1:4" x14ac:dyDescent="0.2">
      <c r="B80" s="17"/>
    </row>
    <row r="81" spans="1:4" ht="34" x14ac:dyDescent="0.2">
      <c r="A81" s="20" t="s">
        <v>79</v>
      </c>
    </row>
    <row r="82" spans="1:4" x14ac:dyDescent="0.2">
      <c r="A82" s="12" t="s">
        <v>0</v>
      </c>
      <c r="B82" s="12" t="s">
        <v>35</v>
      </c>
      <c r="C82" s="12" t="s">
        <v>36</v>
      </c>
      <c r="D82" s="12" t="s">
        <v>37</v>
      </c>
    </row>
    <row r="83" spans="1:4" x14ac:dyDescent="0.2">
      <c r="A83" s="12" t="s">
        <v>29</v>
      </c>
      <c r="B83" s="17">
        <f>B74*($F45/SUM($B74:$D74))</f>
        <v>12.807788694125591</v>
      </c>
      <c r="C83" s="17">
        <f t="shared" ref="C83:D83" si="4">C74*($F45/SUM($B74:$D74))</f>
        <v>2.6827861508993496</v>
      </c>
      <c r="D83" s="17">
        <f t="shared" si="4"/>
        <v>0.6497267949594463</v>
      </c>
    </row>
    <row r="84" spans="1:4" x14ac:dyDescent="0.2">
      <c r="A84" s="12" t="s">
        <v>30</v>
      </c>
      <c r="B84" s="17">
        <f>B75*($F46/SUM($B75:$D75))</f>
        <v>7.4265948417860193</v>
      </c>
      <c r="C84" s="17">
        <f t="shared" ref="C84:D86" si="5">C75*($F46/SUM($B75:$D75))</f>
        <v>6.740990748004533</v>
      </c>
      <c r="D84" s="17">
        <f t="shared" si="5"/>
        <v>4.897672122040766</v>
      </c>
    </row>
    <row r="85" spans="1:4" x14ac:dyDescent="0.2">
      <c r="A85" s="12" t="s">
        <v>32</v>
      </c>
      <c r="B85" s="17">
        <f>B76*($F47/SUM($B76:$D76))</f>
        <v>2.6583822408157842</v>
      </c>
      <c r="C85" s="17">
        <f t="shared" si="5"/>
        <v>4.4237732812368495</v>
      </c>
      <c r="D85" s="17">
        <f t="shared" si="5"/>
        <v>3.5062864927853208</v>
      </c>
    </row>
    <row r="86" spans="1:4" x14ac:dyDescent="0.2">
      <c r="A86" s="12" t="s">
        <v>51</v>
      </c>
      <c r="B86" s="17">
        <f>B77*($F48/SUM($B77:$D77))</f>
        <v>2.7121369306755412</v>
      </c>
      <c r="C86" s="17">
        <f t="shared" si="5"/>
        <v>2.0514661997961374</v>
      </c>
      <c r="D86" s="17">
        <f t="shared" si="5"/>
        <v>1.19239550287467</v>
      </c>
    </row>
    <row r="88" spans="1:4" x14ac:dyDescent="0.2">
      <c r="A88" s="45" t="s">
        <v>55</v>
      </c>
      <c r="B88" s="45"/>
      <c r="C88" s="45"/>
      <c r="D88" s="45"/>
    </row>
    <row r="89" spans="1:4" x14ac:dyDescent="0.2">
      <c r="A89" s="57" t="s">
        <v>0</v>
      </c>
      <c r="B89" s="57" t="s">
        <v>35</v>
      </c>
      <c r="C89" s="57" t="s">
        <v>36</v>
      </c>
      <c r="D89" s="58" t="s">
        <v>37</v>
      </c>
    </row>
    <row r="90" spans="1:4" x14ac:dyDescent="0.2">
      <c r="A90" s="55" t="s">
        <v>29</v>
      </c>
      <c r="B90" s="54">
        <f>B83/SUM(Table25[[&lt;50,000]:[&gt;1,00,000]])</f>
        <v>0.24749350133576017</v>
      </c>
      <c r="C90" s="54">
        <f>C83/SUM(Table25[[&lt;50,000]:[&gt;1,00,000]])</f>
        <v>5.1841278278248297E-2</v>
      </c>
      <c r="D90" s="54">
        <f>D83/SUM(Table25[[&lt;50,000]:[&gt;1,00,000]])</f>
        <v>1.2555107148974806E-2</v>
      </c>
    </row>
    <row r="91" spans="1:4" x14ac:dyDescent="0.2">
      <c r="A91" s="56" t="s">
        <v>30</v>
      </c>
      <c r="B91" s="54">
        <f>B84/SUM(Table25[[&lt;50,000]:[&gt;1,00,000]])</f>
        <v>0.14350907906832885</v>
      </c>
      <c r="C91" s="54">
        <f>C84/SUM(Table25[[&lt;50,000]:[&gt;1,00,000]])</f>
        <v>0.13026069078269628</v>
      </c>
      <c r="D91" s="54">
        <f>D84/SUM(Table25[[&lt;50,000]:[&gt;1,00,000]])</f>
        <v>9.4641007189193535E-2</v>
      </c>
    </row>
    <row r="92" spans="1:4" x14ac:dyDescent="0.2">
      <c r="A92" s="55" t="s">
        <v>32</v>
      </c>
      <c r="B92" s="54">
        <f>B85/SUM(Table25[[&lt;50,000]:[&gt;1,00,000]])</f>
        <v>5.1369705136536888E-2</v>
      </c>
      <c r="C92" s="54">
        <f>C85/SUM(Table25[[&lt;50,000]:[&gt;1,00,000]])</f>
        <v>8.5483541666412546E-2</v>
      </c>
      <c r="D92" s="54">
        <f>D85/SUM(Table25[[&lt;50,000]:[&gt;1,00,000]])</f>
        <v>6.7754328363001354E-2</v>
      </c>
    </row>
    <row r="93" spans="1:4" x14ac:dyDescent="0.2">
      <c r="A93" s="59" t="s">
        <v>51</v>
      </c>
      <c r="B93" s="60">
        <f>B86/SUM(Table25[[&lt;50,000]:[&gt;1,00,000]])</f>
        <v>5.2408443104841371E-2</v>
      </c>
      <c r="C93" s="60">
        <f>C86/SUM(Table25[[&lt;50,000]:[&gt;1,00,000]])</f>
        <v>3.9641858933258688E-2</v>
      </c>
      <c r="D93" s="60">
        <f>D86/SUM(Table25[[&lt;50,000]:[&gt;1,00,000]])</f>
        <v>2.3041458992747243E-2</v>
      </c>
    </row>
  </sheetData>
  <sheetProtection algorithmName="SHA-512" hashValue="Gt+72FT6LrYgARXvxFjWOdzdJz8eZNfjPxLWYRlETOgJv6Lr56DNBnH0oCOk+kH12t+5St+s4hHAVWo4TZNMLw==" saltValue="LXJHObpIdWBa6l2wqBOGaw==" spinCount="100000" sheet="1" objects="1" scenarios="1"/>
  <phoneticPr fontId="10" type="noConversion"/>
  <pageMargins left="0.7" right="0.7" top="0.75" bottom="0.75" header="0.3" footer="0.3"/>
  <pageSetup paperSize="9" orientation="portrait" horizontalDpi="0" verticalDpi="0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1DEB-5E1F-9E4B-8518-D8D209750B3F}">
  <sheetPr codeName="Sheet2">
    <tabColor theme="1" tint="0.14999847407452621"/>
  </sheetPr>
  <dimension ref="A1:M65"/>
  <sheetViews>
    <sheetView zoomScaleNormal="125" workbookViewId="0">
      <selection activeCell="C21" sqref="C21"/>
    </sheetView>
  </sheetViews>
  <sheetFormatPr baseColWidth="10" defaultRowHeight="16" x14ac:dyDescent="0.2"/>
  <cols>
    <col min="1" max="1" width="25.33203125" customWidth="1"/>
    <col min="2" max="2" width="23" customWidth="1"/>
    <col min="3" max="3" width="19.83203125" customWidth="1"/>
    <col min="4" max="4" width="12.83203125" customWidth="1"/>
    <col min="5" max="5" width="11.83203125" bestFit="1" customWidth="1"/>
    <col min="6" max="6" width="14" customWidth="1"/>
    <col min="9" max="9" width="15.6640625" bestFit="1" customWidth="1"/>
    <col min="10" max="10" width="20.33203125" bestFit="1" customWidth="1"/>
  </cols>
  <sheetData>
    <row r="1" spans="1:10" x14ac:dyDescent="0.2">
      <c r="A1" t="s">
        <v>57</v>
      </c>
      <c r="B1" t="s">
        <v>56</v>
      </c>
    </row>
    <row r="2" spans="1:10" x14ac:dyDescent="0.2">
      <c r="A2" t="s">
        <v>58</v>
      </c>
      <c r="B2" s="19" t="s">
        <v>63</v>
      </c>
    </row>
    <row r="3" spans="1:10" x14ac:dyDescent="0.2">
      <c r="A3" t="s">
        <v>59</v>
      </c>
      <c r="B3" t="s">
        <v>64</v>
      </c>
      <c r="I3" s="46" t="s">
        <v>57</v>
      </c>
      <c r="J3" s="47" t="s">
        <v>68</v>
      </c>
    </row>
    <row r="4" spans="1:10" x14ac:dyDescent="0.2">
      <c r="A4" t="s">
        <v>60</v>
      </c>
      <c r="B4" t="s">
        <v>65</v>
      </c>
      <c r="I4" s="49" t="s">
        <v>70</v>
      </c>
      <c r="J4" s="108">
        <v>3.9E-2</v>
      </c>
    </row>
    <row r="5" spans="1:10" x14ac:dyDescent="0.2">
      <c r="A5" t="s">
        <v>61</v>
      </c>
      <c r="B5" t="s">
        <v>66</v>
      </c>
      <c r="I5" s="51" t="s">
        <v>58</v>
      </c>
      <c r="J5" s="109">
        <v>0.45</v>
      </c>
    </row>
    <row r="6" spans="1:10" x14ac:dyDescent="0.2">
      <c r="A6" t="s">
        <v>62</v>
      </c>
      <c r="B6" t="s">
        <v>67</v>
      </c>
      <c r="I6" s="49" t="s">
        <v>59</v>
      </c>
      <c r="J6" s="108">
        <v>0.16</v>
      </c>
    </row>
    <row r="7" spans="1:10" x14ac:dyDescent="0.2">
      <c r="I7" s="51" t="s">
        <v>60</v>
      </c>
      <c r="J7" s="109">
        <v>0.127</v>
      </c>
    </row>
    <row r="8" spans="1:10" x14ac:dyDescent="0.2">
      <c r="I8" s="49" t="s">
        <v>61</v>
      </c>
      <c r="J8" s="108">
        <v>0.13200000000000001</v>
      </c>
    </row>
    <row r="9" spans="1:10" x14ac:dyDescent="0.2">
      <c r="A9" s="12" t="s">
        <v>57</v>
      </c>
      <c r="B9" s="12" t="s">
        <v>91</v>
      </c>
      <c r="C9" s="12" t="s">
        <v>68</v>
      </c>
      <c r="D9" s="12" t="s">
        <v>69</v>
      </c>
      <c r="I9" s="51" t="s">
        <v>62</v>
      </c>
      <c r="J9" s="109">
        <v>9.0999999999999998E-2</v>
      </c>
    </row>
    <row r="10" spans="1:10" x14ac:dyDescent="0.2">
      <c r="A10" s="12" t="s">
        <v>70</v>
      </c>
      <c r="B10" s="12" t="s">
        <v>92</v>
      </c>
      <c r="C10" s="28">
        <v>3.9E-2</v>
      </c>
      <c r="D10" s="28">
        <v>4.1000000000000002E-2</v>
      </c>
    </row>
    <row r="11" spans="1:10" x14ac:dyDescent="0.2">
      <c r="A11" s="12" t="s">
        <v>58</v>
      </c>
      <c r="B11" s="17">
        <f>SUM(Table52[Deep Subprime])</f>
        <v>11.976059850374066</v>
      </c>
      <c r="C11" s="28">
        <v>0.45</v>
      </c>
      <c r="D11" s="28">
        <v>3.5000000000000003E-2</v>
      </c>
      <c r="E11" s="61"/>
      <c r="F11" s="65"/>
    </row>
    <row r="12" spans="1:10" x14ac:dyDescent="0.2">
      <c r="A12" s="12" t="s">
        <v>59</v>
      </c>
      <c r="B12" s="17">
        <f>SUM(Table52[Subprime])</f>
        <v>11.897983167082295</v>
      </c>
      <c r="C12" s="28">
        <v>0.16</v>
      </c>
      <c r="D12" s="28">
        <v>1.7999999999999999E-2</v>
      </c>
      <c r="F12" s="65"/>
    </row>
    <row r="13" spans="1:10" x14ac:dyDescent="0.2">
      <c r="A13" s="12" t="s">
        <v>60</v>
      </c>
      <c r="B13" s="17">
        <f>SUM(Table52[Near Prime])</f>
        <v>9.1919163029925173</v>
      </c>
      <c r="C13" s="28">
        <v>0.127</v>
      </c>
      <c r="D13" s="28">
        <v>0.01</v>
      </c>
      <c r="F13" s="65"/>
    </row>
    <row r="14" spans="1:10" x14ac:dyDescent="0.2">
      <c r="A14" s="12" t="s">
        <v>61</v>
      </c>
      <c r="B14" s="17">
        <f>SUM(Table52[Prime])</f>
        <v>10.241757325436408</v>
      </c>
      <c r="C14" s="28">
        <v>0.13200000000000001</v>
      </c>
      <c r="D14" s="28">
        <v>8.9999999999999993E-3</v>
      </c>
      <c r="F14" s="65"/>
    </row>
    <row r="15" spans="1:10" x14ac:dyDescent="0.2">
      <c r="A15" s="12" t="s">
        <v>62</v>
      </c>
      <c r="B15" s="17">
        <f>SUM(Table52[Super Prime])</f>
        <v>8.2522537406483778</v>
      </c>
      <c r="C15" s="28">
        <v>9.0999999999999998E-2</v>
      </c>
      <c r="D15" s="28">
        <v>8.0000000000000002E-3</v>
      </c>
      <c r="F15" s="65"/>
    </row>
    <row r="16" spans="1:10" x14ac:dyDescent="0.2">
      <c r="A16" s="12"/>
      <c r="B16" s="28"/>
      <c r="C16" s="28"/>
    </row>
    <row r="17" spans="1:10" ht="32" customHeight="1" x14ac:dyDescent="0.2">
      <c r="A17" s="62" t="s">
        <v>71</v>
      </c>
    </row>
    <row r="18" spans="1:10" x14ac:dyDescent="0.2">
      <c r="A18" t="s">
        <v>34</v>
      </c>
      <c r="B18" t="s">
        <v>58</v>
      </c>
      <c r="C18" t="s">
        <v>59</v>
      </c>
      <c r="D18" t="s">
        <v>60</v>
      </c>
      <c r="E18" t="s">
        <v>61</v>
      </c>
      <c r="F18" t="s">
        <v>62</v>
      </c>
      <c r="I18" s="67" t="s">
        <v>34</v>
      </c>
      <c r="J18" s="68" t="s">
        <v>48</v>
      </c>
    </row>
    <row r="19" spans="1:10" x14ac:dyDescent="0.2">
      <c r="A19" t="s">
        <v>35</v>
      </c>
      <c r="B19" s="3">
        <v>0.38</v>
      </c>
      <c r="C19" s="3">
        <v>0.32</v>
      </c>
      <c r="D19" s="3">
        <v>0.15</v>
      </c>
      <c r="E19" s="3">
        <v>0.11</v>
      </c>
      <c r="F19" s="3">
        <v>0.04</v>
      </c>
      <c r="I19" s="69" t="s">
        <v>35</v>
      </c>
      <c r="J19" s="50" cm="1">
        <f t="array" ref="J19:J21">'User Segmentation'!G54:G56</f>
        <v>27.004208229426435</v>
      </c>
    </row>
    <row r="20" spans="1:10" x14ac:dyDescent="0.2">
      <c r="A20" t="s">
        <v>36</v>
      </c>
      <c r="B20" s="3">
        <v>0.1</v>
      </c>
      <c r="C20" s="3">
        <v>0.17</v>
      </c>
      <c r="D20" s="3">
        <v>0.25</v>
      </c>
      <c r="E20" s="3">
        <v>0.28999999999999998</v>
      </c>
      <c r="F20" s="3">
        <v>0.19</v>
      </c>
      <c r="I20" s="70" t="s">
        <v>36</v>
      </c>
      <c r="J20" s="53">
        <v>15.244311097256857</v>
      </c>
    </row>
    <row r="21" spans="1:10" x14ac:dyDescent="0.2">
      <c r="A21" t="s">
        <v>37</v>
      </c>
      <c r="B21" s="3">
        <v>0.02</v>
      </c>
      <c r="C21" s="3">
        <v>7.0000000000000007E-2</v>
      </c>
      <c r="D21" s="3">
        <v>0.14000000000000001</v>
      </c>
      <c r="E21" s="3">
        <v>0.3</v>
      </c>
      <c r="F21" s="3">
        <v>0.45</v>
      </c>
      <c r="I21" s="69" t="s">
        <v>37</v>
      </c>
      <c r="J21" s="50">
        <v>9.5014806733167081</v>
      </c>
    </row>
    <row r="22" spans="1:10" x14ac:dyDescent="0.2">
      <c r="B22" s="3"/>
      <c r="C22" s="3"/>
      <c r="D22" s="3"/>
      <c r="E22" s="3"/>
      <c r="F22" s="3"/>
    </row>
    <row r="23" spans="1:10" x14ac:dyDescent="0.2">
      <c r="A23" s="75" t="s">
        <v>34</v>
      </c>
      <c r="B23" s="75" t="s">
        <v>58</v>
      </c>
      <c r="C23" s="75" t="s">
        <v>59</v>
      </c>
      <c r="D23" s="75" t="s">
        <v>60</v>
      </c>
      <c r="E23" s="75" t="s">
        <v>61</v>
      </c>
      <c r="F23" s="76" t="s">
        <v>62</v>
      </c>
    </row>
    <row r="24" spans="1:10" x14ac:dyDescent="0.2">
      <c r="A24" s="73" t="s">
        <v>35</v>
      </c>
      <c r="B24" s="72">
        <f t="shared" ref="B24:F26" si="0">B19*$J19</f>
        <v>10.261599127182045</v>
      </c>
      <c r="C24" s="72">
        <f t="shared" si="0"/>
        <v>8.6413466334164593</v>
      </c>
      <c r="D24" s="72">
        <f t="shared" si="0"/>
        <v>4.0506312344139648</v>
      </c>
      <c r="E24" s="72">
        <f t="shared" si="0"/>
        <v>2.970462905236908</v>
      </c>
      <c r="F24" s="72">
        <f t="shared" si="0"/>
        <v>1.0801683291770574</v>
      </c>
    </row>
    <row r="25" spans="1:10" x14ac:dyDescent="0.2">
      <c r="A25" s="74" t="s">
        <v>36</v>
      </c>
      <c r="B25" s="72">
        <f t="shared" si="0"/>
        <v>1.5244311097256857</v>
      </c>
      <c r="C25" s="72">
        <f t="shared" si="0"/>
        <v>2.591532886533666</v>
      </c>
      <c r="D25" s="72">
        <f t="shared" si="0"/>
        <v>3.8110777743142141</v>
      </c>
      <c r="E25" s="72">
        <f t="shared" si="0"/>
        <v>4.420850218204488</v>
      </c>
      <c r="F25" s="72">
        <f t="shared" si="0"/>
        <v>2.8964191084788027</v>
      </c>
    </row>
    <row r="26" spans="1:10" x14ac:dyDescent="0.2">
      <c r="A26" s="77" t="s">
        <v>37</v>
      </c>
      <c r="B26" s="78">
        <f t="shared" si="0"/>
        <v>0.19002961346633418</v>
      </c>
      <c r="C26" s="78">
        <f t="shared" si="0"/>
        <v>0.66510364713216963</v>
      </c>
      <c r="D26" s="78">
        <f t="shared" si="0"/>
        <v>1.3302072942643393</v>
      </c>
      <c r="E26" s="78">
        <f t="shared" si="0"/>
        <v>2.8504442019950122</v>
      </c>
      <c r="F26" s="78">
        <f t="shared" si="0"/>
        <v>4.2756663029925184</v>
      </c>
    </row>
    <row r="28" spans="1:10" ht="34" hidden="1" x14ac:dyDescent="0.2">
      <c r="A28" s="62" t="s">
        <v>74</v>
      </c>
      <c r="F28" t="s">
        <v>80</v>
      </c>
    </row>
    <row r="29" spans="1:10" hidden="1" x14ac:dyDescent="0.2">
      <c r="A29" t="s">
        <v>72</v>
      </c>
      <c r="B29" t="s">
        <v>73</v>
      </c>
    </row>
    <row r="30" spans="1:10" hidden="1" x14ac:dyDescent="0.2">
      <c r="A30" t="s">
        <v>35</v>
      </c>
      <c r="B30" s="61">
        <f>$B19*$D$11+$C19*$D$12+$D19*$D$13+$E19*$D$14+$F19*$D$15</f>
        <v>2.1870000000000004E-2</v>
      </c>
      <c r="E30" t="s">
        <v>80</v>
      </c>
    </row>
    <row r="31" spans="1:10" hidden="1" x14ac:dyDescent="0.2">
      <c r="A31" t="s">
        <v>36</v>
      </c>
      <c r="B31" s="61">
        <f>$B20*$D$11+$C20*$D$12+$D20*$D$13+$E20*$D$14+$F20*$D$15</f>
        <v>1.319E-2</v>
      </c>
    </row>
    <row r="32" spans="1:10" hidden="1" x14ac:dyDescent="0.2">
      <c r="A32" s="63" t="s">
        <v>37</v>
      </c>
      <c r="B32" s="61">
        <f>$B21*$D$11+$C21*$D$12+$D21*$D$13+$E21*$D$14+$F21*$D$15</f>
        <v>9.6600000000000002E-3</v>
      </c>
    </row>
    <row r="33" spans="1:13" hidden="1" x14ac:dyDescent="0.2">
      <c r="A33" s="63"/>
    </row>
    <row r="34" spans="1:13" ht="34" hidden="1" x14ac:dyDescent="0.2">
      <c r="A34" s="62" t="s">
        <v>76</v>
      </c>
    </row>
    <row r="35" spans="1:13" ht="17" hidden="1" x14ac:dyDescent="0.2">
      <c r="A35" s="62" t="s">
        <v>0</v>
      </c>
      <c r="B35" t="s">
        <v>58</v>
      </c>
      <c r="C35" t="s">
        <v>59</v>
      </c>
      <c r="D35" t="s">
        <v>60</v>
      </c>
      <c r="E35" t="s">
        <v>61</v>
      </c>
      <c r="F35" t="s">
        <v>62</v>
      </c>
    </row>
    <row r="36" spans="1:13" hidden="1" x14ac:dyDescent="0.2">
      <c r="A36" s="63" t="s">
        <v>29</v>
      </c>
      <c r="B36" s="61">
        <f>'User Segmentation'!$B60*'Default Rates'!B$19+'User Segmentation'!$C60*'Default Rates'!B$20+'User Segmentation'!$D60*'Default Rates'!B$21</f>
        <v>0.27800000000000002</v>
      </c>
      <c r="C36" s="61">
        <f>'User Segmentation'!$B60*'Default Rates'!C$19+'User Segmentation'!$C60*'Default Rates'!C$20+'User Segmentation'!$D60*'Default Rates'!C$21+0.0292</f>
        <v>0.29170000000000001</v>
      </c>
      <c r="D36" s="61">
        <f>'User Segmentation'!$B60*'Default Rates'!D$19+'User Segmentation'!$C60*'Default Rates'!D$20+'User Segmentation'!$D60*'Default Rates'!D$21+0.05005</f>
        <v>0.22954999999999998</v>
      </c>
      <c r="E36" s="61">
        <f>('User Segmentation'!$B60*'Default Rates'!E$19+'User Segmentation'!$C60*'Default Rates'!E$20+'User Segmentation'!$D60*'Default Rates'!E$21)*0.75</f>
        <v>0.13012499999999999</v>
      </c>
      <c r="F36" s="61">
        <f>('User Segmentation'!$B60*'Default Rates'!F$19+'User Segmentation'!$C60*'Default Rates'!F$20+'User Segmentation'!$D60*'Default Rates'!F$21)*0.75</f>
        <v>7.9125000000000001E-2</v>
      </c>
    </row>
    <row r="37" spans="1:13" hidden="1" x14ac:dyDescent="0.2">
      <c r="A37" s="63" t="s">
        <v>30</v>
      </c>
      <c r="B37" s="61">
        <f>'User Segmentation'!$B61*'Default Rates'!B$19+'User Segmentation'!$C61*'Default Rates'!B$20+'User Segmentation'!$D61*'Default Rates'!B$21</f>
        <v>0.15000000000000002</v>
      </c>
      <c r="C37" s="61">
        <f>'User Segmentation'!$B61*'Default Rates'!C$19+'User Segmentation'!$C61*'Default Rates'!C$20+'User Segmentation'!$D61*'Default Rates'!C$21</f>
        <v>0.1825</v>
      </c>
      <c r="D37" s="61">
        <f>'User Segmentation'!$B61*'Default Rates'!D$19+'User Segmentation'!$C61*'Default Rates'!D$20+'User Segmentation'!$D61*'Default Rates'!D$21</f>
        <v>0.19750000000000001</v>
      </c>
      <c r="E37" s="61">
        <f>'User Segmentation'!$B61*'Default Rates'!E$19+'User Segmentation'!$C61*'Default Rates'!E$20+'User Segmentation'!$D61*'Default Rates'!E$21</f>
        <v>0.2475</v>
      </c>
      <c r="F37" s="61">
        <f>'User Segmentation'!$B61*'Default Rates'!F$19+'User Segmentation'!$C61*'Default Rates'!F$20+'User Segmentation'!$D61*'Default Rates'!F$21</f>
        <v>0.2175</v>
      </c>
    </row>
    <row r="38" spans="1:13" hidden="1" x14ac:dyDescent="0.2">
      <c r="A38" s="63" t="s">
        <v>32</v>
      </c>
      <c r="B38" s="61">
        <f>'User Segmentation'!$B62*'Default Rates'!B$19+'User Segmentation'!$C62*'Default Rates'!B$20+'User Segmentation'!$D62*'Default Rates'!B$21</f>
        <v>0.11800000000000001</v>
      </c>
      <c r="C38" s="61">
        <f>'User Segmentation'!$B62*'Default Rates'!C$19+'User Segmentation'!$C62*'Default Rates'!C$20+'User Segmentation'!$D62*'Default Rates'!C$21</f>
        <v>0.16250000000000001</v>
      </c>
      <c r="D38" s="61">
        <f>'User Segmentation'!$B62*'Default Rates'!D$19+'User Segmentation'!$C62*'Default Rates'!D$20+'User Segmentation'!$D62*'Default Rates'!D$21</f>
        <v>0.20200000000000001</v>
      </c>
      <c r="E38" s="61">
        <f>'User Segmentation'!$B62*'Default Rates'!E$19+'User Segmentation'!$C62*'Default Rates'!E$20+'User Segmentation'!$D62*'Default Rates'!E$21</f>
        <v>0.26600000000000001</v>
      </c>
      <c r="F38" s="61">
        <f>'User Segmentation'!$B62*'Default Rates'!F$19+'User Segmentation'!$C62*'Default Rates'!F$20+'User Segmentation'!$D62*'Default Rates'!F$21</f>
        <v>0.24550000000000002</v>
      </c>
    </row>
    <row r="39" spans="1:13" hidden="1" x14ac:dyDescent="0.2">
      <c r="A39" s="63" t="s">
        <v>51</v>
      </c>
      <c r="B39" s="61">
        <f>'User Segmentation'!$B63*'Default Rates'!B$19+'User Segmentation'!$C63*'Default Rates'!B$20+'User Segmentation'!$D63*'Default Rates'!B$21</f>
        <v>0.16799999999999998</v>
      </c>
      <c r="C39" s="61">
        <f>'User Segmentation'!$B63*'Default Rates'!C$19+'User Segmentation'!$C63*'Default Rates'!C$20+'User Segmentation'!$D63*'Default Rates'!C$21</f>
        <v>0.19500000000000001</v>
      </c>
      <c r="D39" s="61">
        <f>'User Segmentation'!$B63*'Default Rates'!D$19+'User Segmentation'!$C63*'Default Rates'!D$20+'User Segmentation'!$D63*'Default Rates'!D$21</f>
        <v>0.19799999999999998</v>
      </c>
      <c r="E39" s="61">
        <f>'User Segmentation'!$B63*'Default Rates'!E$19+'User Segmentation'!$C63*'Default Rates'!E$20+'User Segmentation'!$D63*'Default Rates'!E$21</f>
        <v>0.23799999999999999</v>
      </c>
      <c r="F39" s="61">
        <f>'User Segmentation'!$B63*'Default Rates'!F$19+'User Segmentation'!$C63*'Default Rates'!F$20+'User Segmentation'!$D63*'Default Rates'!F$21</f>
        <v>0.19700000000000001</v>
      </c>
    </row>
    <row r="40" spans="1:13" hidden="1" x14ac:dyDescent="0.2">
      <c r="A40" s="63"/>
      <c r="B40" s="61"/>
      <c r="C40" s="61"/>
      <c r="D40" s="61"/>
      <c r="E40" s="61"/>
      <c r="F40" s="61"/>
    </row>
    <row r="41" spans="1:13" hidden="1" x14ac:dyDescent="0.2"/>
    <row r="42" spans="1:13" hidden="1" x14ac:dyDescent="0.2">
      <c r="A42" t="s">
        <v>75</v>
      </c>
    </row>
    <row r="43" spans="1:13" hidden="1" x14ac:dyDescent="0.2">
      <c r="A43" t="s">
        <v>0</v>
      </c>
      <c r="B43" t="s">
        <v>77</v>
      </c>
    </row>
    <row r="44" spans="1:13" hidden="1" x14ac:dyDescent="0.2">
      <c r="A44" t="s">
        <v>29</v>
      </c>
      <c r="B44" s="61">
        <f>'User Segmentation'!B60*'Default Rates'!B58+'User Segmentation'!C60*'Default Rates'!C58+'User Segmentation'!D60*'Default Rates'!D58</f>
        <v>2.2788915E-2</v>
      </c>
      <c r="I44" s="65"/>
      <c r="J44" s="65"/>
      <c r="K44" s="65"/>
      <c r="L44" s="65"/>
      <c r="M44" s="65"/>
    </row>
    <row r="45" spans="1:13" hidden="1" x14ac:dyDescent="0.2">
      <c r="A45" t="s">
        <v>30</v>
      </c>
      <c r="B45" s="61">
        <f>'User Segmentation'!B61*'Default Rates'!B59+'User Segmentation'!C61*'Default Rates'!C59+'User Segmentation'!D61*'Default Rates'!D59</f>
        <v>1.4882775000000001E-2</v>
      </c>
      <c r="I45" s="65"/>
      <c r="J45" s="65"/>
      <c r="K45" s="65"/>
      <c r="L45" s="65"/>
      <c r="M45" s="65"/>
    </row>
    <row r="46" spans="1:13" hidden="1" x14ac:dyDescent="0.2">
      <c r="A46" t="s">
        <v>32</v>
      </c>
      <c r="B46" s="61">
        <f>'User Segmentation'!B62*'Default Rates'!B60+'User Segmentation'!C62*'Default Rates'!C60+'User Segmentation'!D62*'Default Rates'!D60</f>
        <v>1.3433E-2</v>
      </c>
      <c r="I46" s="65"/>
      <c r="J46" s="65"/>
      <c r="K46" s="65"/>
      <c r="L46" s="65"/>
      <c r="M46" s="65"/>
    </row>
    <row r="47" spans="1:13" hidden="1" x14ac:dyDescent="0.2">
      <c r="A47" t="s">
        <v>51</v>
      </c>
      <c r="B47" s="61">
        <f>'User Segmentation'!B63*'Default Rates'!B61+'User Segmentation'!C63*'Default Rates'!C61+'User Segmentation'!D63*'Default Rates'!D61</f>
        <v>1.5088000000000001E-2</v>
      </c>
      <c r="F47" s="64"/>
      <c r="I47" s="65"/>
      <c r="J47" s="65"/>
      <c r="K47" s="65"/>
      <c r="L47" s="65"/>
      <c r="M47" s="65"/>
    </row>
    <row r="48" spans="1:13" hidden="1" x14ac:dyDescent="0.2"/>
    <row r="49" spans="1:6" ht="34" hidden="1" x14ac:dyDescent="0.2">
      <c r="A49" s="62" t="s">
        <v>81</v>
      </c>
    </row>
    <row r="50" spans="1:6" hidden="1" x14ac:dyDescent="0.2">
      <c r="A50" t="s">
        <v>0</v>
      </c>
      <c r="B50" t="s">
        <v>35</v>
      </c>
      <c r="C50" t="s">
        <v>36</v>
      </c>
      <c r="D50" t="s">
        <v>37</v>
      </c>
    </row>
    <row r="51" spans="1:6" hidden="1" x14ac:dyDescent="0.2">
      <c r="A51" t="s">
        <v>29</v>
      </c>
      <c r="B51">
        <v>1.23</v>
      </c>
      <c r="C51">
        <v>1.2</v>
      </c>
      <c r="D51">
        <v>1.1499999999999999</v>
      </c>
    </row>
    <row r="52" spans="1:6" hidden="1" x14ac:dyDescent="0.2">
      <c r="A52" t="s">
        <v>30</v>
      </c>
      <c r="B52">
        <v>1.05</v>
      </c>
      <c r="C52">
        <v>1.02</v>
      </c>
      <c r="D52">
        <v>1</v>
      </c>
    </row>
    <row r="53" spans="1:6" hidden="1" x14ac:dyDescent="0.2">
      <c r="A53" t="s">
        <v>32</v>
      </c>
      <c r="B53">
        <v>1</v>
      </c>
      <c r="C53">
        <v>1</v>
      </c>
      <c r="D53">
        <v>1</v>
      </c>
    </row>
    <row r="54" spans="1:6" hidden="1" x14ac:dyDescent="0.2">
      <c r="A54" t="s">
        <v>51</v>
      </c>
      <c r="B54">
        <v>1</v>
      </c>
      <c r="C54">
        <v>1</v>
      </c>
      <c r="D54">
        <v>1</v>
      </c>
    </row>
    <row r="55" spans="1:6" hidden="1" x14ac:dyDescent="0.2"/>
    <row r="56" spans="1:6" ht="34" hidden="1" x14ac:dyDescent="0.2">
      <c r="A56" s="62" t="s">
        <v>78</v>
      </c>
    </row>
    <row r="57" spans="1:6" hidden="1" x14ac:dyDescent="0.2">
      <c r="A57" t="s">
        <v>0</v>
      </c>
      <c r="B57" t="s">
        <v>35</v>
      </c>
      <c r="C57" t="s">
        <v>36</v>
      </c>
      <c r="D57" t="s">
        <v>37</v>
      </c>
    </row>
    <row r="58" spans="1:6" hidden="1" x14ac:dyDescent="0.2">
      <c r="A58" t="s">
        <v>29</v>
      </c>
      <c r="B58" s="61">
        <f>$B$30*B51</f>
        <v>2.6900100000000003E-2</v>
      </c>
      <c r="C58" s="61">
        <f>$B$31*C51</f>
        <v>1.5827999999999998E-2</v>
      </c>
      <c r="D58" s="61">
        <f>$B$32*D51</f>
        <v>1.1108999999999999E-2</v>
      </c>
    </row>
    <row r="59" spans="1:6" hidden="1" x14ac:dyDescent="0.2">
      <c r="A59" t="s">
        <v>30</v>
      </c>
      <c r="B59" s="61">
        <f>$B$30*B52</f>
        <v>2.2963500000000005E-2</v>
      </c>
      <c r="C59" s="61">
        <f>$B$31*C52</f>
        <v>1.34538E-2</v>
      </c>
      <c r="D59" s="61">
        <f>$B$32*D52</f>
        <v>9.6600000000000002E-3</v>
      </c>
    </row>
    <row r="60" spans="1:6" hidden="1" x14ac:dyDescent="0.2">
      <c r="A60" t="s">
        <v>32</v>
      </c>
      <c r="B60" s="61">
        <f>$B$30*B53</f>
        <v>2.1870000000000004E-2</v>
      </c>
      <c r="C60" s="61">
        <f>$B$31*C53</f>
        <v>1.319E-2</v>
      </c>
      <c r="D60" s="61">
        <f>$B$32*D53</f>
        <v>9.6600000000000002E-3</v>
      </c>
    </row>
    <row r="61" spans="1:6" hidden="1" x14ac:dyDescent="0.2">
      <c r="A61" t="s">
        <v>51</v>
      </c>
      <c r="B61" s="61">
        <f>$B$30*B54</f>
        <v>2.1870000000000004E-2</v>
      </c>
      <c r="C61" s="61">
        <f>$B$31*C54</f>
        <v>1.319E-2</v>
      </c>
      <c r="D61" s="61">
        <f>$B$32*D54</f>
        <v>9.6600000000000002E-3</v>
      </c>
    </row>
    <row r="63" spans="1:6" x14ac:dyDescent="0.2">
      <c r="B63" s="10"/>
      <c r="C63" s="10"/>
      <c r="D63" s="10"/>
      <c r="E63" s="10"/>
      <c r="F63" s="10"/>
    </row>
    <row r="65" spans="2:2" x14ac:dyDescent="0.2">
      <c r="B65" s="18"/>
    </row>
  </sheetData>
  <sheetProtection algorithmName="SHA-512" hashValue="NXs82AO1OgCtu8Jo3EsdQ2AENvBnYg3h3Sz3x0UZYyJgCnyy+L0SycWg67Cm5YgBnwi5dB1cfGIjdJH+QBVqvw==" saltValue="U0fcSDzB2GilHtkMfM65tA==" spinCount="100000" sheet="1" objects="1" scenarios="1"/>
  <pageMargins left="0.7" right="0.7" top="0.75" bottom="0.75" header="0.3" footer="0.3"/>
  <ignoredErrors>
    <ignoredError sqref="D39 C37:C39 D36:D38 E37:E39 F36" calculatedColumn="1"/>
  </ignoredErrors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3B51-334F-BE47-908F-8DAFF9FF19EA}">
  <sheetPr codeName="Sheet3">
    <tabColor theme="1" tint="0.249977111117893"/>
  </sheetPr>
  <dimension ref="A1:U158"/>
  <sheetViews>
    <sheetView topLeftCell="A62" zoomScale="75" zoomScaleNormal="18" workbookViewId="0">
      <selection activeCell="J130" sqref="J130"/>
    </sheetView>
  </sheetViews>
  <sheetFormatPr baseColWidth="10" defaultRowHeight="16" x14ac:dyDescent="0.2"/>
  <cols>
    <col min="1" max="1" width="28.33203125" customWidth="1"/>
    <col min="2" max="2" width="16.5" customWidth="1"/>
    <col min="3" max="3" width="16.83203125" customWidth="1"/>
    <col min="4" max="4" width="12.1640625" customWidth="1"/>
    <col min="5" max="5" width="12.83203125" customWidth="1"/>
    <col min="6" max="6" width="13.6640625" bestFit="1" customWidth="1"/>
    <col min="7" max="7" width="14" customWidth="1"/>
    <col min="9" max="9" width="15.6640625" bestFit="1" customWidth="1"/>
    <col min="10" max="10" width="18.1640625" bestFit="1" customWidth="1"/>
    <col min="11" max="11" width="22.83203125" bestFit="1" customWidth="1"/>
    <col min="12" max="12" width="19.33203125" bestFit="1" customWidth="1"/>
    <col min="13" max="13" width="17" bestFit="1" customWidth="1"/>
    <col min="15" max="15" width="16.5" customWidth="1"/>
    <col min="16" max="16" width="22.1640625" customWidth="1"/>
    <col min="17" max="17" width="14.33203125" bestFit="1" customWidth="1"/>
  </cols>
  <sheetData>
    <row r="1" spans="1:16" hidden="1" x14ac:dyDescent="0.2">
      <c r="A1" t="s">
        <v>0</v>
      </c>
      <c r="B1" t="s">
        <v>34</v>
      </c>
      <c r="C1" t="s">
        <v>58</v>
      </c>
      <c r="D1" t="s">
        <v>83</v>
      </c>
      <c r="E1" t="s">
        <v>60</v>
      </c>
      <c r="F1" t="s">
        <v>61</v>
      </c>
      <c r="G1" t="s">
        <v>62</v>
      </c>
    </row>
    <row r="2" spans="1:16" hidden="1" x14ac:dyDescent="0.2">
      <c r="A2" t="s">
        <v>29</v>
      </c>
      <c r="B2" t="s">
        <v>35</v>
      </c>
      <c r="C2" s="61">
        <f>'User Segmentation'!$B60*'Default Rates'!B19</f>
        <v>0.24700000000000003</v>
      </c>
      <c r="D2" s="61">
        <f>'User Segmentation'!$B60*'Default Rates'!C19</f>
        <v>0.20800000000000002</v>
      </c>
      <c r="E2" s="61">
        <f>'User Segmentation'!$B60*'Default Rates'!D19</f>
        <v>9.7500000000000003E-2</v>
      </c>
      <c r="F2" s="61">
        <f>'User Segmentation'!$B60*'Default Rates'!E19</f>
        <v>7.1500000000000008E-2</v>
      </c>
      <c r="G2" s="61">
        <f>'User Segmentation'!$B60*'Default Rates'!F19</f>
        <v>2.6000000000000002E-2</v>
      </c>
      <c r="I2" s="61"/>
    </row>
    <row r="3" spans="1:16" hidden="1" x14ac:dyDescent="0.2">
      <c r="A3" t="s">
        <v>29</v>
      </c>
      <c r="B3" t="s">
        <v>36</v>
      </c>
      <c r="C3" s="61">
        <f>'User Segmentation'!$C60*'Default Rates'!B20</f>
        <v>0.03</v>
      </c>
      <c r="D3" s="61">
        <f>'User Segmentation'!$C60*'Default Rates'!C20</f>
        <v>5.1000000000000004E-2</v>
      </c>
      <c r="E3" s="61">
        <f>'User Segmentation'!$C60*'Default Rates'!D20</f>
        <v>7.4999999999999997E-2</v>
      </c>
      <c r="F3" s="61">
        <f>'User Segmentation'!$C60*'Default Rates'!E20</f>
        <v>8.6999999999999994E-2</v>
      </c>
      <c r="G3" s="61">
        <f>'User Segmentation'!$C60*'Default Rates'!F20</f>
        <v>5.6999999999999995E-2</v>
      </c>
      <c r="J3" s="61"/>
      <c r="K3" s="61"/>
      <c r="L3" s="61"/>
      <c r="M3" s="61"/>
    </row>
    <row r="4" spans="1:16" hidden="1" x14ac:dyDescent="0.2">
      <c r="A4" t="s">
        <v>29</v>
      </c>
      <c r="B4" t="s">
        <v>37</v>
      </c>
      <c r="C4" s="61">
        <f>'User Segmentation'!$D60*'Default Rates'!B21</f>
        <v>1E-3</v>
      </c>
      <c r="D4" s="61">
        <f>'User Segmentation'!$D60*'Default Rates'!C21</f>
        <v>3.5000000000000005E-3</v>
      </c>
      <c r="E4" s="61">
        <f>'User Segmentation'!$D60*'Default Rates'!D21</f>
        <v>7.000000000000001E-3</v>
      </c>
      <c r="F4" s="61">
        <f>'User Segmentation'!$D60*'Default Rates'!E21</f>
        <v>1.4999999999999999E-2</v>
      </c>
      <c r="G4" s="61">
        <f>'User Segmentation'!$D60*'Default Rates'!F21</f>
        <v>2.2500000000000003E-2</v>
      </c>
    </row>
    <row r="5" spans="1:16" hidden="1" x14ac:dyDescent="0.2">
      <c r="A5" t="s">
        <v>30</v>
      </c>
      <c r="B5" t="s">
        <v>35</v>
      </c>
      <c r="C5" s="61">
        <f>'User Segmentation'!$B61*'Default Rates'!B19</f>
        <v>9.5000000000000001E-2</v>
      </c>
      <c r="D5" s="61">
        <f>'User Segmentation'!$B61*'Default Rates'!C19</f>
        <v>0.08</v>
      </c>
      <c r="E5" s="61">
        <f>'User Segmentation'!$B61*'Default Rates'!D19</f>
        <v>3.7499999999999999E-2</v>
      </c>
      <c r="F5" s="61">
        <f>'User Segmentation'!$B61*'Default Rates'!E19</f>
        <v>2.75E-2</v>
      </c>
      <c r="G5" s="61">
        <f>'User Segmentation'!$B61*'Default Rates'!F19</f>
        <v>0.01</v>
      </c>
      <c r="N5" s="61"/>
    </row>
    <row r="6" spans="1:16" hidden="1" x14ac:dyDescent="0.2">
      <c r="A6" t="s">
        <v>30</v>
      </c>
      <c r="B6" t="s">
        <v>36</v>
      </c>
      <c r="C6" s="61">
        <f>'User Segmentation'!$C61*'Default Rates'!B20</f>
        <v>0.05</v>
      </c>
      <c r="D6" s="61">
        <f>'User Segmentation'!$C61*'Default Rates'!C20</f>
        <v>8.5000000000000006E-2</v>
      </c>
      <c r="E6" s="61">
        <f>'User Segmentation'!$C61*'Default Rates'!D20</f>
        <v>0.125</v>
      </c>
      <c r="F6" s="61">
        <f>'User Segmentation'!$C61*'Default Rates'!E20</f>
        <v>0.14499999999999999</v>
      </c>
      <c r="G6" s="61">
        <f>'User Segmentation'!$C61*'Default Rates'!F20</f>
        <v>9.5000000000000001E-2</v>
      </c>
    </row>
    <row r="7" spans="1:16" hidden="1" x14ac:dyDescent="0.2">
      <c r="A7" t="s">
        <v>30</v>
      </c>
      <c r="B7" t="s">
        <v>37</v>
      </c>
      <c r="C7" s="61">
        <f>'User Segmentation'!$D61*'Default Rates'!B21</f>
        <v>5.0000000000000001E-3</v>
      </c>
      <c r="D7" s="61">
        <f>'User Segmentation'!$D61*'Default Rates'!C21</f>
        <v>1.7500000000000002E-2</v>
      </c>
      <c r="E7" s="61">
        <f>'User Segmentation'!$D61*'Default Rates'!D21</f>
        <v>3.5000000000000003E-2</v>
      </c>
      <c r="F7" s="61">
        <f>'User Segmentation'!$D61*'Default Rates'!E21</f>
        <v>7.4999999999999997E-2</v>
      </c>
      <c r="G7" s="61">
        <f>'User Segmentation'!$D61*'Default Rates'!F21</f>
        <v>0.1125</v>
      </c>
      <c r="I7" s="61"/>
    </row>
    <row r="8" spans="1:16" hidden="1" x14ac:dyDescent="0.2">
      <c r="A8" t="s">
        <v>32</v>
      </c>
      <c r="B8" s="9" t="s">
        <v>35</v>
      </c>
      <c r="C8" s="61">
        <f>'User Segmentation'!$B62*'Default Rates'!B19</f>
        <v>5.6999999999999995E-2</v>
      </c>
      <c r="D8" s="61">
        <f>'User Segmentation'!$B62*'Default Rates'!C19</f>
        <v>4.8000000000000001E-2</v>
      </c>
      <c r="E8" s="61">
        <f>'User Segmentation'!$B62*'Default Rates'!D19</f>
        <v>2.2499999999999999E-2</v>
      </c>
      <c r="F8" s="61">
        <f>'User Segmentation'!$B62*'Default Rates'!E19</f>
        <v>1.6500000000000001E-2</v>
      </c>
      <c r="G8" s="61">
        <f>'User Segmentation'!$B62*'Default Rates'!F19</f>
        <v>6.0000000000000001E-3</v>
      </c>
      <c r="I8" s="61"/>
    </row>
    <row r="9" spans="1:16" hidden="1" x14ac:dyDescent="0.2">
      <c r="A9" t="s">
        <v>32</v>
      </c>
      <c r="B9" s="9" t="s">
        <v>36</v>
      </c>
      <c r="C9" s="61">
        <f>'User Segmentation'!$C62*'Default Rates'!B20</f>
        <v>5.5000000000000007E-2</v>
      </c>
      <c r="D9" s="61">
        <f>'User Segmentation'!$C62*'Default Rates'!C20</f>
        <v>9.3500000000000014E-2</v>
      </c>
      <c r="E9" s="61">
        <f>'User Segmentation'!$C62*'Default Rates'!D20</f>
        <v>0.13750000000000001</v>
      </c>
      <c r="F9" s="61">
        <f>'User Segmentation'!$C62*'Default Rates'!E20</f>
        <v>0.1595</v>
      </c>
      <c r="G9" s="61">
        <f>'User Segmentation'!$C62*'Default Rates'!F20</f>
        <v>0.10450000000000001</v>
      </c>
      <c r="J9" s="46" t="s">
        <v>0</v>
      </c>
      <c r="K9" s="48" t="s">
        <v>48</v>
      </c>
    </row>
    <row r="10" spans="1:16" hidden="1" x14ac:dyDescent="0.2">
      <c r="A10" t="s">
        <v>32</v>
      </c>
      <c r="B10" s="9" t="s">
        <v>37</v>
      </c>
      <c r="C10" s="61">
        <f>'User Segmentation'!$D62*'Default Rates'!B21</f>
        <v>6.0000000000000001E-3</v>
      </c>
      <c r="D10" s="61">
        <f>'User Segmentation'!$D62*'Default Rates'!C21</f>
        <v>2.1000000000000001E-2</v>
      </c>
      <c r="E10" s="61">
        <f>'User Segmentation'!$D62*'Default Rates'!D21</f>
        <v>4.2000000000000003E-2</v>
      </c>
      <c r="F10" s="61">
        <f>'User Segmentation'!$D62*'Default Rates'!E21</f>
        <v>0.09</v>
      </c>
      <c r="G10" s="61">
        <f>'User Segmentation'!$D62*'Default Rates'!F21</f>
        <v>0.13500000000000001</v>
      </c>
      <c r="J10" s="49" t="s">
        <v>29</v>
      </c>
      <c r="K10" s="50">
        <f>SUM('User Segmentation'!B83:D83)</f>
        <v>16.140301639984386</v>
      </c>
    </row>
    <row r="11" spans="1:16" hidden="1" x14ac:dyDescent="0.2">
      <c r="A11" t="s">
        <v>51</v>
      </c>
      <c r="B11" s="9" t="s">
        <v>35</v>
      </c>
      <c r="C11" s="61">
        <f>'User Segmentation'!$B$63*'Default Rates'!B19</f>
        <v>0.11399999999999999</v>
      </c>
      <c r="D11" s="61">
        <f>'User Segmentation'!$B63*'Default Rates'!C19</f>
        <v>9.6000000000000002E-2</v>
      </c>
      <c r="E11" s="61">
        <f>'User Segmentation'!$B63*'Default Rates'!D19</f>
        <v>4.4999999999999998E-2</v>
      </c>
      <c r="F11" s="61">
        <f>'User Segmentation'!$B63*'Default Rates'!E19</f>
        <v>3.3000000000000002E-2</v>
      </c>
      <c r="G11" s="61">
        <f>'User Segmentation'!$B63*'Default Rates'!F19</f>
        <v>1.2E-2</v>
      </c>
      <c r="I11" s="61"/>
      <c r="J11" s="51" t="s">
        <v>30</v>
      </c>
      <c r="K11" s="50">
        <f>SUM('User Segmentation'!B84:D84)</f>
        <v>19.065257711831318</v>
      </c>
    </row>
    <row r="12" spans="1:16" hidden="1" x14ac:dyDescent="0.2">
      <c r="A12" t="s">
        <v>51</v>
      </c>
      <c r="B12" s="9" t="s">
        <v>36</v>
      </c>
      <c r="C12" s="61">
        <f>'User Segmentation'!$C$63*'Default Rates'!B20</f>
        <v>0.05</v>
      </c>
      <c r="D12" s="61">
        <f>'User Segmentation'!$C$63*'Default Rates'!C20</f>
        <v>8.5000000000000006E-2</v>
      </c>
      <c r="E12" s="61">
        <f>'User Segmentation'!$C$63*'Default Rates'!D20</f>
        <v>0.125</v>
      </c>
      <c r="F12" s="61">
        <f>'User Segmentation'!$C$63*'Default Rates'!E20</f>
        <v>0.14499999999999999</v>
      </c>
      <c r="G12" s="61">
        <f>'User Segmentation'!$C$63*'Default Rates'!F20</f>
        <v>9.5000000000000001E-2</v>
      </c>
      <c r="J12" s="49" t="s">
        <v>32</v>
      </c>
      <c r="K12" s="50">
        <f>SUM('User Segmentation'!B85:D85)</f>
        <v>10.588442014837955</v>
      </c>
    </row>
    <row r="13" spans="1:16" hidden="1" x14ac:dyDescent="0.2">
      <c r="A13" t="s">
        <v>51</v>
      </c>
      <c r="B13" s="9" t="s">
        <v>37</v>
      </c>
      <c r="C13" s="61">
        <f>'User Segmentation'!$D$63*'Default Rates'!B21</f>
        <v>4.0000000000000001E-3</v>
      </c>
      <c r="D13" s="61">
        <f>'User Segmentation'!$D$63*'Default Rates'!C21</f>
        <v>1.4000000000000002E-2</v>
      </c>
      <c r="E13" s="61">
        <f>'User Segmentation'!$D$63*'Default Rates'!D21</f>
        <v>2.8000000000000004E-2</v>
      </c>
      <c r="F13" s="61">
        <f>'User Segmentation'!$D$63*'Default Rates'!E21</f>
        <v>0.06</v>
      </c>
      <c r="G13" s="61">
        <f>'User Segmentation'!$D$63*'Default Rates'!F21</f>
        <v>9.0000000000000011E-2</v>
      </c>
      <c r="J13" s="51" t="s">
        <v>51</v>
      </c>
      <c r="K13" s="50">
        <f>SUM('User Segmentation'!B86:D86)</f>
        <v>5.9559986333463488</v>
      </c>
    </row>
    <row r="14" spans="1:16" hidden="1" x14ac:dyDescent="0.2"/>
    <row r="15" spans="1:16" hidden="1" x14ac:dyDescent="0.2"/>
    <row r="16" spans="1:16" hidden="1" x14ac:dyDescent="0.2">
      <c r="A16" t="s">
        <v>0</v>
      </c>
      <c r="B16" t="s">
        <v>34</v>
      </c>
      <c r="C16" t="s">
        <v>58</v>
      </c>
      <c r="D16" t="s">
        <v>83</v>
      </c>
      <c r="E16" t="s">
        <v>60</v>
      </c>
      <c r="F16" t="s">
        <v>61</v>
      </c>
      <c r="G16" t="s">
        <v>62</v>
      </c>
      <c r="I16" s="10"/>
      <c r="O16" t="s">
        <v>34</v>
      </c>
      <c r="P16" t="s">
        <v>84</v>
      </c>
    </row>
    <row r="17" spans="1:17" hidden="1" x14ac:dyDescent="0.2">
      <c r="A17" t="s">
        <v>29</v>
      </c>
      <c r="B17" t="s">
        <v>35</v>
      </c>
      <c r="C17" s="10">
        <f t="shared" ref="C17:G19" si="0">C2*$K$10</f>
        <v>3.9866545050761437</v>
      </c>
      <c r="D17" s="10">
        <f t="shared" si="0"/>
        <v>3.3571827411167527</v>
      </c>
      <c r="E17" s="10">
        <f t="shared" si="0"/>
        <v>1.5736794098984777</v>
      </c>
      <c r="F17" s="10">
        <f t="shared" si="0"/>
        <v>1.1540315672588837</v>
      </c>
      <c r="G17" s="10">
        <f t="shared" si="0"/>
        <v>0.41964784263959409</v>
      </c>
      <c r="I17" s="10"/>
      <c r="O17" t="s">
        <v>82</v>
      </c>
      <c r="P17" s="10">
        <f>SUM(Table40[[#This Row],[Deep Subprime]:[Super Prime]],C20:G20,C23:G23,C26:G26)</f>
        <v>18.632576386177281</v>
      </c>
    </row>
    <row r="18" spans="1:17" hidden="1" x14ac:dyDescent="0.2">
      <c r="A18" t="s">
        <v>29</v>
      </c>
      <c r="B18" t="s">
        <v>36</v>
      </c>
      <c r="C18" s="10">
        <f t="shared" si="0"/>
        <v>0.48420904919953156</v>
      </c>
      <c r="D18" s="10">
        <f t="shared" si="0"/>
        <v>0.82315538363920382</v>
      </c>
      <c r="E18" s="10">
        <f t="shared" si="0"/>
        <v>1.2105226229988288</v>
      </c>
      <c r="F18" s="10">
        <f t="shared" si="0"/>
        <v>1.4042062426786415</v>
      </c>
      <c r="G18" s="10">
        <f t="shared" si="0"/>
        <v>0.91999719347910991</v>
      </c>
      <c r="O18" t="s">
        <v>85</v>
      </c>
      <c r="P18" s="10">
        <f>SUM(Table40[[#This Row],[Deep Subprime]:[Super Prime]],C21:G21,C24:G24,C27:G27)</f>
        <v>23.176361772745025</v>
      </c>
    </row>
    <row r="19" spans="1:17" hidden="1" x14ac:dyDescent="0.2">
      <c r="A19" t="s">
        <v>29</v>
      </c>
      <c r="B19" t="s">
        <v>37</v>
      </c>
      <c r="C19" s="10">
        <f t="shared" si="0"/>
        <v>1.6140301639984388E-2</v>
      </c>
      <c r="D19" s="10">
        <f t="shared" si="0"/>
        <v>5.649105573994536E-2</v>
      </c>
      <c r="E19" s="10">
        <f t="shared" si="0"/>
        <v>0.11298211147989072</v>
      </c>
      <c r="F19" s="10">
        <f t="shared" si="0"/>
        <v>0.24210452459976578</v>
      </c>
      <c r="G19" s="10">
        <f t="shared" si="0"/>
        <v>0.36315678689964875</v>
      </c>
      <c r="O19" t="s">
        <v>86</v>
      </c>
      <c r="P19" s="10">
        <f>SUM(Table40[[#This Row],[Deep Subprime]:[Super Prime]],C22:G22,C25:G25,C28:G28)</f>
        <v>9.7422406042561516</v>
      </c>
    </row>
    <row r="20" spans="1:17" hidden="1" x14ac:dyDescent="0.2">
      <c r="A20" t="s">
        <v>30</v>
      </c>
      <c r="B20" t="s">
        <v>35</v>
      </c>
      <c r="C20" s="10">
        <f t="shared" ref="C20:G22" si="1">C5*$K$11</f>
        <v>1.8111994826239752</v>
      </c>
      <c r="D20" s="10">
        <f t="shared" si="1"/>
        <v>1.5252206169465055</v>
      </c>
      <c r="E20" s="10">
        <f t="shared" si="1"/>
        <v>0.71494716419367443</v>
      </c>
      <c r="F20" s="10">
        <f t="shared" si="1"/>
        <v>0.52429458707536125</v>
      </c>
      <c r="G20" s="10">
        <f t="shared" si="1"/>
        <v>0.19065257711831318</v>
      </c>
      <c r="I20" s="10"/>
    </row>
    <row r="21" spans="1:17" hidden="1" x14ac:dyDescent="0.2">
      <c r="A21" t="s">
        <v>30</v>
      </c>
      <c r="B21" t="s">
        <v>36</v>
      </c>
      <c r="C21" s="10">
        <f t="shared" si="1"/>
        <v>0.95326288559156591</v>
      </c>
      <c r="D21" s="10">
        <f t="shared" si="1"/>
        <v>1.6205469055056623</v>
      </c>
      <c r="E21" s="10">
        <f t="shared" si="1"/>
        <v>2.3831572139789148</v>
      </c>
      <c r="F21" s="10">
        <f t="shared" si="1"/>
        <v>2.7644623682155411</v>
      </c>
      <c r="G21" s="10">
        <f t="shared" si="1"/>
        <v>1.8111994826239752</v>
      </c>
    </row>
    <row r="22" spans="1:17" hidden="1" x14ac:dyDescent="0.2">
      <c r="A22" t="s">
        <v>30</v>
      </c>
      <c r="B22" t="s">
        <v>37</v>
      </c>
      <c r="C22" s="10">
        <f t="shared" si="1"/>
        <v>9.5326288559156591E-2</v>
      </c>
      <c r="D22" s="10">
        <f t="shared" si="1"/>
        <v>0.33364200995704812</v>
      </c>
      <c r="E22" s="10">
        <f t="shared" si="1"/>
        <v>0.66728401991409625</v>
      </c>
      <c r="F22" s="10">
        <f t="shared" si="1"/>
        <v>1.4298943283873489</v>
      </c>
      <c r="G22" s="10">
        <f t="shared" si="1"/>
        <v>2.1448414925810235</v>
      </c>
      <c r="O22" t="s">
        <v>0</v>
      </c>
      <c r="P22" t="s">
        <v>84</v>
      </c>
    </row>
    <row r="23" spans="1:17" hidden="1" x14ac:dyDescent="0.2">
      <c r="A23" t="s">
        <v>32</v>
      </c>
      <c r="B23" t="s">
        <v>35</v>
      </c>
      <c r="C23" s="10">
        <f t="shared" ref="C23:G25" si="2">C8*$K$12</f>
        <v>0.60354119484576341</v>
      </c>
      <c r="D23" s="10">
        <f t="shared" si="2"/>
        <v>0.50824521671222189</v>
      </c>
      <c r="E23" s="10">
        <f t="shared" si="2"/>
        <v>0.23823994533385398</v>
      </c>
      <c r="F23" s="10">
        <f t="shared" si="2"/>
        <v>0.17470929324482629</v>
      </c>
      <c r="G23" s="10">
        <f t="shared" si="2"/>
        <v>6.3530652089027737E-2</v>
      </c>
      <c r="O23" t="s">
        <v>29</v>
      </c>
      <c r="P23" s="10">
        <f>SUM(C31:G33)</f>
        <v>19.161126331956162</v>
      </c>
      <c r="Q23" s="10"/>
    </row>
    <row r="24" spans="1:17" hidden="1" x14ac:dyDescent="0.2">
      <c r="A24" t="s">
        <v>32</v>
      </c>
      <c r="B24" t="s">
        <v>36</v>
      </c>
      <c r="C24" s="10">
        <f t="shared" si="2"/>
        <v>0.58236431081608764</v>
      </c>
      <c r="D24" s="10">
        <f t="shared" si="2"/>
        <v>0.99001932838734896</v>
      </c>
      <c r="E24" s="10">
        <f t="shared" si="2"/>
        <v>1.4559107770402191</v>
      </c>
      <c r="F24" s="10">
        <f t="shared" si="2"/>
        <v>1.6888565013666539</v>
      </c>
      <c r="G24" s="10">
        <f t="shared" si="2"/>
        <v>1.1064921905505665</v>
      </c>
      <c r="O24" t="s">
        <v>30</v>
      </c>
      <c r="P24" s="10">
        <f>SUM(C34:G36)</f>
        <v>17.733488401407456</v>
      </c>
    </row>
    <row r="25" spans="1:17" hidden="1" x14ac:dyDescent="0.2">
      <c r="A25" t="s">
        <v>32</v>
      </c>
      <c r="B25" t="s">
        <v>37</v>
      </c>
      <c r="C25" s="10">
        <f t="shared" si="2"/>
        <v>6.3530652089027737E-2</v>
      </c>
      <c r="D25" s="10">
        <f t="shared" si="2"/>
        <v>0.22235728231159707</v>
      </c>
      <c r="E25" s="10">
        <f t="shared" si="2"/>
        <v>0.44471456462319414</v>
      </c>
      <c r="F25" s="10">
        <f t="shared" si="2"/>
        <v>0.95295978133541592</v>
      </c>
      <c r="G25" s="10">
        <f t="shared" si="2"/>
        <v>1.4294396720031242</v>
      </c>
      <c r="O25" t="s">
        <v>32</v>
      </c>
      <c r="P25" s="10">
        <f>SUM(C37:G39)</f>
        <v>9.1684621234571058</v>
      </c>
    </row>
    <row r="26" spans="1:17" hidden="1" x14ac:dyDescent="0.2">
      <c r="A26" t="s">
        <v>51</v>
      </c>
      <c r="B26" t="s">
        <v>35</v>
      </c>
      <c r="C26" s="10">
        <f t="shared" ref="C26:G28" si="3">C11*$K$13</f>
        <v>0.67898384420148372</v>
      </c>
      <c r="D26" s="10">
        <f t="shared" si="3"/>
        <v>0.57177586880124953</v>
      </c>
      <c r="E26" s="10">
        <f t="shared" si="3"/>
        <v>0.2680199385005857</v>
      </c>
      <c r="F26" s="10">
        <f t="shared" si="3"/>
        <v>0.19654795490042953</v>
      </c>
      <c r="G26" s="10">
        <f t="shared" si="3"/>
        <v>7.1471983600156191E-2</v>
      </c>
      <c r="O26" t="s">
        <v>51</v>
      </c>
      <c r="P26" s="10">
        <f>SUM(C40:G42)</f>
        <v>5.6869231431792793</v>
      </c>
    </row>
    <row r="27" spans="1:17" hidden="1" x14ac:dyDescent="0.2">
      <c r="A27" t="s">
        <v>51</v>
      </c>
      <c r="B27" t="s">
        <v>36</v>
      </c>
      <c r="C27" s="10">
        <f t="shared" si="3"/>
        <v>0.29779993166731744</v>
      </c>
      <c r="D27" s="10">
        <f t="shared" si="3"/>
        <v>0.50625988383443965</v>
      </c>
      <c r="E27" s="10">
        <f t="shared" si="3"/>
        <v>0.7444998291682936</v>
      </c>
      <c r="F27" s="10">
        <f t="shared" si="3"/>
        <v>0.86361980183522047</v>
      </c>
      <c r="G27" s="10">
        <f t="shared" si="3"/>
        <v>0.56581987016790314</v>
      </c>
    </row>
    <row r="28" spans="1:17" hidden="1" x14ac:dyDescent="0.2">
      <c r="A28" t="s">
        <v>51</v>
      </c>
      <c r="B28" t="s">
        <v>37</v>
      </c>
      <c r="C28" s="10">
        <f t="shared" si="3"/>
        <v>2.3823994533385396E-2</v>
      </c>
      <c r="D28" s="10">
        <f t="shared" si="3"/>
        <v>8.3383980866848895E-2</v>
      </c>
      <c r="E28" s="10">
        <f t="shared" si="3"/>
        <v>0.16676796173369779</v>
      </c>
      <c r="F28" s="10">
        <f t="shared" si="3"/>
        <v>0.35735991800078093</v>
      </c>
      <c r="G28" s="10">
        <f t="shared" si="3"/>
        <v>0.53603987700117151</v>
      </c>
    </row>
    <row r="29" spans="1:17" hidden="1" x14ac:dyDescent="0.2"/>
    <row r="30" spans="1:17" hidden="1" x14ac:dyDescent="0.2">
      <c r="A30" t="s">
        <v>0</v>
      </c>
      <c r="B30" t="s">
        <v>34</v>
      </c>
      <c r="C30" t="s">
        <v>58</v>
      </c>
      <c r="D30" t="s">
        <v>83</v>
      </c>
      <c r="E30" t="s">
        <v>60</v>
      </c>
      <c r="F30" t="s">
        <v>61</v>
      </c>
      <c r="G30" t="s">
        <v>62</v>
      </c>
      <c r="O30" s="46" t="s">
        <v>34</v>
      </c>
      <c r="P30" s="48" t="s">
        <v>48</v>
      </c>
    </row>
    <row r="31" spans="1:17" hidden="1" x14ac:dyDescent="0.2">
      <c r="A31" t="s">
        <v>29</v>
      </c>
      <c r="B31" t="s">
        <v>35</v>
      </c>
      <c r="C31" s="10">
        <f>C17*$P31/$P17</f>
        <v>5.7778616420283635</v>
      </c>
      <c r="D31" s="10">
        <f t="shared" ref="D31:G31" si="4">D17*$P$31/$P$17</f>
        <v>4.8655676985502012</v>
      </c>
      <c r="E31" s="10">
        <f t="shared" si="4"/>
        <v>2.2807348586954066</v>
      </c>
      <c r="F31" s="10">
        <f t="shared" si="4"/>
        <v>1.6725388963766314</v>
      </c>
      <c r="G31" s="10">
        <f t="shared" si="4"/>
        <v>0.60819596231877515</v>
      </c>
      <c r="I31" s="10"/>
      <c r="O31" s="49" t="s">
        <v>35</v>
      </c>
      <c r="P31" s="50">
        <f>'User Segmentation'!G54</f>
        <v>27.004208229426435</v>
      </c>
    </row>
    <row r="32" spans="1:17" hidden="1" x14ac:dyDescent="0.2">
      <c r="A32" t="s">
        <v>29</v>
      </c>
      <c r="B32" t="s">
        <v>36</v>
      </c>
      <c r="C32" s="10">
        <f t="shared" ref="C32:G33" si="5">C18*$P32/$P18</f>
        <v>0.3184897377113366</v>
      </c>
      <c r="D32" s="10">
        <f t="shared" si="5"/>
        <v>0.54143255410927227</v>
      </c>
      <c r="E32" s="10">
        <f t="shared" si="5"/>
        <v>0.79622434427834143</v>
      </c>
      <c r="F32" s="10">
        <f t="shared" si="5"/>
        <v>0.92362023936287596</v>
      </c>
      <c r="G32" s="10">
        <f t="shared" si="5"/>
        <v>0.60513050165153937</v>
      </c>
      <c r="I32" s="10"/>
      <c r="O32" s="51" t="s">
        <v>36</v>
      </c>
      <c r="P32" s="50">
        <f>'User Segmentation'!G55</f>
        <v>15.244311097256857</v>
      </c>
    </row>
    <row r="33" spans="1:21" hidden="1" x14ac:dyDescent="0.2">
      <c r="A33" t="s">
        <v>29</v>
      </c>
      <c r="B33" t="s">
        <v>37</v>
      </c>
      <c r="C33" s="10">
        <f t="shared" si="5"/>
        <v>1.5741426466804334E-2</v>
      </c>
      <c r="D33" s="10">
        <f t="shared" si="5"/>
        <v>5.5094992633815169E-2</v>
      </c>
      <c r="E33" s="10">
        <f t="shared" si="5"/>
        <v>0.11018998526763034</v>
      </c>
      <c r="F33" s="10">
        <f t="shared" si="5"/>
        <v>0.23612139700206497</v>
      </c>
      <c r="G33" s="10">
        <f t="shared" si="5"/>
        <v>0.35418209550309754</v>
      </c>
      <c r="O33" s="49" t="s">
        <v>37</v>
      </c>
      <c r="P33" s="50">
        <f>'User Segmentation'!G56</f>
        <v>9.5014806733167081</v>
      </c>
    </row>
    <row r="34" spans="1:21" hidden="1" x14ac:dyDescent="0.2">
      <c r="A34" t="s">
        <v>30</v>
      </c>
      <c r="B34" t="s">
        <v>35</v>
      </c>
      <c r="C34" s="10">
        <f>C20*$P31/$P17</f>
        <v>2.6249728947893387</v>
      </c>
      <c r="D34" s="10">
        <f t="shared" ref="D34:G34" si="6">D20*$P31/$P17</f>
        <v>2.2105034903489171</v>
      </c>
      <c r="E34" s="10">
        <f t="shared" si="6"/>
        <v>1.0361735111010548</v>
      </c>
      <c r="F34" s="10">
        <f t="shared" si="6"/>
        <v>0.75986057480744018</v>
      </c>
      <c r="G34" s="10">
        <f t="shared" si="6"/>
        <v>0.27631293629361464</v>
      </c>
    </row>
    <row r="35" spans="1:21" hidden="1" x14ac:dyDescent="0.2">
      <c r="A35" t="s">
        <v>30</v>
      </c>
      <c r="B35" t="s">
        <v>36</v>
      </c>
      <c r="C35" s="10">
        <f t="shared" ref="C35:G36" si="7">C21*$P32/$P18</f>
        <v>0.62701109552560463</v>
      </c>
      <c r="D35" s="10">
        <f t="shared" si="7"/>
        <v>1.0659188623935278</v>
      </c>
      <c r="E35" s="10">
        <f t="shared" si="7"/>
        <v>1.5675277388140114</v>
      </c>
      <c r="F35" s="10">
        <f t="shared" si="7"/>
        <v>1.8183321770242533</v>
      </c>
      <c r="G35" s="10">
        <f t="shared" si="7"/>
        <v>1.1913210814986486</v>
      </c>
    </row>
    <row r="36" spans="1:21" hidden="1" x14ac:dyDescent="0.2">
      <c r="A36" t="s">
        <v>30</v>
      </c>
      <c r="B36" t="s">
        <v>37</v>
      </c>
      <c r="C36" s="10">
        <f t="shared" si="7"/>
        <v>9.2970490587980487E-2</v>
      </c>
      <c r="D36" s="10">
        <f t="shared" si="7"/>
        <v>0.32539671705793177</v>
      </c>
      <c r="E36" s="10">
        <f t="shared" si="7"/>
        <v>0.65079343411586354</v>
      </c>
      <c r="F36" s="10">
        <f t="shared" si="7"/>
        <v>1.3945573588197075</v>
      </c>
      <c r="G36" s="10">
        <f t="shared" si="7"/>
        <v>2.0918360382295615</v>
      </c>
    </row>
    <row r="37" spans="1:21" hidden="1" x14ac:dyDescent="0.2">
      <c r="A37" t="s">
        <v>32</v>
      </c>
      <c r="B37" t="s">
        <v>35</v>
      </c>
      <c r="C37" s="10">
        <f>C23*$P31/$P17</f>
        <v>0.87471274840674929</v>
      </c>
      <c r="D37" s="10">
        <f t="shared" ref="D37:G37" si="8">D23*$P31/$P17</f>
        <v>0.7366002091846312</v>
      </c>
      <c r="E37" s="10">
        <f t="shared" si="8"/>
        <v>0.34528134805529581</v>
      </c>
      <c r="F37" s="10">
        <f t="shared" si="8"/>
        <v>0.25320632190721698</v>
      </c>
      <c r="G37" s="10">
        <f t="shared" si="8"/>
        <v>9.2075026148078901E-2</v>
      </c>
    </row>
    <row r="38" spans="1:21" hidden="1" x14ac:dyDescent="0.2">
      <c r="A38" t="s">
        <v>32</v>
      </c>
      <c r="B38" t="s">
        <v>36</v>
      </c>
      <c r="C38" s="10">
        <f t="shared" ref="C38:G39" si="9">C24*$P32/$P18</f>
        <v>0.38305161151134981</v>
      </c>
      <c r="D38" s="10">
        <f t="shared" si="9"/>
        <v>0.65118773956929465</v>
      </c>
      <c r="E38" s="10">
        <f t="shared" si="9"/>
        <v>0.95762902877837452</v>
      </c>
      <c r="F38" s="10">
        <f t="shared" si="9"/>
        <v>1.1108496733829143</v>
      </c>
      <c r="G38" s="10">
        <f t="shared" si="9"/>
        <v>0.72779806187156471</v>
      </c>
    </row>
    <row r="39" spans="1:21" hidden="1" x14ac:dyDescent="0.2">
      <c r="A39" t="s">
        <v>32</v>
      </c>
      <c r="B39" t="s">
        <v>37</v>
      </c>
      <c r="C39" s="10">
        <f t="shared" si="9"/>
        <v>6.1960619482482396E-2</v>
      </c>
      <c r="D39" s="10">
        <f t="shared" si="9"/>
        <v>0.21686216818868839</v>
      </c>
      <c r="E39" s="10">
        <f t="shared" si="9"/>
        <v>0.43372433637737678</v>
      </c>
      <c r="F39" s="10">
        <f t="shared" si="9"/>
        <v>0.92940929223723578</v>
      </c>
      <c r="G39" s="10">
        <f t="shared" si="9"/>
        <v>1.3941139383558541</v>
      </c>
    </row>
    <row r="40" spans="1:21" hidden="1" x14ac:dyDescent="0.2">
      <c r="A40" t="s">
        <v>51</v>
      </c>
      <c r="B40" t="s">
        <v>35</v>
      </c>
      <c r="C40" s="10">
        <f>C26*$P31/$P17</f>
        <v>0.98405184195759288</v>
      </c>
      <c r="D40" s="10">
        <f t="shared" ref="D40:G40" si="10">D26*$P31/$P17</f>
        <v>0.82867523533270993</v>
      </c>
      <c r="E40" s="10">
        <f t="shared" si="10"/>
        <v>0.38844151656220777</v>
      </c>
      <c r="F40" s="10">
        <f t="shared" si="10"/>
        <v>0.2848571121456191</v>
      </c>
      <c r="G40" s="10">
        <f t="shared" si="10"/>
        <v>0.10358440441658874</v>
      </c>
    </row>
    <row r="41" spans="1:21" hidden="1" x14ac:dyDescent="0.2">
      <c r="A41" t="s">
        <v>51</v>
      </c>
      <c r="B41" t="s">
        <v>36</v>
      </c>
      <c r="C41" s="10">
        <f t="shared" ref="C41:G42" si="11">C27*$P32/$P18</f>
        <v>0.19587866497739473</v>
      </c>
      <c r="D41" s="10">
        <f t="shared" si="11"/>
        <v>0.33299373046157105</v>
      </c>
      <c r="E41" s="10">
        <f t="shared" si="11"/>
        <v>0.48969666244348681</v>
      </c>
      <c r="F41" s="10">
        <f t="shared" si="11"/>
        <v>0.56804812843444463</v>
      </c>
      <c r="G41" s="10">
        <f t="shared" si="11"/>
        <v>0.37216946345704993</v>
      </c>
    </row>
    <row r="42" spans="1:21" hidden="1" x14ac:dyDescent="0.2">
      <c r="A42" t="s">
        <v>51</v>
      </c>
      <c r="B42" t="s">
        <v>37</v>
      </c>
      <c r="C42" s="10">
        <f t="shared" si="11"/>
        <v>2.3235232305930893E-2</v>
      </c>
      <c r="D42" s="10">
        <f t="shared" si="11"/>
        <v>8.132331307075813E-2</v>
      </c>
      <c r="E42" s="10">
        <f t="shared" si="11"/>
        <v>0.16264662614151626</v>
      </c>
      <c r="F42" s="10">
        <f t="shared" si="11"/>
        <v>0.34852848458896341</v>
      </c>
      <c r="G42" s="10">
        <f t="shared" si="11"/>
        <v>0.52279272688344514</v>
      </c>
    </row>
    <row r="43" spans="1:21" hidden="1" x14ac:dyDescent="0.2">
      <c r="C43" s="10"/>
      <c r="D43" s="10"/>
      <c r="E43" s="10"/>
      <c r="F43" s="10"/>
      <c r="G43" s="10"/>
    </row>
    <row r="44" spans="1:21" hidden="1" x14ac:dyDescent="0.2">
      <c r="C44" s="10"/>
      <c r="D44" s="10"/>
      <c r="E44" s="10"/>
      <c r="F44" s="10"/>
      <c r="G44" s="10"/>
    </row>
    <row r="45" spans="1:21" hidden="1" x14ac:dyDescent="0.2">
      <c r="C45" s="10"/>
      <c r="D45" s="10"/>
      <c r="E45" s="10"/>
      <c r="F45" s="10"/>
      <c r="G45" s="10"/>
    </row>
    <row r="46" spans="1:21" ht="17" hidden="1" x14ac:dyDescent="0.2">
      <c r="A46" s="62" t="s">
        <v>88</v>
      </c>
      <c r="C46" s="10"/>
      <c r="D46" s="10"/>
      <c r="E46" s="10"/>
      <c r="F46" s="10"/>
      <c r="G46" s="10"/>
      <c r="O46" s="20"/>
      <c r="P46" s="12"/>
      <c r="Q46" s="12"/>
      <c r="R46" s="12"/>
      <c r="S46" s="12"/>
      <c r="T46" s="12"/>
      <c r="U46" s="12"/>
    </row>
    <row r="47" spans="1:21" hidden="1" x14ac:dyDescent="0.2">
      <c r="A47" t="s">
        <v>0</v>
      </c>
      <c r="B47" t="s">
        <v>34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10"/>
      <c r="J47" t="s">
        <v>34</v>
      </c>
      <c r="K47" t="s">
        <v>48</v>
      </c>
      <c r="T47" s="12"/>
      <c r="U47" s="12"/>
    </row>
    <row r="48" spans="1:21" hidden="1" x14ac:dyDescent="0.2">
      <c r="A48" t="s">
        <v>29</v>
      </c>
      <c r="B48" t="s">
        <v>35</v>
      </c>
      <c r="C48" s="10">
        <f t="shared" ref="C48:G50" si="12">C31*$K$10/$P$23</f>
        <v>4.8669597037677228</v>
      </c>
      <c r="D48" s="10">
        <f t="shared" si="12"/>
        <v>4.0984923821201882</v>
      </c>
      <c r="E48" s="10">
        <f t="shared" si="12"/>
        <v>1.9211683041188379</v>
      </c>
      <c r="F48" s="10">
        <f t="shared" si="12"/>
        <v>1.4088567563538144</v>
      </c>
      <c r="G48" s="10">
        <f t="shared" si="12"/>
        <v>0.51231154776502352</v>
      </c>
      <c r="I48" s="10"/>
      <c r="J48" t="s">
        <v>35</v>
      </c>
      <c r="K48" s="50">
        <f>P31</f>
        <v>27.004208229426435</v>
      </c>
      <c r="L48" s="10"/>
      <c r="M48" s="10"/>
      <c r="T48" s="33"/>
      <c r="U48" s="17"/>
    </row>
    <row r="49" spans="1:21" hidden="1" x14ac:dyDescent="0.2">
      <c r="A49" t="s">
        <v>29</v>
      </c>
      <c r="B49" t="s">
        <v>36</v>
      </c>
      <c r="C49" s="10">
        <f t="shared" si="12"/>
        <v>0.26827861508993489</v>
      </c>
      <c r="D49" s="10">
        <f t="shared" si="12"/>
        <v>0.45607364565288938</v>
      </c>
      <c r="E49" s="10">
        <f t="shared" si="12"/>
        <v>0.67069653772483717</v>
      </c>
      <c r="F49" s="10">
        <f t="shared" si="12"/>
        <v>0.77800798376081104</v>
      </c>
      <c r="G49" s="10">
        <f t="shared" si="12"/>
        <v>0.50972936867087615</v>
      </c>
      <c r="I49" s="10"/>
      <c r="J49" t="s">
        <v>36</v>
      </c>
      <c r="K49" s="50">
        <f t="shared" ref="K49:K50" si="13">P32</f>
        <v>15.244311097256857</v>
      </c>
      <c r="T49" s="33"/>
      <c r="U49" s="17"/>
    </row>
    <row r="50" spans="1:21" hidden="1" x14ac:dyDescent="0.2">
      <c r="A50" t="s">
        <v>29</v>
      </c>
      <c r="B50" t="s">
        <v>37</v>
      </c>
      <c r="C50" s="10">
        <f t="shared" si="12"/>
        <v>1.3259730509376452E-2</v>
      </c>
      <c r="D50" s="10">
        <f t="shared" si="12"/>
        <v>4.6409056782817579E-2</v>
      </c>
      <c r="E50" s="10">
        <f t="shared" si="12"/>
        <v>9.2818113565635157E-2</v>
      </c>
      <c r="F50" s="10">
        <f t="shared" si="12"/>
        <v>0.19889595764064674</v>
      </c>
      <c r="G50" s="10">
        <f t="shared" si="12"/>
        <v>0.29834393646097018</v>
      </c>
      <c r="I50" s="10"/>
      <c r="J50" t="s">
        <v>37</v>
      </c>
      <c r="K50" s="50">
        <f t="shared" si="13"/>
        <v>9.5014806733167081</v>
      </c>
      <c r="T50" s="33"/>
      <c r="U50" s="17"/>
    </row>
    <row r="51" spans="1:21" hidden="1" x14ac:dyDescent="0.2">
      <c r="A51" t="s">
        <v>30</v>
      </c>
      <c r="B51" t="s">
        <v>35</v>
      </c>
      <c r="C51" s="10">
        <f t="shared" ref="C51:G53" si="14">C34*$K$11/$P$24</f>
        <v>2.8221060398786868</v>
      </c>
      <c r="D51" s="10">
        <f t="shared" si="14"/>
        <v>2.3765103493715261</v>
      </c>
      <c r="E51" s="10">
        <f t="shared" si="14"/>
        <v>1.1139892262679028</v>
      </c>
      <c r="F51" s="10">
        <f t="shared" si="14"/>
        <v>0.816925432596462</v>
      </c>
      <c r="G51" s="10">
        <f t="shared" si="14"/>
        <v>0.29706379367144076</v>
      </c>
    </row>
    <row r="52" spans="1:21" hidden="1" x14ac:dyDescent="0.2">
      <c r="A52" t="s">
        <v>30</v>
      </c>
      <c r="B52" t="s">
        <v>36</v>
      </c>
      <c r="C52" s="10">
        <f t="shared" si="14"/>
        <v>0.67409907480045339</v>
      </c>
      <c r="D52" s="10">
        <f t="shared" si="14"/>
        <v>1.1459684271607706</v>
      </c>
      <c r="E52" s="10">
        <f t="shared" si="14"/>
        <v>1.6852476870011333</v>
      </c>
      <c r="F52" s="10">
        <f t="shared" si="14"/>
        <v>1.9548873169213148</v>
      </c>
      <c r="G52" s="10">
        <f t="shared" si="14"/>
        <v>1.2807882421208612</v>
      </c>
    </row>
    <row r="53" spans="1:21" hidden="1" x14ac:dyDescent="0.2">
      <c r="A53" t="s">
        <v>30</v>
      </c>
      <c r="B53" t="s">
        <v>37</v>
      </c>
      <c r="C53" s="10">
        <f t="shared" si="14"/>
        <v>9.9952492286546235E-2</v>
      </c>
      <c r="D53" s="10">
        <f t="shared" si="14"/>
        <v>0.34983372300291188</v>
      </c>
      <c r="E53" s="10">
        <f t="shared" si="14"/>
        <v>0.69966744600582376</v>
      </c>
      <c r="F53" s="10">
        <f t="shared" si="14"/>
        <v>1.4992873842981937</v>
      </c>
      <c r="G53" s="10">
        <f t="shared" si="14"/>
        <v>2.248931076447291</v>
      </c>
      <c r="J53" s="46" t="s">
        <v>57</v>
      </c>
      <c r="K53" s="47" t="s">
        <v>91</v>
      </c>
    </row>
    <row r="54" spans="1:21" hidden="1" x14ac:dyDescent="0.2">
      <c r="A54" t="s">
        <v>32</v>
      </c>
      <c r="B54" t="s">
        <v>35</v>
      </c>
      <c r="C54" s="10">
        <f t="shared" ref="C54:G56" si="15">C37*$K$12/$P$25</f>
        <v>1.0101852515099981</v>
      </c>
      <c r="D54" s="10">
        <f t="shared" si="15"/>
        <v>0.85068231706105113</v>
      </c>
      <c r="E54" s="10">
        <f t="shared" si="15"/>
        <v>0.39875733612236769</v>
      </c>
      <c r="F54" s="10">
        <f t="shared" si="15"/>
        <v>0.29242204648973635</v>
      </c>
      <c r="G54" s="10">
        <f t="shared" si="15"/>
        <v>0.10633528963263139</v>
      </c>
      <c r="J54" s="49" t="s">
        <v>70</v>
      </c>
      <c r="K54" s="55" t="s">
        <v>92</v>
      </c>
    </row>
    <row r="55" spans="1:21" hidden="1" x14ac:dyDescent="0.2">
      <c r="A55" t="s">
        <v>32</v>
      </c>
      <c r="B55" t="s">
        <v>36</v>
      </c>
      <c r="C55" s="10">
        <f t="shared" si="15"/>
        <v>0.44237732812368513</v>
      </c>
      <c r="D55" s="10">
        <f t="shared" si="15"/>
        <v>0.75204145781026466</v>
      </c>
      <c r="E55" s="10">
        <f t="shared" si="15"/>
        <v>1.1059433203092128</v>
      </c>
      <c r="F55" s="10">
        <f t="shared" si="15"/>
        <v>1.2828942515586865</v>
      </c>
      <c r="G55" s="10">
        <f t="shared" si="15"/>
        <v>0.84051692343500173</v>
      </c>
      <c r="J55" s="51" t="s">
        <v>58</v>
      </c>
      <c r="K55" s="52">
        <f>SUM(Table52[Deep Subprime])</f>
        <v>11.976059850374066</v>
      </c>
    </row>
    <row r="56" spans="1:21" hidden="1" x14ac:dyDescent="0.2">
      <c r="A56" t="s">
        <v>32</v>
      </c>
      <c r="B56" t="s">
        <v>37</v>
      </c>
      <c r="C56" s="10">
        <f t="shared" si="15"/>
        <v>7.1556867199700447E-2</v>
      </c>
      <c r="D56" s="10">
        <f t="shared" si="15"/>
        <v>0.25044903519895162</v>
      </c>
      <c r="E56" s="10">
        <f t="shared" si="15"/>
        <v>0.50089807039790324</v>
      </c>
      <c r="F56" s="10">
        <f t="shared" si="15"/>
        <v>1.0733530079955067</v>
      </c>
      <c r="G56" s="10">
        <f t="shared" si="15"/>
        <v>1.6100295119932604</v>
      </c>
      <c r="J56" s="49" t="s">
        <v>59</v>
      </c>
      <c r="K56" s="52">
        <f>SUM(Table52[Subprime])</f>
        <v>11.897983167082295</v>
      </c>
    </row>
    <row r="57" spans="1:21" hidden="1" x14ac:dyDescent="0.2">
      <c r="A57" t="s">
        <v>51</v>
      </c>
      <c r="B57" t="s">
        <v>35</v>
      </c>
      <c r="C57" s="10">
        <f t="shared" ref="C57:G59" si="16">C40*$K$13/$P$26</f>
        <v>1.0306120336567055</v>
      </c>
      <c r="D57" s="10">
        <f t="shared" si="16"/>
        <v>0.86788381781617319</v>
      </c>
      <c r="E57" s="10">
        <f t="shared" si="16"/>
        <v>0.40682053960133113</v>
      </c>
      <c r="F57" s="10">
        <f t="shared" si="16"/>
        <v>0.29833506237430957</v>
      </c>
      <c r="G57" s="10">
        <f t="shared" si="16"/>
        <v>0.10848547722702165</v>
      </c>
      <c r="J57" s="51" t="s">
        <v>60</v>
      </c>
      <c r="K57" s="52">
        <f>SUM(Table52[Near Prime])</f>
        <v>9.1919163029925173</v>
      </c>
    </row>
    <row r="58" spans="1:21" hidden="1" x14ac:dyDescent="0.2">
      <c r="A58" t="s">
        <v>51</v>
      </c>
      <c r="B58" t="s">
        <v>36</v>
      </c>
      <c r="C58" s="10">
        <f t="shared" si="16"/>
        <v>0.20514661997961375</v>
      </c>
      <c r="D58" s="10">
        <f t="shared" si="16"/>
        <v>0.34874925396534345</v>
      </c>
      <c r="E58" s="10">
        <f t="shared" si="16"/>
        <v>0.51286654994903447</v>
      </c>
      <c r="F58" s="10">
        <f t="shared" si="16"/>
        <v>0.59492519794087984</v>
      </c>
      <c r="G58" s="10">
        <f t="shared" si="16"/>
        <v>0.38977857796126608</v>
      </c>
      <c r="J58" s="49" t="s">
        <v>61</v>
      </c>
      <c r="K58" s="52">
        <f>SUM(Table52[Prime])</f>
        <v>10.241757325436408</v>
      </c>
    </row>
    <row r="59" spans="1:21" hidden="1" x14ac:dyDescent="0.2">
      <c r="A59" t="s">
        <v>51</v>
      </c>
      <c r="B59" t="s">
        <v>37</v>
      </c>
      <c r="C59" s="10">
        <f t="shared" si="16"/>
        <v>2.4334602099483068E-2</v>
      </c>
      <c r="D59" s="10">
        <f t="shared" si="16"/>
        <v>8.5171107348190736E-2</v>
      </c>
      <c r="E59" s="10">
        <f t="shared" si="16"/>
        <v>0.17034221469638147</v>
      </c>
      <c r="F59" s="10">
        <f t="shared" si="16"/>
        <v>0.36501903149224602</v>
      </c>
      <c r="G59" s="10">
        <f t="shared" si="16"/>
        <v>0.54752854723836908</v>
      </c>
      <c r="J59" s="51" t="s">
        <v>62</v>
      </c>
      <c r="K59" s="52">
        <f>SUM(Table52[Super Prime])</f>
        <v>8.2522537406483778</v>
      </c>
    </row>
    <row r="60" spans="1:21" hidden="1" x14ac:dyDescent="0.2">
      <c r="C60" s="10"/>
      <c r="D60" s="10"/>
      <c r="E60" s="10"/>
      <c r="F60" s="10"/>
      <c r="G60" s="10"/>
      <c r="O60" s="45"/>
      <c r="P60" s="79"/>
    </row>
    <row r="61" spans="1:21" hidden="1" x14ac:dyDescent="0.2">
      <c r="C61" s="10">
        <f>SUM(Table42[Deep Subprime])</f>
        <v>11.528868358901905</v>
      </c>
      <c r="D61" s="10">
        <f>SUM(Table42[Sub Prime])</f>
        <v>11.628264573291077</v>
      </c>
      <c r="E61" s="10">
        <f>SUM(Table42[Near Prime])</f>
        <v>9.2792153457604005</v>
      </c>
      <c r="F61" s="10">
        <f>SUM(Table42[Prime])</f>
        <v>10.563809429422609</v>
      </c>
      <c r="G61" s="10">
        <f>SUM(Table42[Super Prime])</f>
        <v>8.7498422926240131</v>
      </c>
    </row>
    <row r="62" spans="1:21" ht="17" x14ac:dyDescent="0.2">
      <c r="A62" s="62" t="s">
        <v>88</v>
      </c>
      <c r="C62" s="10"/>
      <c r="D62" s="10"/>
      <c r="E62" s="10"/>
      <c r="F62" s="10"/>
      <c r="G62" s="10"/>
    </row>
    <row r="63" spans="1:21" x14ac:dyDescent="0.2">
      <c r="A63" t="s">
        <v>0</v>
      </c>
      <c r="B63" t="s">
        <v>34</v>
      </c>
      <c r="C63" t="s">
        <v>58</v>
      </c>
      <c r="D63" t="s">
        <v>83</v>
      </c>
      <c r="E63" t="s">
        <v>60</v>
      </c>
      <c r="F63" t="s">
        <v>61</v>
      </c>
      <c r="G63" t="s">
        <v>62</v>
      </c>
      <c r="I63" s="10"/>
    </row>
    <row r="64" spans="1:21" x14ac:dyDescent="0.2">
      <c r="A64" t="s">
        <v>29</v>
      </c>
      <c r="B64" t="s">
        <v>35</v>
      </c>
      <c r="C64" s="10">
        <f>C48*$K$55/C$61</f>
        <v>5.0557434508891186</v>
      </c>
      <c r="D64" s="10">
        <f t="shared" ref="D64:D75" si="17">D48*$K$56/D$61</f>
        <v>4.1935572643304333</v>
      </c>
      <c r="E64" s="10">
        <f t="shared" ref="E64:E75" si="18">E48*$K$57/E$61</f>
        <v>1.903093914453746</v>
      </c>
      <c r="F64" s="10">
        <f t="shared" ref="F64:F75" si="19">F48*$K$58/F$61</f>
        <v>1.3659058411910332</v>
      </c>
      <c r="G64" s="10">
        <f t="shared" ref="G64:G75" si="20">G48*$K$59/G$61</f>
        <v>0.48317726709030911</v>
      </c>
      <c r="I64" s="10"/>
    </row>
    <row r="65" spans="1:9" x14ac:dyDescent="0.2">
      <c r="A65" t="s">
        <v>29</v>
      </c>
      <c r="B65" t="s">
        <v>36</v>
      </c>
      <c r="C65" s="10">
        <f>C49*$K$55/C$61</f>
        <v>0.27868483279295159</v>
      </c>
      <c r="D65" s="10">
        <f t="shared" si="17"/>
        <v>0.46665231296781062</v>
      </c>
      <c r="E65" s="10">
        <f t="shared" si="18"/>
        <v>0.66438661134104404</v>
      </c>
      <c r="F65" s="10">
        <f t="shared" si="19"/>
        <v>0.75428935178792</v>
      </c>
      <c r="G65" s="10">
        <f t="shared" si="20"/>
        <v>0.48074193210071003</v>
      </c>
    </row>
    <row r="66" spans="1:9" x14ac:dyDescent="0.2">
      <c r="A66" t="s">
        <v>29</v>
      </c>
      <c r="B66" t="s">
        <v>37</v>
      </c>
      <c r="C66" s="10">
        <f t="shared" ref="C66:C75" si="21">C50*$K$55/C$61</f>
        <v>1.377406014507122E-2</v>
      </c>
      <c r="D66" s="10">
        <f t="shared" si="17"/>
        <v>4.7485518834032812E-2</v>
      </c>
      <c r="E66" s="10">
        <f t="shared" si="18"/>
        <v>9.1944878904742969E-2</v>
      </c>
      <c r="F66" s="10">
        <f t="shared" si="19"/>
        <v>0.19283234374639066</v>
      </c>
      <c r="G66" s="10">
        <f t="shared" si="20"/>
        <v>0.28137762754138329</v>
      </c>
    </row>
    <row r="67" spans="1:9" x14ac:dyDescent="0.2">
      <c r="A67" t="s">
        <v>30</v>
      </c>
      <c r="B67" t="s">
        <v>35</v>
      </c>
      <c r="C67" s="10">
        <f t="shared" si="21"/>
        <v>2.9315722745322801</v>
      </c>
      <c r="D67" s="10">
        <f t="shared" si="17"/>
        <v>2.4316337106884891</v>
      </c>
      <c r="E67" s="10">
        <f t="shared" si="18"/>
        <v>1.1035087934421515</v>
      </c>
      <c r="F67" s="10">
        <f t="shared" si="19"/>
        <v>0.79202034924322051</v>
      </c>
      <c r="G67" s="10">
        <f t="shared" si="20"/>
        <v>0.28017028428076668</v>
      </c>
    </row>
    <row r="68" spans="1:9" x14ac:dyDescent="0.2">
      <c r="A68" t="s">
        <v>30</v>
      </c>
      <c r="B68" t="s">
        <v>36</v>
      </c>
      <c r="C68" s="10">
        <f t="shared" si="21"/>
        <v>0.70024659954231205</v>
      </c>
      <c r="D68" s="10">
        <f t="shared" si="17"/>
        <v>1.1725492630847212</v>
      </c>
      <c r="E68" s="10">
        <f t="shared" si="18"/>
        <v>1.6693928432002287</v>
      </c>
      <c r="F68" s="10">
        <f t="shared" si="19"/>
        <v>1.8952899171692013</v>
      </c>
      <c r="G68" s="10">
        <f t="shared" si="20"/>
        <v>1.2079520074241996</v>
      </c>
    </row>
    <row r="69" spans="1:9" x14ac:dyDescent="0.2">
      <c r="A69" t="s">
        <v>30</v>
      </c>
      <c r="B69" t="s">
        <v>37</v>
      </c>
      <c r="C69" s="10">
        <f t="shared" si="21"/>
        <v>0.10382953404905948</v>
      </c>
      <c r="D69" s="10">
        <f t="shared" si="17"/>
        <v>0.35794814620289817</v>
      </c>
      <c r="E69" s="10">
        <f t="shared" si="18"/>
        <v>0.69308496073996928</v>
      </c>
      <c r="F69" s="10">
        <f t="shared" si="19"/>
        <v>1.453579568399096</v>
      </c>
      <c r="G69" s="10">
        <f t="shared" si="20"/>
        <v>2.1210382161650263</v>
      </c>
    </row>
    <row r="70" spans="1:9" x14ac:dyDescent="0.2">
      <c r="A70" t="s">
        <v>32</v>
      </c>
      <c r="B70" t="s">
        <v>35</v>
      </c>
      <c r="C70" s="10">
        <f t="shared" si="21"/>
        <v>1.049369170973969</v>
      </c>
      <c r="D70" s="10">
        <f t="shared" si="17"/>
        <v>0.87041396634324697</v>
      </c>
      <c r="E70" s="10">
        <f t="shared" si="18"/>
        <v>0.39500581916290206</v>
      </c>
      <c r="F70" s="10">
        <f t="shared" si="19"/>
        <v>0.28350716252167923</v>
      </c>
      <c r="G70" s="10">
        <f t="shared" si="20"/>
        <v>0.10028818375087005</v>
      </c>
    </row>
    <row r="71" spans="1:9" x14ac:dyDescent="0.2">
      <c r="A71" t="s">
        <v>32</v>
      </c>
      <c r="B71" t="s">
        <v>36</v>
      </c>
      <c r="C71" s="10">
        <f t="shared" si="21"/>
        <v>0.45953663387673843</v>
      </c>
      <c r="D71" s="10">
        <f t="shared" si="17"/>
        <v>0.76948512390461754</v>
      </c>
      <c r="E71" s="10">
        <f t="shared" si="18"/>
        <v>1.0955385835269544</v>
      </c>
      <c r="F71" s="10">
        <f t="shared" si="19"/>
        <v>1.243783474744071</v>
      </c>
      <c r="G71" s="10">
        <f t="shared" si="20"/>
        <v>0.79271816491387936</v>
      </c>
    </row>
    <row r="72" spans="1:9" x14ac:dyDescent="0.2">
      <c r="A72" t="s">
        <v>32</v>
      </c>
      <c r="B72" t="s">
        <v>37</v>
      </c>
      <c r="C72" s="10">
        <f t="shared" si="21"/>
        <v>7.4332475452994554E-2</v>
      </c>
      <c r="D72" s="10">
        <f t="shared" si="17"/>
        <v>0.25625822204402787</v>
      </c>
      <c r="E72" s="10">
        <f t="shared" si="18"/>
        <v>0.49618561137624734</v>
      </c>
      <c r="F72" s="10">
        <f t="shared" si="19"/>
        <v>1.0406303811008861</v>
      </c>
      <c r="G72" s="10">
        <f t="shared" si="20"/>
        <v>1.518469889920288</v>
      </c>
    </row>
    <row r="73" spans="1:9" x14ac:dyDescent="0.2">
      <c r="A73" t="s">
        <v>51</v>
      </c>
      <c r="B73" t="s">
        <v>35</v>
      </c>
      <c r="C73" s="10">
        <f t="shared" si="21"/>
        <v>1.0705882844137222</v>
      </c>
      <c r="D73" s="10">
        <f t="shared" si="17"/>
        <v>0.88801445738325013</v>
      </c>
      <c r="E73" s="10">
        <f t="shared" si="18"/>
        <v>0.40299316386295725</v>
      </c>
      <c r="F73" s="10">
        <f t="shared" si="19"/>
        <v>0.28923991207153171</v>
      </c>
      <c r="G73" s="10">
        <f t="shared" si="20"/>
        <v>0.10231609385775969</v>
      </c>
    </row>
    <row r="74" spans="1:9" x14ac:dyDescent="0.2">
      <c r="A74" t="s">
        <v>51</v>
      </c>
      <c r="B74" t="s">
        <v>36</v>
      </c>
      <c r="C74" s="10">
        <f t="shared" si="21"/>
        <v>0.21310402048964042</v>
      </c>
      <c r="D74" s="10">
        <f t="shared" si="17"/>
        <v>0.35683852281302036</v>
      </c>
      <c r="E74" s="10">
        <f t="shared" si="18"/>
        <v>0.50804149123341003</v>
      </c>
      <c r="F74" s="10">
        <f t="shared" si="19"/>
        <v>0.57678809380327334</v>
      </c>
      <c r="G74" s="10">
        <f t="shared" si="20"/>
        <v>0.36761253751018674</v>
      </c>
    </row>
    <row r="75" spans="1:9" x14ac:dyDescent="0.2">
      <c r="A75" t="s">
        <v>51</v>
      </c>
      <c r="B75" t="s">
        <v>37</v>
      </c>
      <c r="C75" s="10">
        <f t="shared" si="21"/>
        <v>2.5278513216210045E-2</v>
      </c>
      <c r="D75" s="10">
        <f t="shared" si="17"/>
        <v>8.7146658485749109E-2</v>
      </c>
      <c r="E75" s="10">
        <f t="shared" si="18"/>
        <v>0.16873963174816381</v>
      </c>
      <c r="F75" s="10">
        <f t="shared" si="19"/>
        <v>0.35389092965810415</v>
      </c>
      <c r="G75" s="10">
        <f t="shared" si="20"/>
        <v>0.51639153609299915</v>
      </c>
    </row>
    <row r="76" spans="1:9" x14ac:dyDescent="0.2">
      <c r="C76" s="10"/>
      <c r="D76" s="10"/>
      <c r="E76" s="10"/>
      <c r="F76" s="10"/>
      <c r="G76" s="10"/>
    </row>
    <row r="77" spans="1:9" x14ac:dyDescent="0.2">
      <c r="A77" t="s">
        <v>87</v>
      </c>
    </row>
    <row r="78" spans="1:9" x14ac:dyDescent="0.2">
      <c r="A78" t="s">
        <v>0</v>
      </c>
      <c r="B78" t="s">
        <v>34</v>
      </c>
      <c r="C78" t="s">
        <v>58</v>
      </c>
      <c r="D78" t="s">
        <v>83</v>
      </c>
      <c r="E78" t="s">
        <v>60</v>
      </c>
      <c r="F78" t="s">
        <v>61</v>
      </c>
      <c r="G78" t="s">
        <v>62</v>
      </c>
    </row>
    <row r="79" spans="1:9" x14ac:dyDescent="0.2">
      <c r="A79" t="s">
        <v>29</v>
      </c>
      <c r="B79" t="s">
        <v>35</v>
      </c>
      <c r="C79" s="65">
        <f>C64/SUM(Table4254[[Deep Subprime]:[Super Prime]])</f>
        <v>9.8055592603861694E-2</v>
      </c>
      <c r="D79" s="65">
        <f>D64/SUM(Table4254[[Deep Subprime]:[Super Prime]])</f>
        <v>8.13335855876616E-2</v>
      </c>
      <c r="E79" s="65">
        <f>E64/SUM(Table4254[[Deep Subprime]:[Super Prime]])</f>
        <v>3.6910298826525169E-2</v>
      </c>
      <c r="F79" s="65">
        <f>F64/SUM(Table4254[[Deep Subprime]:[Super Prime]])</f>
        <v>2.6491594757544274E-2</v>
      </c>
      <c r="G79" s="65">
        <f>G64/SUM(Table4254[[Deep Subprime]:[Super Prime]])</f>
        <v>9.371170376321715E-3</v>
      </c>
      <c r="I79" s="61"/>
    </row>
    <row r="80" spans="1:9" x14ac:dyDescent="0.2">
      <c r="A80" t="s">
        <v>29</v>
      </c>
      <c r="B80" t="s">
        <v>36</v>
      </c>
      <c r="C80" s="65">
        <f>C65/SUM(Table4254[[Deep Subprime]:[Super Prime]])</f>
        <v>5.4050619250498632E-3</v>
      </c>
      <c r="D80" s="65">
        <f>D65/SUM(Table4254[[Deep Subprime]:[Super Prime]])</f>
        <v>9.0506706941338739E-3</v>
      </c>
      <c r="E80" s="65">
        <f>E65/SUM(Table4254[[Deep Subprime]:[Super Prime]])</f>
        <v>1.2885705836529482E-2</v>
      </c>
      <c r="F80" s="65">
        <f>F65/SUM(Table4254[[Deep Subprime]:[Super Prime]])</f>
        <v>1.462935967831595E-2</v>
      </c>
      <c r="G80" s="65">
        <f>G65/SUM(Table4254[[Deep Subprime]:[Super Prime]])</f>
        <v>9.323937319914934E-3</v>
      </c>
    </row>
    <row r="81" spans="1:13" x14ac:dyDescent="0.2">
      <c r="A81" t="s">
        <v>29</v>
      </c>
      <c r="B81" t="s">
        <v>37</v>
      </c>
      <c r="C81" s="65">
        <f>C66/SUM(Table4254[[Deep Subprime]:[Super Prime]])</f>
        <v>2.6714639364239636E-4</v>
      </c>
      <c r="D81" s="65">
        <f>D66/SUM(Table4254[[Deep Subprime]:[Super Prime]])</f>
        <v>9.2097645669779113E-4</v>
      </c>
      <c r="E81" s="65">
        <f>E66/SUM(Table4254[[Deep Subprime]:[Super Prime]])</f>
        <v>1.7832608943615096E-3</v>
      </c>
      <c r="F81" s="65">
        <f>F66/SUM(Table4254[[Deep Subprime]:[Super Prime]])</f>
        <v>3.7399622672544095E-3</v>
      </c>
      <c r="G81" s="65">
        <f>G66/SUM(Table4254[[Deep Subprime]:[Super Prime]])</f>
        <v>5.4572883853880759E-3</v>
      </c>
    </row>
    <row r="82" spans="1:13" x14ac:dyDescent="0.2">
      <c r="A82" t="s">
        <v>30</v>
      </c>
      <c r="B82" t="s">
        <v>35</v>
      </c>
      <c r="C82" s="65">
        <f>C67/SUM(Table4254[[Deep Subprime]:[Super Prime]])</f>
        <v>5.6857524404202192E-2</v>
      </c>
      <c r="D82" s="65">
        <f>D67/SUM(Table4254[[Deep Subprime]:[Super Prime]])</f>
        <v>4.7161270506151778E-2</v>
      </c>
      <c r="E82" s="65">
        <f>E67/SUM(Table4254[[Deep Subprime]:[Super Prime]])</f>
        <v>2.1402432646283363E-2</v>
      </c>
      <c r="F82" s="65">
        <f>F67/SUM(Table4254[[Deep Subprime]:[Super Prime]])</f>
        <v>1.5361148257177411E-2</v>
      </c>
      <c r="G82" s="65">
        <f>G67/SUM(Table4254[[Deep Subprime]:[Super Prime]])</f>
        <v>5.433872094580198E-3</v>
      </c>
    </row>
    <row r="83" spans="1:13" x14ac:dyDescent="0.2">
      <c r="A83" t="s">
        <v>30</v>
      </c>
      <c r="B83" t="s">
        <v>36</v>
      </c>
      <c r="C83" s="65">
        <f>C68/SUM(Table4254[[Deep Subprime]:[Super Prime]])</f>
        <v>1.3581206395052569E-2</v>
      </c>
      <c r="D83" s="65">
        <f>D68/SUM(Table4254[[Deep Subprime]:[Super Prime]])</f>
        <v>2.2741465022077776E-2</v>
      </c>
      <c r="E83" s="65">
        <f>E68/SUM(Table4254[[Deep Subprime]:[Super Prime]])</f>
        <v>3.237769204840811E-2</v>
      </c>
      <c r="F83" s="65">
        <f>F68/SUM(Table4254[[Deep Subprime]:[Super Prime]])</f>
        <v>3.6758941150676253E-2</v>
      </c>
      <c r="G83" s="65">
        <f>G68/SUM(Table4254[[Deep Subprime]:[Super Prime]])</f>
        <v>2.3428097385790787E-2</v>
      </c>
    </row>
    <row r="84" spans="1:13" x14ac:dyDescent="0.2">
      <c r="A84" t="s">
        <v>30</v>
      </c>
      <c r="B84" t="s">
        <v>37</v>
      </c>
      <c r="C84" s="65">
        <f>C69/SUM(Table4254[[Deep Subprime]:[Super Prime]])</f>
        <v>2.0137624841649925E-3</v>
      </c>
      <c r="D84" s="65">
        <f>D69/SUM(Table4254[[Deep Subprime]:[Super Prime]])</f>
        <v>6.9423652403102698E-3</v>
      </c>
      <c r="E84" s="65">
        <f>E69/SUM(Table4254[[Deep Subprime]:[Super Prime]])</f>
        <v>1.3442307191878991E-2</v>
      </c>
      <c r="F84" s="65">
        <f>F69/SUM(Table4254[[Deep Subprime]:[Super Prime]])</f>
        <v>2.8192017130768934E-2</v>
      </c>
      <c r="G84" s="65">
        <f>G69/SUM(Table4254[[Deep Subprime]:[Super Prime]])</f>
        <v>4.1137304778572858E-2</v>
      </c>
    </row>
    <row r="85" spans="1:13" x14ac:dyDescent="0.2">
      <c r="A85" t="s">
        <v>32</v>
      </c>
      <c r="B85" t="s">
        <v>35</v>
      </c>
      <c r="C85" s="65">
        <f>C70/SUM(Table4254[[Deep Subprime]:[Super Prime]])</f>
        <v>2.0352400575622542E-2</v>
      </c>
      <c r="D85" s="65">
        <f>D70/SUM(Table4254[[Deep Subprime]:[Super Prime]])</f>
        <v>1.6881583907398443E-2</v>
      </c>
      <c r="E85" s="65">
        <f>E70/SUM(Table4254[[Deep Subprime]:[Super Prime]])</f>
        <v>7.6610947640510857E-3</v>
      </c>
      <c r="F85" s="65">
        <f>F70/SUM(Table4254[[Deep Subprime]:[Super Prime]])</f>
        <v>5.4985904839798955E-3</v>
      </c>
      <c r="G85" s="65">
        <f>G70/SUM(Table4254[[Deep Subprime]:[Super Prime]])</f>
        <v>1.9450783815241123E-3</v>
      </c>
    </row>
    <row r="86" spans="1:13" x14ac:dyDescent="0.2">
      <c r="A86" t="s">
        <v>32</v>
      </c>
      <c r="B86" t="s">
        <v>36</v>
      </c>
      <c r="C86" s="65">
        <f>C71/SUM(Table4254[[Deep Subprime]:[Super Prime]])</f>
        <v>8.9126628745457796E-3</v>
      </c>
      <c r="D86" s="65">
        <f>D71/SUM(Table4254[[Deep Subprime]:[Super Prime]])</f>
        <v>1.4924080020526743E-2</v>
      </c>
      <c r="E86" s="65">
        <f>E71/SUM(Table4254[[Deep Subprime]:[Super Prime]])</f>
        <v>2.1247851294598205E-2</v>
      </c>
      <c r="F86" s="65">
        <f>F71/SUM(Table4254[[Deep Subprime]:[Super Prime]])</f>
        <v>2.4123044784931064E-2</v>
      </c>
      <c r="G86" s="65">
        <f>G71/SUM(Table4254[[Deep Subprime]:[Super Prime]])</f>
        <v>1.5374682315972004E-2</v>
      </c>
    </row>
    <row r="87" spans="1:13" x14ac:dyDescent="0.2">
      <c r="A87" t="s">
        <v>32</v>
      </c>
      <c r="B87" t="s">
        <v>37</v>
      </c>
      <c r="C87" s="65">
        <f>C72/SUM(Table4254[[Deep Subprime]:[Super Prime]])</f>
        <v>1.4416702510831653E-3</v>
      </c>
      <c r="D87" s="65">
        <f>D72/SUM(Table4254[[Deep Subprime]:[Super Prime]])</f>
        <v>4.9701002565152152E-3</v>
      </c>
      <c r="E87" s="65">
        <f>E72/SUM(Table4254[[Deep Subprime]:[Super Prime]])</f>
        <v>9.6234657944225688E-3</v>
      </c>
      <c r="F87" s="65">
        <f>F72/SUM(Table4254[[Deep Subprime]:[Super Prime]])</f>
        <v>2.0182912699513032E-2</v>
      </c>
      <c r="G87" s="65">
        <f>G72/SUM(Table4254[[Deep Subprime]:[Super Prime]])</f>
        <v>2.9450557836566933E-2</v>
      </c>
    </row>
    <row r="88" spans="1:13" x14ac:dyDescent="0.2">
      <c r="A88" t="s">
        <v>51</v>
      </c>
      <c r="B88" t="s">
        <v>35</v>
      </c>
      <c r="C88" s="65">
        <f>C73/SUM(Table4254[[Deep Subprime]:[Super Prime]])</f>
        <v>2.0763942965594417E-2</v>
      </c>
      <c r="D88" s="65">
        <f>D73/SUM(Table4254[[Deep Subprime]:[Super Prime]])</f>
        <v>1.7222943510750738E-2</v>
      </c>
      <c r="E88" s="65">
        <f>E73/SUM(Table4254[[Deep Subprime]:[Super Prime]])</f>
        <v>7.8160084430190097E-3</v>
      </c>
      <c r="F88" s="65">
        <f>F73/SUM(Table4254[[Deep Subprime]:[Super Prime]])</f>
        <v>5.6097765360058243E-3</v>
      </c>
      <c r="G88" s="65">
        <f>G73/SUM(Table4254[[Deep Subprime]:[Super Prime]])</f>
        <v>1.9844094767843858E-3</v>
      </c>
      <c r="H88" s="61"/>
      <c r="I88" s="64"/>
    </row>
    <row r="89" spans="1:13" x14ac:dyDescent="0.2">
      <c r="A89" t="s">
        <v>51</v>
      </c>
      <c r="B89" t="s">
        <v>36</v>
      </c>
      <c r="C89" s="65">
        <f>C74/SUM(Table4254[[Deep Subprime]:[Super Prime]])</f>
        <v>4.133129225871288E-3</v>
      </c>
      <c r="D89" s="65">
        <f>D74/SUM(Table4254[[Deep Subprime]:[Super Prime]])</f>
        <v>6.920844215733273E-3</v>
      </c>
      <c r="E89" s="65">
        <f>E74/SUM(Table4254[[Deep Subprime]:[Super Prime]])</f>
        <v>9.8534092906713416E-3</v>
      </c>
      <c r="F89" s="65">
        <f>F74/SUM(Table4254[[Deep Subprime]:[Super Prime]])</f>
        <v>1.1186742146654098E-2</v>
      </c>
      <c r="G89" s="65">
        <f>G74/SUM(Table4254[[Deep Subprime]:[Super Prime]])</f>
        <v>7.1298050552449331E-3</v>
      </c>
    </row>
    <row r="90" spans="1:13" ht="17" x14ac:dyDescent="0.2">
      <c r="A90" s="62" t="s">
        <v>51</v>
      </c>
      <c r="B90" t="s">
        <v>37</v>
      </c>
      <c r="C90" s="65">
        <f>C75/SUM(Table4254[[Deep Subprime]:[Super Prime]])</f>
        <v>4.9027400571999248E-4</v>
      </c>
      <c r="D90" s="65">
        <f>D75/SUM(Table4254[[Deep Subprime]:[Super Prime]])</f>
        <v>1.6901999328632258E-3</v>
      </c>
      <c r="E90" s="65">
        <f>E75/SUM(Table4254[[Deep Subprime]:[Super Prime]])</f>
        <v>3.2726867467758459E-3</v>
      </c>
      <c r="F90" s="65">
        <f>F75/SUM(Table4254[[Deep Subprime]:[Super Prime]])</f>
        <v>6.8636759681020435E-3</v>
      </c>
      <c r="G90" s="65">
        <f>G75/SUM(Table4254[[Deep Subprime]:[Super Prime]])</f>
        <v>1.0015357499659646E-2</v>
      </c>
    </row>
    <row r="91" spans="1:13" ht="20" customHeight="1" x14ac:dyDescent="0.2">
      <c r="A91" s="62"/>
    </row>
    <row r="92" spans="1:13" ht="39" customHeight="1" x14ac:dyDescent="0.2">
      <c r="A92" s="62" t="s">
        <v>73</v>
      </c>
      <c r="J92" s="62" t="s">
        <v>89</v>
      </c>
      <c r="K92" s="62"/>
      <c r="L92" s="62"/>
      <c r="M92" s="62"/>
    </row>
    <row r="93" spans="1:13" x14ac:dyDescent="0.2">
      <c r="A93" t="s">
        <v>0</v>
      </c>
      <c r="B93" t="s">
        <v>34</v>
      </c>
      <c r="C93" t="s">
        <v>58</v>
      </c>
      <c r="D93" t="s">
        <v>83</v>
      </c>
      <c r="E93" t="s">
        <v>60</v>
      </c>
      <c r="F93" t="s">
        <v>61</v>
      </c>
      <c r="G93" t="s">
        <v>62</v>
      </c>
      <c r="J93" t="s">
        <v>0</v>
      </c>
      <c r="K93" t="s">
        <v>35</v>
      </c>
      <c r="L93" t="s">
        <v>36</v>
      </c>
      <c r="M93" t="s">
        <v>37</v>
      </c>
    </row>
    <row r="94" spans="1:13" x14ac:dyDescent="0.2">
      <c r="A94" t="s">
        <v>29</v>
      </c>
      <c r="B94" t="s">
        <v>35</v>
      </c>
      <c r="C94" s="61">
        <f>'Default Rates'!$D$11 * INDEX($K$94:$M$97,
             MATCH($A94,$J$94:$J$97,0),
             MATCH($B94,$K$93:$M$93,0))</f>
        <v>3.8500000000000006E-2</v>
      </c>
      <c r="D94" s="61">
        <f>'Default Rates'!$D$12 * INDEX($K$94:$M$97,
             MATCH($A94,$J$94:$J$97,0),
             MATCH($B94,$K$93:$M$93,0))</f>
        <v>1.9800000000000002E-2</v>
      </c>
      <c r="E94" s="61">
        <f>'Default Rates'!$D$13 * INDEX($K$94:$M$97,
             MATCH($A94,$J$94:$J$97,0),
             MATCH($B94,$K$93:$M$93,0))</f>
        <v>1.1000000000000001E-2</v>
      </c>
      <c r="F94" s="61">
        <f>'Default Rates'!$D$14 * INDEX($K$94:$M$97,
             MATCH($A94,$J$94:$J$97,0),
             MATCH($B94,$K$93:$M$93,0))</f>
        <v>9.9000000000000008E-3</v>
      </c>
      <c r="G94" s="61">
        <f>'Default Rates'!$D$15 * INDEX($K$94:$M$97,
             MATCH($A94,$J$94:$J$97,0),
             MATCH($B94,$K$93:$M$93,0))</f>
        <v>8.8000000000000005E-3</v>
      </c>
      <c r="J94" t="s">
        <v>29</v>
      </c>
      <c r="K94">
        <v>1.1000000000000001</v>
      </c>
      <c r="L94">
        <v>1.08</v>
      </c>
      <c r="M94">
        <v>1</v>
      </c>
    </row>
    <row r="95" spans="1:13" x14ac:dyDescent="0.2">
      <c r="A95" t="s">
        <v>29</v>
      </c>
      <c r="B95" t="s">
        <v>36</v>
      </c>
      <c r="C95" s="61">
        <f>'Default Rates'!$D$11 * INDEX($K$94:$M$97,
             MATCH($A95,$J$94:$J$97,0),
             MATCH($B95,$K$93:$M$93,0))</f>
        <v>3.7800000000000007E-2</v>
      </c>
      <c r="D95" s="61">
        <f>'Default Rates'!$D$12 * INDEX($K$94:$M$97,
             MATCH($A95,$J$94:$J$97,0),
             MATCH($B95,$K$93:$M$93,0))</f>
        <v>1.9439999999999999E-2</v>
      </c>
      <c r="E95" s="61">
        <f>'Default Rates'!$D$13 * INDEX($K$94:$M$97,
             MATCH($A95,$J$94:$J$97,0),
             MATCH($B95,$K$93:$M$93,0))</f>
        <v>1.0800000000000001E-2</v>
      </c>
      <c r="F95" s="61">
        <f>'Default Rates'!$D$14 * INDEX($K$94:$M$97,
             MATCH($A95,$J$94:$J$97,0),
             MATCH($B95,$K$93:$M$93,0))</f>
        <v>9.7199999999999995E-3</v>
      </c>
      <c r="G95" s="61">
        <f>'Default Rates'!$D$15 * INDEX($K$94:$M$97,
             MATCH($A95,$J$94:$J$97,0),
             MATCH($B95,$K$93:$M$93,0))</f>
        <v>8.6400000000000001E-3</v>
      </c>
      <c r="J95" t="s">
        <v>30</v>
      </c>
      <c r="K95">
        <v>1.1000000000000001</v>
      </c>
      <c r="L95" s="66">
        <v>1.04</v>
      </c>
      <c r="M95">
        <v>1</v>
      </c>
    </row>
    <row r="96" spans="1:13" x14ac:dyDescent="0.2">
      <c r="A96" t="s">
        <v>29</v>
      </c>
      <c r="B96" t="s">
        <v>37</v>
      </c>
      <c r="C96" s="61">
        <f>'Default Rates'!$D$11 * INDEX($K$94:$M$97,
             MATCH($A96,$J$94:$J$97,0),
             MATCH($B96,$K$93:$M$93,0))</f>
        <v>3.5000000000000003E-2</v>
      </c>
      <c r="D96" s="61">
        <f>'Default Rates'!$D$12 * INDEX($K$94:$M$97,
             MATCH($A96,$J$94:$J$97,0),
             MATCH($B96,$K$93:$M$93,0))</f>
        <v>1.7999999999999999E-2</v>
      </c>
      <c r="E96" s="61">
        <f>'Default Rates'!$D$13 * INDEX($K$94:$M$97,
             MATCH($A96,$J$94:$J$97,0),
             MATCH($B96,$K$93:$M$93,0))</f>
        <v>0.01</v>
      </c>
      <c r="F96" s="61">
        <f>'Default Rates'!$D$14 * INDEX($K$94:$M$97,
             MATCH($A96,$J$94:$J$97,0),
             MATCH($B96,$K$93:$M$93,0))</f>
        <v>8.9999999999999993E-3</v>
      </c>
      <c r="G96" s="61">
        <f>'Default Rates'!$D$15 * INDEX($K$94:$M$97,
             MATCH($A96,$J$94:$J$97,0),
             MATCH($B96,$K$93:$M$93,0))</f>
        <v>8.0000000000000002E-3</v>
      </c>
      <c r="J96" t="s">
        <v>32</v>
      </c>
      <c r="K96">
        <v>1</v>
      </c>
      <c r="L96">
        <v>1</v>
      </c>
      <c r="M96">
        <v>1</v>
      </c>
    </row>
    <row r="97" spans="1:13" x14ac:dyDescent="0.2">
      <c r="A97" t="s">
        <v>30</v>
      </c>
      <c r="B97" t="s">
        <v>35</v>
      </c>
      <c r="C97" s="61">
        <f>'Default Rates'!$D$11 * INDEX($K$94:$M$97,
             MATCH($A97,$J$94:$J$97,0),
             MATCH($B97,$K$93:$M$93,0))</f>
        <v>3.8500000000000006E-2</v>
      </c>
      <c r="D97" s="61">
        <f>'Default Rates'!$D$12 * INDEX($K$94:$M$97,
             MATCH($A97,$J$94:$J$97,0),
             MATCH($B97,$K$93:$M$93,0))</f>
        <v>1.9800000000000002E-2</v>
      </c>
      <c r="E97" s="61">
        <f>'Default Rates'!$D$13 * INDEX($K$94:$M$97,
             MATCH($A97,$J$94:$J$97,0),
             MATCH($B97,$K$93:$M$93,0))</f>
        <v>1.1000000000000001E-2</v>
      </c>
      <c r="F97" s="61">
        <f>'Default Rates'!$D$14 * INDEX($K$94:$M$97,
             MATCH($A97,$J$94:$J$97,0),
             MATCH($B97,$K$93:$M$93,0))</f>
        <v>9.9000000000000008E-3</v>
      </c>
      <c r="G97" s="61">
        <f>'Default Rates'!$D$15 * INDEX($K$94:$M$97,
             MATCH($A97,$J$94:$J$97,0),
             MATCH($B97,$K$93:$M$93,0))</f>
        <v>8.8000000000000005E-3</v>
      </c>
      <c r="J97" t="s">
        <v>51</v>
      </c>
      <c r="K97">
        <v>1.05</v>
      </c>
      <c r="L97">
        <v>1</v>
      </c>
      <c r="M97">
        <v>1</v>
      </c>
    </row>
    <row r="98" spans="1:13" x14ac:dyDescent="0.2">
      <c r="A98" t="s">
        <v>30</v>
      </c>
      <c r="B98" t="s">
        <v>36</v>
      </c>
      <c r="C98" s="61">
        <f>'Default Rates'!$D$11 * INDEX($K$94:$M$97,
             MATCH($A98,$J$94:$J$97,0),
             MATCH($B98,$K$93:$M$93,0))</f>
        <v>3.6400000000000002E-2</v>
      </c>
      <c r="D98" s="61">
        <f>'Default Rates'!$D$12 * INDEX($K$94:$M$97,
             MATCH($A98,$J$94:$J$97,0),
             MATCH($B98,$K$93:$M$93,0))</f>
        <v>1.8720000000000001E-2</v>
      </c>
      <c r="E98" s="61">
        <f>'Default Rates'!$D$13 * INDEX($K$94:$M$97,
             MATCH($A98,$J$94:$J$97,0),
             MATCH($B98,$K$93:$M$93,0))</f>
        <v>1.0400000000000001E-2</v>
      </c>
      <c r="F98" s="61">
        <f>'Default Rates'!$D$14 * INDEX($K$94:$M$97,
             MATCH($A98,$J$94:$J$97,0),
             MATCH($B98,$K$93:$M$93,0))</f>
        <v>9.3600000000000003E-3</v>
      </c>
      <c r="G98" s="61">
        <f>'Default Rates'!$D$15 * INDEX($K$94:$M$97,
             MATCH($A98,$J$94:$J$97,0),
             MATCH($B98,$K$93:$M$93,0))</f>
        <v>8.320000000000001E-3</v>
      </c>
    </row>
    <row r="99" spans="1:13" x14ac:dyDescent="0.2">
      <c r="A99" t="s">
        <v>30</v>
      </c>
      <c r="B99" t="s">
        <v>37</v>
      </c>
      <c r="C99" s="61">
        <f>'Default Rates'!$D$11 * INDEX($K$94:$M$97,
             MATCH($A99,$J$94:$J$97,0),
             MATCH($B99,$K$93:$M$93,0))</f>
        <v>3.5000000000000003E-2</v>
      </c>
      <c r="D99" s="61">
        <f>'Default Rates'!$D$12 * INDEX($K$94:$M$97,
             MATCH($A99,$J$94:$J$97,0),
             MATCH($B99,$K$93:$M$93,0))</f>
        <v>1.7999999999999999E-2</v>
      </c>
      <c r="E99" s="61">
        <f>'Default Rates'!$D$13 * INDEX($K$94:$M$97,
             MATCH($A99,$J$94:$J$97,0),
             MATCH($B99,$K$93:$M$93,0))</f>
        <v>0.01</v>
      </c>
      <c r="F99" s="61">
        <f>'Default Rates'!$D$14 * INDEX($K$94:$M$97,
             MATCH($A99,$J$94:$J$97,0),
             MATCH($B99,$K$93:$M$93,0))</f>
        <v>8.9999999999999993E-3</v>
      </c>
      <c r="G99" s="61">
        <f>'Default Rates'!$D$15 * INDEX($K$94:$M$97,
             MATCH($A99,$J$94:$J$97,0),
             MATCH($B99,$K$93:$M$93,0))</f>
        <v>8.0000000000000002E-3</v>
      </c>
    </row>
    <row r="100" spans="1:13" x14ac:dyDescent="0.2">
      <c r="A100" t="s">
        <v>32</v>
      </c>
      <c r="B100" t="s">
        <v>35</v>
      </c>
      <c r="C100" s="61">
        <f>'Default Rates'!$D$11 * INDEX($K$94:$M$97,
             MATCH($A100,$J$94:$J$97,0),
             MATCH($B100,$K$93:$M$93,0))</f>
        <v>3.5000000000000003E-2</v>
      </c>
      <c r="D100" s="61">
        <f>'Default Rates'!$D$12 * INDEX($K$94:$M$97,
             MATCH($A100,$J$94:$J$97,0),
             MATCH($B100,$K$93:$M$93,0))</f>
        <v>1.7999999999999999E-2</v>
      </c>
      <c r="E100" s="61">
        <f>'Default Rates'!$D$13 * INDEX($K$94:$M$97,
             MATCH($A100,$J$94:$J$97,0),
             MATCH($B100,$K$93:$M$93,0))</f>
        <v>0.01</v>
      </c>
      <c r="F100" s="61">
        <f>'Default Rates'!$D$14 * INDEX($K$94:$M$97,
             MATCH($A100,$J$94:$J$97,0),
             MATCH($B100,$K$93:$M$93,0))</f>
        <v>8.9999999999999993E-3</v>
      </c>
      <c r="G100" s="61">
        <f>'Default Rates'!$D$15 * INDEX($K$94:$M$97,
             MATCH($A100,$J$94:$J$97,0),
             MATCH($B100,$K$93:$M$93,0))</f>
        <v>8.0000000000000002E-3</v>
      </c>
    </row>
    <row r="101" spans="1:13" x14ac:dyDescent="0.2">
      <c r="A101" t="s">
        <v>32</v>
      </c>
      <c r="B101" t="s">
        <v>36</v>
      </c>
      <c r="C101" s="61">
        <f>'Default Rates'!$D$11 * INDEX($K$94:$M$97,
             MATCH($A101,$J$94:$J$97,0),
             MATCH($B101,$K$93:$M$93,0))</f>
        <v>3.5000000000000003E-2</v>
      </c>
      <c r="D101" s="61">
        <f>'Default Rates'!$D$12 * INDEX($K$94:$M$97,
             MATCH($A101,$J$94:$J$97,0),
             MATCH($B101,$K$93:$M$93,0))</f>
        <v>1.7999999999999999E-2</v>
      </c>
      <c r="E101" s="61">
        <f>'Default Rates'!$D$13 * INDEX($K$94:$M$97,
             MATCH($A101,$J$94:$J$97,0),
             MATCH($B101,$K$93:$M$93,0))</f>
        <v>0.01</v>
      </c>
      <c r="F101" s="61">
        <f>'Default Rates'!$D$14 * INDEX($K$94:$M$97,
             MATCH($A101,$J$94:$J$97,0),
             MATCH($B101,$K$93:$M$93,0))</f>
        <v>8.9999999999999993E-3</v>
      </c>
      <c r="G101" s="61">
        <f>'Default Rates'!$D$15 * INDEX($K$94:$M$97,
             MATCH($A101,$J$94:$J$97,0),
             MATCH($B101,$K$93:$M$93,0))</f>
        <v>8.0000000000000002E-3</v>
      </c>
    </row>
    <row r="102" spans="1:13" x14ac:dyDescent="0.2">
      <c r="A102" t="s">
        <v>32</v>
      </c>
      <c r="B102" t="s">
        <v>37</v>
      </c>
      <c r="C102" s="61">
        <f>'Default Rates'!$D$11 * INDEX($K$94:$M$97,
             MATCH($A102,$J$94:$J$97,0),
             MATCH($B102,$K$93:$M$93,0))</f>
        <v>3.5000000000000003E-2</v>
      </c>
      <c r="D102" s="61">
        <f>'Default Rates'!$D$12 * INDEX($K$94:$M$97,
             MATCH($A102,$J$94:$J$97,0),
             MATCH($B102,$K$93:$M$93,0))</f>
        <v>1.7999999999999999E-2</v>
      </c>
      <c r="E102" s="61">
        <f>'Default Rates'!$D$13 * INDEX($K$94:$M$97,
             MATCH($A102,$J$94:$J$97,0),
             MATCH($B102,$K$93:$M$93,0))</f>
        <v>0.01</v>
      </c>
      <c r="F102" s="61">
        <f>'Default Rates'!$D$14 * INDEX($K$94:$M$97,
             MATCH($A102,$J$94:$J$97,0),
             MATCH($B102,$K$93:$M$93,0))</f>
        <v>8.9999999999999993E-3</v>
      </c>
      <c r="G102" s="61">
        <f>'Default Rates'!$D$15 * INDEX($K$94:$M$97,
             MATCH($A102,$J$94:$J$97,0),
             MATCH($B102,$K$93:$M$93,0))</f>
        <v>8.0000000000000002E-3</v>
      </c>
    </row>
    <row r="103" spans="1:13" x14ac:dyDescent="0.2">
      <c r="A103" t="s">
        <v>51</v>
      </c>
      <c r="B103" t="s">
        <v>35</v>
      </c>
      <c r="C103" s="61">
        <f>'Default Rates'!$D$11 * INDEX($K$94:$M$97,
             MATCH($A103,$J$94:$J$97,0),
             MATCH($B103,$K$93:$M$93,0))</f>
        <v>3.6750000000000005E-2</v>
      </c>
      <c r="D103" s="61">
        <f>'Default Rates'!$D$12 * INDEX($K$94:$M$97,
             MATCH($A103,$J$94:$J$97,0),
             MATCH($B103,$K$93:$M$93,0))</f>
        <v>1.89E-2</v>
      </c>
      <c r="E103" s="61">
        <f>'Default Rates'!$D$13 * INDEX($K$94:$M$97,
             MATCH($A103,$J$94:$J$97,0),
             MATCH($B103,$K$93:$M$93,0))</f>
        <v>1.0500000000000001E-2</v>
      </c>
      <c r="F103" s="61">
        <f>'Default Rates'!$D$14 * INDEX($K$94:$M$97,
             MATCH($A103,$J$94:$J$97,0),
             MATCH($B103,$K$93:$M$93,0))</f>
        <v>9.4500000000000001E-3</v>
      </c>
      <c r="G103" s="61">
        <f>'Default Rates'!$D$15 * INDEX($K$94:$M$97,
             MATCH($A103,$J$94:$J$97,0),
             MATCH($B103,$K$93:$M$93,0))</f>
        <v>8.4000000000000012E-3</v>
      </c>
    </row>
    <row r="104" spans="1:13" x14ac:dyDescent="0.2">
      <c r="A104" t="s">
        <v>51</v>
      </c>
      <c r="B104" t="s">
        <v>36</v>
      </c>
      <c r="C104" s="61">
        <f>'Default Rates'!$D$11 * INDEX($K$94:$M$97,
             MATCH($A104,$J$94:$J$97,0),
             MATCH($B104,$K$93:$M$93,0))</f>
        <v>3.5000000000000003E-2</v>
      </c>
      <c r="D104" s="61">
        <f>'Default Rates'!$D$12 * INDEX($K$94:$M$97,
             MATCH($A104,$J$94:$J$97,0),
             MATCH($B104,$K$93:$M$93,0))</f>
        <v>1.7999999999999999E-2</v>
      </c>
      <c r="E104" s="61">
        <f>'Default Rates'!$D$13 * INDEX($K$94:$M$97,
             MATCH($A104,$J$94:$J$97,0),
             MATCH($B104,$K$93:$M$93,0))</f>
        <v>0.01</v>
      </c>
      <c r="F104" s="61">
        <f>'Default Rates'!$D$14 * INDEX($K$94:$M$97,
             MATCH($A104,$J$94:$J$97,0),
             MATCH($B104,$K$93:$M$93,0))</f>
        <v>8.9999999999999993E-3</v>
      </c>
      <c r="G104" s="61">
        <f>'Default Rates'!$D$15 * INDEX($K$94:$M$97,
             MATCH($A104,$J$94:$J$97,0),
             MATCH($B104,$K$93:$M$93,0))</f>
        <v>8.0000000000000002E-3</v>
      </c>
    </row>
    <row r="105" spans="1:13" x14ac:dyDescent="0.2">
      <c r="A105" t="s">
        <v>51</v>
      </c>
      <c r="B105" t="s">
        <v>37</v>
      </c>
      <c r="C105" s="61">
        <f>'Default Rates'!$D$11 * INDEX($K$94:$M$97,
             MATCH($A105,$J$94:$J$97,0),
             MATCH($B105,$K$93:$M$93,0))</f>
        <v>3.5000000000000003E-2</v>
      </c>
      <c r="D105" s="61">
        <f>'Default Rates'!$D$12 * INDEX($K$94:$M$97,
             MATCH($A105,$J$94:$J$97,0),
             MATCH($B105,$K$93:$M$93,0))</f>
        <v>1.7999999999999999E-2</v>
      </c>
      <c r="E105" s="61">
        <f>'Default Rates'!$D$13 * INDEX($K$94:$M$97,
             MATCH($A105,$J$94:$J$97,0),
             MATCH($B105,$K$93:$M$93,0))</f>
        <v>0.01</v>
      </c>
      <c r="F105" s="61">
        <f>'Default Rates'!$D$14 * INDEX($K$94:$M$97,
             MATCH($A105,$J$94:$J$97,0),
             MATCH($B105,$K$93:$M$93,0))</f>
        <v>8.9999999999999993E-3</v>
      </c>
      <c r="G105" s="61">
        <f>'Default Rates'!$D$15 * INDEX($K$94:$M$97,
             MATCH($A105,$J$94:$J$97,0),
             MATCH($B105,$K$93:$M$93,0))</f>
        <v>8.0000000000000002E-3</v>
      </c>
    </row>
    <row r="106" spans="1:13" ht="1" hidden="1" x14ac:dyDescent="0.2">
      <c r="J106" t="s">
        <v>57</v>
      </c>
      <c r="K106" s="82" t="s">
        <v>94</v>
      </c>
      <c r="L106" t="s">
        <v>98</v>
      </c>
      <c r="M106" t="s">
        <v>100</v>
      </c>
    </row>
    <row r="107" spans="1:13" ht="1" hidden="1" x14ac:dyDescent="0.2">
      <c r="C107" s="61"/>
      <c r="J107" t="s">
        <v>58</v>
      </c>
      <c r="K107" s="81">
        <v>0.46879999999999999</v>
      </c>
      <c r="L107" s="10">
        <f>Table54[[#This Row],[Loan Originations]]*'User Segmentation'!$I$47</f>
        <v>157.42304000000001</v>
      </c>
      <c r="M107" s="10">
        <f>Table54[[#This Row],[Loan Count (in M)]]/SUM(Table4254[Deep Subprime])</f>
        <v>13.144810727969348</v>
      </c>
    </row>
    <row r="108" spans="1:13" ht="1" hidden="1" x14ac:dyDescent="0.2">
      <c r="A108" s="65" t="s">
        <v>90</v>
      </c>
      <c r="C108" t="str" cm="1">
        <f t="array" ref="C108:G111">TRANSPOSE(Table54[])</f>
        <v>Deep Subprime</v>
      </c>
      <c r="D108" t="str">
        <v>Subprime</v>
      </c>
      <c r="E108" t="str">
        <v>Near Prime</v>
      </c>
      <c r="F108" t="str">
        <v>Prime</v>
      </c>
      <c r="G108" t="str">
        <v>Super Prime</v>
      </c>
      <c r="J108" t="s">
        <v>59</v>
      </c>
      <c r="K108" s="81">
        <v>0.16669999999999999</v>
      </c>
      <c r="L108" s="10">
        <f>Table54[[#This Row],[Loan Originations]]*'User Segmentation'!$I$47</f>
        <v>55.97786</v>
      </c>
      <c r="M108" s="10">
        <f>Table54[[#This Row],[Loan Count (in M)]]/SUM(Table4254[Sub Prime])</f>
        <v>4.7048192297726432</v>
      </c>
    </row>
    <row r="109" spans="1:13" ht="1" hidden="1" x14ac:dyDescent="0.2">
      <c r="A109" s="65">
        <f>SUMPRODUCT(C94:G105,Table41[[Deep Subprime]:[Super Prime]])</f>
        <v>1.8198618742484112E-2</v>
      </c>
      <c r="C109" s="65">
        <v>0.46879999999999999</v>
      </c>
      <c r="D109" s="65">
        <v>0.16669999999999999</v>
      </c>
      <c r="E109" s="65">
        <v>0.1323</v>
      </c>
      <c r="F109" s="65">
        <v>0.13750000000000001</v>
      </c>
      <c r="G109" s="65">
        <v>9.4799999999999995E-2</v>
      </c>
      <c r="J109" t="s">
        <v>60</v>
      </c>
      <c r="K109" s="81">
        <v>0.1323</v>
      </c>
      <c r="L109" s="10">
        <f>Table54[[#This Row],[Loan Originations]]*'User Segmentation'!$I$47</f>
        <v>44.426340000000003</v>
      </c>
      <c r="M109" s="10">
        <f>Table54[[#This Row],[Loan Count (in M)]]/SUM(Table4254[Near Prime])</f>
        <v>4.8331967497937924</v>
      </c>
    </row>
    <row r="110" spans="1:13" ht="1" hidden="1" customHeight="1" x14ac:dyDescent="0.2">
      <c r="C110" s="10">
        <v>157.42304000000001</v>
      </c>
      <c r="D110" s="10">
        <v>55.97786</v>
      </c>
      <c r="E110" s="10">
        <v>44.426340000000003</v>
      </c>
      <c r="F110" s="10">
        <v>46.172500000000007</v>
      </c>
      <c r="G110" s="10">
        <v>31.833839999999999</v>
      </c>
      <c r="J110" t="s">
        <v>61</v>
      </c>
      <c r="K110" s="81">
        <v>0.13750000000000001</v>
      </c>
      <c r="L110" s="10">
        <f>Table54[[#This Row],[Loan Originations]]*'User Segmentation'!$I$47</f>
        <v>46.172500000000007</v>
      </c>
      <c r="M110" s="10">
        <f>Table54[[#This Row],[Loan Count (in M)]]/SUM(Table4254[Prime])</f>
        <v>4.5082595235220113</v>
      </c>
    </row>
    <row r="111" spans="1:13" ht="1" hidden="1" customHeight="1" x14ac:dyDescent="0.2">
      <c r="C111">
        <v>13.144810727969348</v>
      </c>
      <c r="D111">
        <v>4.7048192297726432</v>
      </c>
      <c r="E111">
        <v>4.8331967497937924</v>
      </c>
      <c r="F111">
        <v>4.5082595235220113</v>
      </c>
      <c r="G111">
        <v>3.8575934527067526</v>
      </c>
      <c r="J111" t="s">
        <v>62</v>
      </c>
      <c r="K111" s="81">
        <v>9.4799999999999995E-2</v>
      </c>
      <c r="L111" s="10">
        <f>Table54[[#This Row],[Loan Originations]]*'User Segmentation'!$I$47</f>
        <v>31.833839999999999</v>
      </c>
      <c r="M111" s="10">
        <f>Table54[[#This Row],[Loan Count (in M)]]/SUM(Table4254[Super Prime])</f>
        <v>3.8575934527067526</v>
      </c>
    </row>
    <row r="112" spans="1:13" ht="22" customHeight="1" x14ac:dyDescent="0.2">
      <c r="K112" s="81"/>
      <c r="L112" s="10"/>
      <c r="M112" s="10"/>
    </row>
    <row r="113" spans="1:13" ht="1" hidden="1" customHeight="1" x14ac:dyDescent="0.2">
      <c r="A113" t="s">
        <v>93</v>
      </c>
      <c r="K113" s="81"/>
      <c r="L113" s="10"/>
      <c r="M113" s="10"/>
    </row>
    <row r="114" spans="1:13" ht="1" hidden="1" x14ac:dyDescent="0.2">
      <c r="A114" s="67" t="s">
        <v>0</v>
      </c>
      <c r="B114" s="71" t="s">
        <v>34</v>
      </c>
      <c r="C114" s="71" t="s">
        <v>58</v>
      </c>
      <c r="D114" s="71" t="s">
        <v>83</v>
      </c>
      <c r="E114" s="71" t="s">
        <v>60</v>
      </c>
      <c r="F114" s="71" t="s">
        <v>61</v>
      </c>
      <c r="G114" s="68" t="s">
        <v>62</v>
      </c>
    </row>
    <row r="115" spans="1:13" ht="1" hidden="1" x14ac:dyDescent="0.2">
      <c r="A115" s="69" t="s">
        <v>29</v>
      </c>
      <c r="B115" s="73" t="s">
        <v>35</v>
      </c>
      <c r="C115" s="83">
        <f>C79*'User Segmentation'!$I$47</f>
        <v>32.927067996376756</v>
      </c>
      <c r="D115" s="83">
        <f>D79*'User Segmentation'!$I$47</f>
        <v>27.311818040336767</v>
      </c>
      <c r="E115" s="83">
        <f>E79*'User Segmentation'!$I$47</f>
        <v>12.394478345947151</v>
      </c>
      <c r="F115" s="83">
        <f>F79*'User Segmentation'!$I$47</f>
        <v>8.895877519583367</v>
      </c>
      <c r="G115" s="83">
        <f>G79*'User Segmentation'!$I$47</f>
        <v>3.1468390123688321</v>
      </c>
    </row>
    <row r="116" spans="1:13" ht="1" hidden="1" x14ac:dyDescent="0.2">
      <c r="A116" s="70" t="s">
        <v>29</v>
      </c>
      <c r="B116" s="74" t="s">
        <v>36</v>
      </c>
      <c r="C116" s="83">
        <f>C80*'User Segmentation'!$I$47</f>
        <v>1.8150197944317441</v>
      </c>
      <c r="D116" s="83">
        <f>D80*'User Segmentation'!$I$47</f>
        <v>3.0392152190901549</v>
      </c>
      <c r="E116" s="83">
        <f>E80*'User Segmentation'!$I$47</f>
        <v>4.3270200199066</v>
      </c>
      <c r="F116" s="83">
        <f>F80*'User Segmentation'!$I$47</f>
        <v>4.9125389799784962</v>
      </c>
      <c r="G116" s="83">
        <f>G80*'User Segmentation'!$I$47</f>
        <v>3.1309781520274349</v>
      </c>
    </row>
    <row r="117" spans="1:13" ht="1" hidden="1" x14ac:dyDescent="0.2">
      <c r="A117" s="69" t="s">
        <v>29</v>
      </c>
      <c r="B117" s="73" t="s">
        <v>37</v>
      </c>
      <c r="C117" s="83">
        <f>C81*'User Segmentation'!$I$47</f>
        <v>8.9707758985116695E-2</v>
      </c>
      <c r="D117" s="83">
        <f>D81*'User Segmentation'!$I$47</f>
        <v>0.30926389415911826</v>
      </c>
      <c r="E117" s="83">
        <f>E81*'User Segmentation'!$I$47</f>
        <v>0.59881900832659496</v>
      </c>
      <c r="F117" s="83">
        <f>F81*'User Segmentation'!$I$47</f>
        <v>1.2558793293440307</v>
      </c>
      <c r="G117" s="83">
        <f>G81*'User Segmentation'!$I$47</f>
        <v>1.832557439813316</v>
      </c>
    </row>
    <row r="118" spans="1:13" ht="1" hidden="1" x14ac:dyDescent="0.2">
      <c r="A118" s="70" t="s">
        <v>30</v>
      </c>
      <c r="B118" s="74" t="s">
        <v>35</v>
      </c>
      <c r="C118" s="83">
        <f>C82*'User Segmentation'!$I$47</f>
        <v>19.092756694931097</v>
      </c>
      <c r="D118" s="83">
        <f>D82*'User Segmentation'!$I$47</f>
        <v>15.836754635965768</v>
      </c>
      <c r="E118" s="83">
        <f>E82*'User Segmentation'!$I$47</f>
        <v>7.1869368826219535</v>
      </c>
      <c r="F118" s="83">
        <f>F82*'User Segmentation'!$I$47</f>
        <v>5.1582735847601748</v>
      </c>
      <c r="G118" s="83">
        <f>G82*'User Segmentation'!$I$47</f>
        <v>1.8246942493600307</v>
      </c>
    </row>
    <row r="119" spans="1:13" ht="1" hidden="1" x14ac:dyDescent="0.2">
      <c r="A119" s="69" t="s">
        <v>30</v>
      </c>
      <c r="B119" s="73" t="s">
        <v>36</v>
      </c>
      <c r="C119" s="83">
        <f>C83*'User Segmentation'!$I$47</f>
        <v>4.5605691074586527</v>
      </c>
      <c r="D119" s="83">
        <f>D83*'User Segmentation'!$I$47</f>
        <v>7.6365839544137177</v>
      </c>
      <c r="E119" s="83">
        <f>E83*'User Segmentation'!$I$47</f>
        <v>10.872428989855443</v>
      </c>
      <c r="F119" s="83">
        <f>F83*'User Segmentation'!$I$47</f>
        <v>12.343652438397086</v>
      </c>
      <c r="G119" s="83">
        <f>G83*'User Segmentation'!$I$47</f>
        <v>7.8671551021485469</v>
      </c>
    </row>
    <row r="120" spans="1:13" ht="1" hidden="1" x14ac:dyDescent="0.2">
      <c r="A120" s="70" t="s">
        <v>30</v>
      </c>
      <c r="B120" s="74" t="s">
        <v>37</v>
      </c>
      <c r="C120" s="83">
        <f>C84*'User Segmentation'!$I$47</f>
        <v>0.67622144218260449</v>
      </c>
      <c r="D120" s="83">
        <f>D84*'User Segmentation'!$I$47</f>
        <v>2.3312462476961886</v>
      </c>
      <c r="E120" s="83">
        <f>E84*'User Segmentation'!$I$47</f>
        <v>4.5139267550329656</v>
      </c>
      <c r="F120" s="83">
        <f>F84*'User Segmentation'!$I$47</f>
        <v>9.4668793525122084</v>
      </c>
      <c r="G120" s="83">
        <f>G84*'User Segmentation'!$I$47</f>
        <v>13.813906944644767</v>
      </c>
    </row>
    <row r="121" spans="1:13" ht="1" hidden="1" x14ac:dyDescent="0.2">
      <c r="A121" s="69" t="s">
        <v>32</v>
      </c>
      <c r="B121" s="73" t="s">
        <v>35</v>
      </c>
      <c r="C121" s="83">
        <f>C85*'User Segmentation'!$I$47</f>
        <v>6.8343361132940501</v>
      </c>
      <c r="D121" s="83">
        <f>D85*'User Segmentation'!$I$47</f>
        <v>5.6688358761043975</v>
      </c>
      <c r="E121" s="83">
        <f>E85*'User Segmentation'!$I$47</f>
        <v>2.5725956217683548</v>
      </c>
      <c r="F121" s="83">
        <f>F85*'User Segmentation'!$I$47</f>
        <v>1.8464266845204489</v>
      </c>
      <c r="G121" s="83">
        <f>G85*'User Segmentation'!$I$47</f>
        <v>0.65315732051579689</v>
      </c>
    </row>
    <row r="122" spans="1:13" ht="1" hidden="1" x14ac:dyDescent="0.2">
      <c r="A122" s="70" t="s">
        <v>32</v>
      </c>
      <c r="B122" s="74" t="s">
        <v>36</v>
      </c>
      <c r="C122" s="83">
        <f>C86*'User Segmentation'!$I$47</f>
        <v>2.9928721932724729</v>
      </c>
      <c r="D122" s="83">
        <f>D86*'User Segmentation'!$I$47</f>
        <v>5.0115060708928807</v>
      </c>
      <c r="E122" s="83">
        <f>E86*'User Segmentation'!$I$47</f>
        <v>7.1350284647260773</v>
      </c>
      <c r="F122" s="83">
        <f>F86*'User Segmentation'!$I$47</f>
        <v>8.1005184387798526</v>
      </c>
      <c r="G122" s="83">
        <f>G86*'User Segmentation'!$I$47</f>
        <v>5.1628183217033996</v>
      </c>
    </row>
    <row r="123" spans="1:13" ht="1" hidden="1" x14ac:dyDescent="0.2">
      <c r="A123" s="69" t="s">
        <v>32</v>
      </c>
      <c r="B123" s="73" t="s">
        <v>37</v>
      </c>
      <c r="C123" s="83">
        <f>C87*'User Segmentation'!$I$47</f>
        <v>0.48411287031372691</v>
      </c>
      <c r="D123" s="83">
        <f>D87*'User Segmentation'!$I$47</f>
        <v>1.6689596661378092</v>
      </c>
      <c r="E123" s="83">
        <f>E87*'User Segmentation'!$I$47</f>
        <v>3.2315598137670989</v>
      </c>
      <c r="F123" s="83">
        <f>F87*'User Segmentation'!$I$47</f>
        <v>6.7774220844964761</v>
      </c>
      <c r="G123" s="83">
        <f>G87*'User Segmentation'!$I$47</f>
        <v>9.8894973215191762</v>
      </c>
    </row>
    <row r="124" spans="1:13" ht="1" hidden="1" x14ac:dyDescent="0.2">
      <c r="A124" s="70" t="s">
        <v>51</v>
      </c>
      <c r="B124" s="74" t="s">
        <v>35</v>
      </c>
      <c r="C124" s="83">
        <f>C88*'User Segmentation'!$I$47</f>
        <v>6.972532047846606</v>
      </c>
      <c r="D124" s="83">
        <f>D88*'User Segmentation'!$I$47</f>
        <v>5.7834644309100982</v>
      </c>
      <c r="E124" s="83">
        <f>E88*'User Segmentation'!$I$47</f>
        <v>2.6246156351657834</v>
      </c>
      <c r="F124" s="83">
        <f>F88*'User Segmentation'!$I$47</f>
        <v>1.8837629607907558</v>
      </c>
      <c r="G124" s="83">
        <f>G88*'User Segmentation'!$I$47</f>
        <v>0.66636470230419675</v>
      </c>
    </row>
    <row r="125" spans="1:13" ht="1" hidden="1" x14ac:dyDescent="0.2">
      <c r="A125" s="69" t="s">
        <v>51</v>
      </c>
      <c r="B125" s="73" t="s">
        <v>36</v>
      </c>
      <c r="C125" s="83">
        <f>C89*'User Segmentation'!$I$47</f>
        <v>1.3879047940475786</v>
      </c>
      <c r="D125" s="83">
        <f>D89*'User Segmentation'!$I$47</f>
        <v>2.3240194876432332</v>
      </c>
      <c r="E125" s="83">
        <f>E89*'User Segmentation'!$I$47</f>
        <v>3.3087748398074366</v>
      </c>
      <c r="F125" s="83">
        <f>F89*'User Segmentation'!$I$47</f>
        <v>3.7565080128464463</v>
      </c>
      <c r="G125" s="83">
        <f>G89*'User Segmentation'!$I$47</f>
        <v>2.3941885375512486</v>
      </c>
    </row>
    <row r="126" spans="1:13" ht="1" hidden="1" x14ac:dyDescent="0.2">
      <c r="A126" s="80" t="s">
        <v>51</v>
      </c>
      <c r="B126" s="74" t="s">
        <v>37</v>
      </c>
      <c r="C126" s="83">
        <f>C90*'User Segmentation'!$I$47</f>
        <v>0.16463401112077347</v>
      </c>
      <c r="D126" s="83">
        <f>D90*'User Segmentation'!$I$47</f>
        <v>0.56756913745547122</v>
      </c>
      <c r="E126" s="83">
        <f>E90*'User Segmentation'!$I$47</f>
        <v>1.098968209567329</v>
      </c>
      <c r="F126" s="83">
        <f>F90*'User Segmentation'!$I$47</f>
        <v>2.3048223900886664</v>
      </c>
      <c r="G126" s="83">
        <f>G90*'User Segmentation'!$I$47</f>
        <v>3.3631570483857094</v>
      </c>
    </row>
    <row r="127" spans="1:13" ht="1" hidden="1" x14ac:dyDescent="0.2"/>
    <row r="128" spans="1:13" ht="1" hidden="1" x14ac:dyDescent="0.2">
      <c r="C128" s="10">
        <f>SUM(C115:C126)</f>
        <v>77.997734824261187</v>
      </c>
      <c r="D128" s="10">
        <f t="shared" ref="D128:G128" si="22">SUM(D115:D126)</f>
        <v>77.489236660805588</v>
      </c>
      <c r="E128" s="10">
        <f t="shared" si="22"/>
        <v>59.865152586492783</v>
      </c>
      <c r="F128" s="10">
        <f t="shared" si="22"/>
        <v>66.702561776098008</v>
      </c>
      <c r="G128" s="10">
        <f t="shared" si="22"/>
        <v>53.745314152342445</v>
      </c>
    </row>
    <row r="129" spans="1:15" ht="34" customHeight="1" x14ac:dyDescent="0.2">
      <c r="A129" s="9" t="s">
        <v>99</v>
      </c>
      <c r="B129" s="9"/>
      <c r="C129" s="9"/>
      <c r="D129" s="9"/>
      <c r="E129" s="9"/>
      <c r="F129" s="9"/>
      <c r="G129" s="9"/>
    </row>
    <row r="130" spans="1:15" x14ac:dyDescent="0.2">
      <c r="A130" s="75" t="s">
        <v>0</v>
      </c>
      <c r="B130" s="75" t="s">
        <v>34</v>
      </c>
      <c r="C130" s="75" t="s">
        <v>58</v>
      </c>
      <c r="D130" s="75" t="s">
        <v>83</v>
      </c>
      <c r="E130" s="75" t="s">
        <v>60</v>
      </c>
      <c r="F130" s="75" t="s">
        <v>61</v>
      </c>
      <c r="G130" s="76" t="s">
        <v>62</v>
      </c>
    </row>
    <row r="131" spans="1:15" x14ac:dyDescent="0.2">
      <c r="A131" s="85" t="s">
        <v>29</v>
      </c>
      <c r="B131" s="85" t="s">
        <v>35</v>
      </c>
      <c r="C131" s="86">
        <f t="shared" ref="C131:G142" si="23">C64*B$145</f>
        <v>66.490434711700573</v>
      </c>
      <c r="D131" s="86">
        <f t="shared" si="23"/>
        <v>19.726584995350581</v>
      </c>
      <c r="E131" s="86">
        <f t="shared" si="23"/>
        <v>9.1999452987435308</v>
      </c>
      <c r="F131" s="86">
        <f t="shared" si="23"/>
        <v>6.1589147902727532</v>
      </c>
      <c r="G131" s="86">
        <f t="shared" si="23"/>
        <v>1.8644106439018384</v>
      </c>
      <c r="I131" s="65"/>
    </row>
    <row r="132" spans="1:15" x14ac:dyDescent="0.2">
      <c r="A132" s="88" t="s">
        <v>29</v>
      </c>
      <c r="B132" s="88" t="s">
        <v>36</v>
      </c>
      <c r="C132" s="86">
        <f t="shared" si="23"/>
        <v>3.6651139164710225</v>
      </c>
      <c r="D132" s="86">
        <f t="shared" si="23"/>
        <v>2.1951426759654016</v>
      </c>
      <c r="E132" s="86">
        <f t="shared" si="23"/>
        <v>3.2117807929145901</v>
      </c>
      <c r="F132" s="86">
        <f t="shared" si="23"/>
        <v>3.4011157319753655</v>
      </c>
      <c r="G132" s="86">
        <f t="shared" si="23"/>
        <v>1.8550135451860448</v>
      </c>
      <c r="J132" s="92"/>
      <c r="K132" s="93"/>
      <c r="L132" s="93"/>
      <c r="M132" s="93"/>
      <c r="N132" s="93"/>
      <c r="O132" s="93"/>
    </row>
    <row r="133" spans="1:15" x14ac:dyDescent="0.2">
      <c r="A133" s="85" t="s">
        <v>29</v>
      </c>
      <c r="B133" s="85" t="s">
        <v>37</v>
      </c>
      <c r="C133" s="86">
        <f t="shared" si="23"/>
        <v>0.18114907445112388</v>
      </c>
      <c r="D133" s="86">
        <f t="shared" si="23"/>
        <v>0.22337291809402113</v>
      </c>
      <c r="E133" s="86">
        <f t="shared" si="23"/>
        <v>0.44448035380641343</v>
      </c>
      <c r="F133" s="86">
        <f t="shared" si="23"/>
        <v>0.86948744058888916</v>
      </c>
      <c r="G133" s="86">
        <f t="shared" si="23"/>
        <v>1.0857370151190291</v>
      </c>
      <c r="J133" s="92"/>
      <c r="K133" s="93"/>
      <c r="L133" s="93"/>
      <c r="M133" s="93"/>
      <c r="N133" s="93"/>
      <c r="O133" s="93"/>
    </row>
    <row r="134" spans="1:15" x14ac:dyDescent="0.2">
      <c r="A134" s="88" t="s">
        <v>30</v>
      </c>
      <c r="B134" s="88" t="s">
        <v>35</v>
      </c>
      <c r="C134" s="86">
        <f t="shared" si="23"/>
        <v>38.554471130876038</v>
      </c>
      <c r="D134" s="86">
        <f t="shared" si="23"/>
        <v>11.438458103210143</v>
      </c>
      <c r="E134" s="86">
        <f t="shared" si="23"/>
        <v>5.3345872524973661</v>
      </c>
      <c r="F134" s="86">
        <f t="shared" si="23"/>
        <v>3.5712460522883402</v>
      </c>
      <c r="G134" s="86">
        <f t="shared" si="23"/>
        <v>1.0810783033392051</v>
      </c>
      <c r="J134" s="92"/>
      <c r="K134" s="93"/>
      <c r="L134" s="93"/>
      <c r="M134" s="93"/>
      <c r="N134" s="93"/>
      <c r="O134" s="93"/>
    </row>
    <row r="135" spans="1:15" x14ac:dyDescent="0.2">
      <c r="A135" s="85" t="s">
        <v>30</v>
      </c>
      <c r="B135" s="85" t="s">
        <v>36</v>
      </c>
      <c r="C135" s="86">
        <f t="shared" si="23"/>
        <v>9.2092688763252628</v>
      </c>
      <c r="D135" s="86">
        <f t="shared" si="23"/>
        <v>5.5156973522739223</v>
      </c>
      <c r="E135" s="86">
        <f t="shared" si="23"/>
        <v>8.0701865120326506</v>
      </c>
      <c r="F135" s="86">
        <f t="shared" si="23"/>
        <v>8.5459251660639612</v>
      </c>
      <c r="G135" s="86">
        <f t="shared" si="23"/>
        <v>4.6610607190328226</v>
      </c>
      <c r="I135" s="64"/>
      <c r="J135" s="92"/>
      <c r="K135" s="93"/>
      <c r="L135" s="93"/>
      <c r="M135" s="93"/>
      <c r="N135" s="93"/>
      <c r="O135" s="93"/>
    </row>
    <row r="136" spans="1:15" x14ac:dyDescent="0.2">
      <c r="A136" s="88" t="s">
        <v>30</v>
      </c>
      <c r="B136" s="88" t="s">
        <v>37</v>
      </c>
      <c r="C136" s="86">
        <f t="shared" si="23"/>
        <v>1.3655105172753932</v>
      </c>
      <c r="D136" s="86">
        <f t="shared" si="23"/>
        <v>1.683795900454232</v>
      </c>
      <c r="E136" s="86">
        <f t="shared" si="23"/>
        <v>3.3505144847356401</v>
      </c>
      <c r="F136" s="86">
        <f t="shared" si="23"/>
        <v>6.5542385372956318</v>
      </c>
      <c r="G136" s="86">
        <f t="shared" si="23"/>
        <v>8.1843383281554996</v>
      </c>
      <c r="J136" s="92"/>
      <c r="K136" s="93"/>
      <c r="L136" s="93"/>
      <c r="M136" s="93"/>
      <c r="N136" s="93"/>
      <c r="O136" s="93"/>
    </row>
    <row r="137" spans="1:15" x14ac:dyDescent="0.2">
      <c r="A137" s="85" t="s">
        <v>32</v>
      </c>
      <c r="B137" s="85" t="s">
        <v>35</v>
      </c>
      <c r="C137" s="86">
        <f t="shared" si="23"/>
        <v>13.80074227042623</v>
      </c>
      <c r="D137" s="86">
        <f t="shared" si="23"/>
        <v>4.0944463151266373</v>
      </c>
      <c r="E137" s="86">
        <f t="shared" si="23"/>
        <v>1.9095389362469646</v>
      </c>
      <c r="F137" s="86">
        <f t="shared" si="23"/>
        <v>1.2783432091340075</v>
      </c>
      <c r="G137" s="86">
        <f t="shared" si="23"/>
        <v>0.38697672671706634</v>
      </c>
      <c r="J137" s="92"/>
      <c r="K137" s="93"/>
      <c r="L137" s="93"/>
      <c r="M137" s="93"/>
      <c r="N137" s="93"/>
      <c r="O137" s="93"/>
    </row>
    <row r="138" spans="1:15" x14ac:dyDescent="0.2">
      <c r="A138" s="88" t="s">
        <v>32</v>
      </c>
      <c r="B138" s="88" t="s">
        <v>36</v>
      </c>
      <c r="C138" s="86">
        <f t="shared" si="23"/>
        <v>6.0435801082909908</v>
      </c>
      <c r="D138" s="86">
        <f t="shared" si="23"/>
        <v>3.6196748351273382</v>
      </c>
      <c r="E138" s="86">
        <f t="shared" si="23"/>
        <v>5.2960576272999873</v>
      </c>
      <c r="F138" s="86">
        <f t="shared" si="23"/>
        <v>5.6082609851192018</v>
      </c>
      <c r="G138" s="86">
        <f t="shared" si="23"/>
        <v>3.0588197850863095</v>
      </c>
      <c r="J138" s="92"/>
      <c r="K138" s="93"/>
      <c r="L138" s="93"/>
      <c r="M138" s="93"/>
      <c r="N138" s="93"/>
      <c r="O138" s="93"/>
    </row>
    <row r="139" spans="1:15" x14ac:dyDescent="0.2">
      <c r="A139" s="85" t="s">
        <v>32</v>
      </c>
      <c r="B139" s="85" t="s">
        <v>37</v>
      </c>
      <c r="C139" s="86">
        <f t="shared" si="23"/>
        <v>0.97758097381251308</v>
      </c>
      <c r="D139" s="86">
        <f t="shared" si="23"/>
        <v>1.2054442754142438</v>
      </c>
      <c r="E139" s="86">
        <f t="shared" si="23"/>
        <v>2.3986627501750855</v>
      </c>
      <c r="F139" s="86">
        <f t="shared" si="23"/>
        <v>4.692236940564519</v>
      </c>
      <c r="G139" s="86">
        <f t="shared" si="23"/>
        <v>5.859239699459402</v>
      </c>
      <c r="J139" s="92"/>
      <c r="K139" s="93"/>
      <c r="L139" s="93"/>
      <c r="M139" s="93"/>
      <c r="N139" s="93"/>
      <c r="O139" s="93"/>
    </row>
    <row r="140" spans="1:15" x14ac:dyDescent="0.2">
      <c r="A140" s="88" t="s">
        <v>51</v>
      </c>
      <c r="B140" s="88" t="s">
        <v>35</v>
      </c>
      <c r="C140" s="86">
        <f t="shared" si="23"/>
        <v>14.079804705162307</v>
      </c>
      <c r="D140" s="86">
        <f t="shared" si="23"/>
        <v>4.1772394095273553</v>
      </c>
      <c r="E140" s="86">
        <f t="shared" si="23"/>
        <v>1.9481513944996143</v>
      </c>
      <c r="F140" s="86">
        <f t="shared" si="23"/>
        <v>1.3041923671994922</v>
      </c>
      <c r="G140" s="86">
        <f t="shared" si="23"/>
        <v>0.39480171652035212</v>
      </c>
      <c r="J140" s="92"/>
      <c r="K140" s="93"/>
      <c r="L140" s="93"/>
      <c r="M140" s="93"/>
      <c r="N140" s="93"/>
      <c r="O140" s="93"/>
    </row>
    <row r="141" spans="1:15" x14ac:dyDescent="0.2">
      <c r="A141" s="85" t="s">
        <v>51</v>
      </c>
      <c r="B141" s="85" t="s">
        <v>36</v>
      </c>
      <c r="C141" s="86">
        <f t="shared" si="23"/>
        <v>2.8026301371513358</v>
      </c>
      <c r="D141" s="86">
        <f t="shared" si="23"/>
        <v>1.6785762077843744</v>
      </c>
      <c r="E141" s="86">
        <f t="shared" si="23"/>
        <v>2.4559764987641453</v>
      </c>
      <c r="F141" s="86">
        <f t="shared" si="23"/>
        <v>2.600756666126137</v>
      </c>
      <c r="G141" s="86">
        <f t="shared" si="23"/>
        <v>1.4184871152840344</v>
      </c>
      <c r="J141" s="92"/>
      <c r="K141" s="93"/>
      <c r="L141" s="93"/>
      <c r="M141" s="93"/>
      <c r="N141" s="93"/>
      <c r="O141" s="93"/>
    </row>
    <row r="142" spans="1:15" ht="17" x14ac:dyDescent="0.2">
      <c r="A142" s="90" t="s">
        <v>51</v>
      </c>
      <c r="B142" s="88" t="s">
        <v>37</v>
      </c>
      <c r="C142" s="86">
        <f t="shared" si="23"/>
        <v>0.33244949015672209</v>
      </c>
      <c r="D142" s="86">
        <f t="shared" si="23"/>
        <v>0.40993978556160288</v>
      </c>
      <c r="E142" s="86">
        <f t="shared" si="23"/>
        <v>0.81572189896830472</v>
      </c>
      <c r="F142" s="86">
        <f t="shared" si="23"/>
        <v>1.5957059521131658</v>
      </c>
      <c r="G142" s="86">
        <f t="shared" si="23"/>
        <v>1.9925727924046983</v>
      </c>
      <c r="J142" s="92"/>
      <c r="K142" s="93"/>
      <c r="L142" s="93"/>
      <c r="M142" s="93"/>
      <c r="N142" s="93"/>
      <c r="O142" s="93"/>
    </row>
    <row r="144" spans="1:15" x14ac:dyDescent="0.2">
      <c r="A144" t="s">
        <v>57</v>
      </c>
      <c r="B144" t="s">
        <v>58</v>
      </c>
      <c r="C144" t="s">
        <v>83</v>
      </c>
      <c r="D144" t="s">
        <v>60</v>
      </c>
      <c r="E144" t="s">
        <v>61</v>
      </c>
      <c r="F144" t="s">
        <v>62</v>
      </c>
    </row>
    <row r="145" spans="1:15" x14ac:dyDescent="0.2">
      <c r="A145" t="s">
        <v>138</v>
      </c>
      <c r="B145" s="10">
        <v>13.151465329991648</v>
      </c>
      <c r="C145" s="10">
        <v>4.7040218487394947</v>
      </c>
      <c r="D145" s="10">
        <v>4.8342045701849843</v>
      </c>
      <c r="E145" s="10">
        <v>4.5090332031250009</v>
      </c>
      <c r="F145" s="10">
        <v>3.8586472727272731</v>
      </c>
    </row>
    <row r="146" spans="1:15" x14ac:dyDescent="0.2">
      <c r="J146" s="91"/>
      <c r="K146" s="91"/>
      <c r="L146" s="91"/>
      <c r="M146" s="91"/>
      <c r="N146" s="91"/>
      <c r="O146" s="91"/>
    </row>
    <row r="147" spans="1:15" x14ac:dyDescent="0.2">
      <c r="J147" s="92"/>
      <c r="K147" s="94"/>
      <c r="L147" s="94"/>
      <c r="M147" s="94"/>
      <c r="N147" s="94"/>
      <c r="O147" s="94"/>
    </row>
    <row r="148" spans="1:15" x14ac:dyDescent="0.2">
      <c r="J148" s="92"/>
      <c r="K148" s="94"/>
      <c r="L148" s="94"/>
      <c r="M148" s="94"/>
      <c r="N148" s="94"/>
      <c r="O148" s="94"/>
    </row>
    <row r="149" spans="1:15" x14ac:dyDescent="0.2">
      <c r="J149" s="92"/>
      <c r="K149" s="94"/>
      <c r="L149" s="94"/>
      <c r="M149" s="94"/>
      <c r="N149" s="94"/>
      <c r="O149" s="94"/>
    </row>
    <row r="150" spans="1:15" x14ac:dyDescent="0.2">
      <c r="J150" s="92"/>
      <c r="K150" s="94"/>
      <c r="L150" s="94"/>
      <c r="M150" s="94"/>
      <c r="N150" s="94"/>
      <c r="O150" s="94"/>
    </row>
    <row r="151" spans="1:15" x14ac:dyDescent="0.2">
      <c r="J151" s="92"/>
      <c r="K151" s="94"/>
      <c r="L151" s="94"/>
      <c r="M151" s="94"/>
      <c r="N151" s="94"/>
      <c r="O151" s="94"/>
    </row>
    <row r="152" spans="1:15" x14ac:dyDescent="0.2">
      <c r="J152" s="92"/>
      <c r="K152" s="94"/>
      <c r="L152" s="94"/>
      <c r="M152" s="94"/>
      <c r="N152" s="94"/>
      <c r="O152" s="94"/>
    </row>
    <row r="153" spans="1:15" x14ac:dyDescent="0.2">
      <c r="J153" s="92"/>
      <c r="K153" s="94"/>
      <c r="L153" s="94"/>
      <c r="M153" s="94"/>
      <c r="N153" s="94"/>
      <c r="O153" s="94"/>
    </row>
    <row r="154" spans="1:15" x14ac:dyDescent="0.2">
      <c r="J154" s="92"/>
      <c r="K154" s="94"/>
      <c r="L154" s="94"/>
      <c r="M154" s="94"/>
      <c r="N154" s="94"/>
      <c r="O154" s="94"/>
    </row>
    <row r="155" spans="1:15" x14ac:dyDescent="0.2">
      <c r="J155" s="92"/>
      <c r="K155" s="94"/>
      <c r="L155" s="94"/>
      <c r="M155" s="94"/>
      <c r="N155" s="94"/>
      <c r="O155" s="94"/>
    </row>
    <row r="156" spans="1:15" x14ac:dyDescent="0.2">
      <c r="J156" s="92"/>
      <c r="K156" s="94"/>
      <c r="L156" s="94"/>
      <c r="M156" s="94"/>
      <c r="N156" s="94"/>
      <c r="O156" s="94"/>
    </row>
    <row r="157" spans="1:15" x14ac:dyDescent="0.2">
      <c r="J157" s="92"/>
      <c r="K157" s="94"/>
      <c r="L157" s="94"/>
      <c r="M157" s="94"/>
      <c r="N157" s="94"/>
      <c r="O157" s="94"/>
    </row>
    <row r="158" spans="1:15" x14ac:dyDescent="0.2">
      <c r="J158" s="92"/>
      <c r="K158" s="94"/>
      <c r="L158" s="94"/>
      <c r="M158" s="94"/>
      <c r="N158" s="94"/>
      <c r="O158" s="94"/>
    </row>
  </sheetData>
  <sheetProtection algorithmName="SHA-512" hashValue="rygxJSo1ek1/Xf4zJwOY2D4svIue7vS4KaC5Nl2ZIUSejPWr39PlujFAMtJfu9/OADtC+X4PZt/jwsYNqXIACQ==" saltValue="at1uOekuZt4Nurh9msqY1A==" spinCount="100000" sheet="1" objects="1" scenarios="1"/>
  <phoneticPr fontId="10" type="noConversion"/>
  <conditionalFormatting sqref="C79:G90">
    <cfRule type="colorScale" priority="7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94:G105">
    <cfRule type="colorScale" priority="2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131:G1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9:E90">
    <cfRule type="colorScale" priority="5">
      <colorScale>
        <cfvo type="min"/>
        <cfvo type="percentile" val="50"/>
        <cfvo type="max"/>
        <color rgb="FFE7AE71"/>
        <color rgb="FFFFEB84"/>
        <color rgb="FFFFFF00"/>
      </colorScale>
    </cfRule>
  </conditionalFormatting>
  <conditionalFormatting sqref="F79:F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9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5833-39E9-714A-BCDD-C8687347EA01}">
  <sheetPr codeName="Sheet4">
    <tabColor theme="1" tint="0.249977111117893"/>
  </sheetPr>
  <dimension ref="A1:O47"/>
  <sheetViews>
    <sheetView zoomScale="75" workbookViewId="0">
      <selection activeCell="O53" sqref="O53"/>
    </sheetView>
  </sheetViews>
  <sheetFormatPr baseColWidth="10" defaultRowHeight="16" x14ac:dyDescent="0.2"/>
  <cols>
    <col min="1" max="1" width="30.1640625" bestFit="1" customWidth="1"/>
    <col min="2" max="2" width="18.1640625" customWidth="1"/>
    <col min="3" max="3" width="19.83203125" bestFit="1" customWidth="1"/>
    <col min="4" max="4" width="15.5" bestFit="1" customWidth="1"/>
    <col min="5" max="5" width="12.1640625" bestFit="1" customWidth="1"/>
    <col min="6" max="6" width="17.33203125" bestFit="1" customWidth="1"/>
    <col min="9" max="9" width="24.6640625" bestFit="1" customWidth="1"/>
    <col min="10" max="10" width="19.33203125" bestFit="1" customWidth="1"/>
    <col min="11" max="11" width="19" bestFit="1" customWidth="1"/>
    <col min="12" max="12" width="14.1640625" bestFit="1" customWidth="1"/>
    <col min="13" max="13" width="14.83203125" bestFit="1" customWidth="1"/>
    <col min="14" max="14" width="9.83203125" bestFit="1" customWidth="1"/>
    <col min="15" max="15" width="16" bestFit="1" customWidth="1"/>
  </cols>
  <sheetData>
    <row r="1" spans="1:15" ht="32" customHeight="1" x14ac:dyDescent="0.2">
      <c r="A1" s="92" t="s">
        <v>103</v>
      </c>
      <c r="B1" s="91"/>
      <c r="C1" s="91"/>
      <c r="D1" s="91"/>
      <c r="E1" s="91"/>
      <c r="F1" s="91"/>
      <c r="I1" t="s">
        <v>126</v>
      </c>
    </row>
    <row r="2" spans="1:15" s="96" customFormat="1" x14ac:dyDescent="0.2">
      <c r="A2" s="8" t="s">
        <v>0</v>
      </c>
      <c r="B2" s="8" t="s">
        <v>34</v>
      </c>
      <c r="C2" s="8" t="s">
        <v>58</v>
      </c>
      <c r="D2" s="8" t="s">
        <v>83</v>
      </c>
      <c r="E2" s="8" t="s">
        <v>60</v>
      </c>
      <c r="F2" s="8" t="s">
        <v>61</v>
      </c>
      <c r="G2" s="8" t="s">
        <v>62</v>
      </c>
      <c r="I2" s="8" t="s">
        <v>0</v>
      </c>
      <c r="J2" s="8" t="s">
        <v>34</v>
      </c>
      <c r="K2" s="8" t="s">
        <v>58</v>
      </c>
      <c r="L2" s="8" t="s">
        <v>83</v>
      </c>
      <c r="M2" s="8" t="s">
        <v>60</v>
      </c>
      <c r="N2" s="8" t="s">
        <v>61</v>
      </c>
      <c r="O2" s="8" t="s">
        <v>62</v>
      </c>
    </row>
    <row r="3" spans="1:15" x14ac:dyDescent="0.2">
      <c r="A3" s="69" t="s">
        <v>29</v>
      </c>
      <c r="B3" s="73" t="s">
        <v>35</v>
      </c>
      <c r="C3" s="97">
        <f>55*(145/160)</f>
        <v>49.84375</v>
      </c>
      <c r="D3" s="97">
        <f>65*(145/160)</f>
        <v>58.90625</v>
      </c>
      <c r="E3" s="97">
        <f>85*(145/160)</f>
        <v>77.03125</v>
      </c>
      <c r="F3" s="97">
        <f>110*(145/160)</f>
        <v>99.6875</v>
      </c>
      <c r="G3" s="97">
        <f>145*(145/160)</f>
        <v>131.40625</v>
      </c>
      <c r="I3" s="69" t="s">
        <v>29</v>
      </c>
      <c r="J3" s="73" t="s">
        <v>35</v>
      </c>
      <c r="K3" s="97" cm="1">
        <f t="array" ref="K3">Table56[[#This Row],[Deep Subprime]]*'Dynamic PD'!N3*Table70[[LGD]:[LGD]]</f>
        <v>1.4392382812500002</v>
      </c>
      <c r="L3" s="97" cm="1">
        <f t="array" ref="L3">Table56[[#This Row],[Sub Prime]]*'Dynamic PD'!O3*Table70[[LGD]:[LGD]]</f>
        <v>0.87475781249999995</v>
      </c>
      <c r="M3" s="97" cm="1">
        <f t="array" ref="M3">Table56[[#This Row],[Near Prime]]*'Dynamic PD'!P3*Table70[[LGD]:[LGD]]</f>
        <v>0.63550781249999999</v>
      </c>
      <c r="N3" s="97" cm="1">
        <f t="array" ref="N3">Table56[[#This Row],[Prime]]*'Dynamic PD'!Q3*Table70[[LGD]:[LGD]]</f>
        <v>0.74017968750000007</v>
      </c>
      <c r="O3" s="97" cm="1">
        <f t="array" ref="O3">Table56[[#This Row],[Super Prime]]*'Dynamic PD'!R3*Table70[[LGD]:[LGD]]</f>
        <v>0.86728125000000011</v>
      </c>
    </row>
    <row r="4" spans="1:15" x14ac:dyDescent="0.2">
      <c r="A4" s="87" t="s">
        <v>29</v>
      </c>
      <c r="B4" s="88" t="s">
        <v>36</v>
      </c>
      <c r="C4" s="97">
        <f>80*(145/160)</f>
        <v>72.5</v>
      </c>
      <c r="D4" s="97">
        <f>95*(145/160)</f>
        <v>86.09375</v>
      </c>
      <c r="E4" s="97">
        <f>120*(145/160)</f>
        <v>108.75</v>
      </c>
      <c r="F4" s="97">
        <f>165*(145/160)</f>
        <v>149.53125</v>
      </c>
      <c r="G4" s="97">
        <f>210*(145/160)</f>
        <v>190.3125</v>
      </c>
      <c r="I4" s="87" t="s">
        <v>29</v>
      </c>
      <c r="J4" s="88" t="s">
        <v>36</v>
      </c>
      <c r="K4" s="97" cm="1">
        <f t="array" ref="K4">Table56[[#This Row],[Deep Subprime]]*'Dynamic PD'!N4*Table70[[LGD]:[LGD]]</f>
        <v>2.0553750000000002</v>
      </c>
      <c r="L4" s="97" cm="1">
        <f t="array" ref="L4">Table56[[#This Row],[Sub Prime]]*'Dynamic PD'!O4*Table70[[LGD]:[LGD]]</f>
        <v>1.2552468749999999</v>
      </c>
      <c r="M4" s="97" cm="1">
        <f t="array" ref="M4">Table56[[#This Row],[Near Prime]]*'Dynamic PD'!P4*Table70[[LGD]:[LGD]]</f>
        <v>0.88087500000000007</v>
      </c>
      <c r="N4" s="97" cm="1">
        <f t="array" ref="N4">Table56[[#This Row],[Prime]]*'Dynamic PD'!Q4*Table70[[LGD]:[LGD]]</f>
        <v>1.0900828124999999</v>
      </c>
      <c r="O4" s="97" cm="1">
        <f t="array" ref="O4">Table56[[#This Row],[Super Prime]]*'Dynamic PD'!R4*Table70[[LGD]:[LGD]]</f>
        <v>1.233225</v>
      </c>
    </row>
    <row r="5" spans="1:15" x14ac:dyDescent="0.2">
      <c r="A5" s="84" t="s">
        <v>29</v>
      </c>
      <c r="B5" s="85" t="s">
        <v>37</v>
      </c>
      <c r="C5" s="97">
        <f>110*(145/160)</f>
        <v>99.6875</v>
      </c>
      <c r="D5" s="97">
        <f>140*(145/160)</f>
        <v>126.875</v>
      </c>
      <c r="E5" s="97">
        <f>195*(145/160)</f>
        <v>176.71875</v>
      </c>
      <c r="F5" s="97">
        <f>290*(145/160)</f>
        <v>262.8125</v>
      </c>
      <c r="G5" s="97">
        <f>385*(145/160)</f>
        <v>348.90625</v>
      </c>
      <c r="I5" s="84" t="s">
        <v>29</v>
      </c>
      <c r="J5" s="85" t="s">
        <v>37</v>
      </c>
      <c r="K5" s="97" cm="1">
        <f t="array" ref="K5">Table56[[#This Row],[Deep Subprime]]*'Dynamic PD'!N5*Table70[[LGD]:[LGD]]</f>
        <v>2.6167968750000004</v>
      </c>
      <c r="L5" s="97" cm="1">
        <f t="array" ref="L5">Table56[[#This Row],[Sub Prime]]*'Dynamic PD'!O5*Table70[[LGD]:[LGD]]</f>
        <v>1.7128125000000001</v>
      </c>
      <c r="M5" s="97" cm="1">
        <f t="array" ref="M5">Table56[[#This Row],[Near Prime]]*'Dynamic PD'!P5*Table70[[LGD]:[LGD]]</f>
        <v>1.325390625</v>
      </c>
      <c r="N5" s="97" cm="1">
        <f t="array" ref="N5">Table56[[#This Row],[Prime]]*'Dynamic PD'!Q5*Table70[[LGD]:[LGD]]</f>
        <v>1.7739843749999999</v>
      </c>
      <c r="O5" s="97" cm="1">
        <f t="array" ref="O5">Table56[[#This Row],[Super Prime]]*'Dynamic PD'!R5*Table70[[LGD]:[LGD]]</f>
        <v>2.0934375000000003</v>
      </c>
    </row>
    <row r="6" spans="1:15" x14ac:dyDescent="0.2">
      <c r="A6" s="87" t="s">
        <v>30</v>
      </c>
      <c r="B6" s="88" t="s">
        <v>35</v>
      </c>
      <c r="C6" s="97">
        <f>70*(145/160)</f>
        <v>63.4375</v>
      </c>
      <c r="D6" s="97">
        <f>85*(145/160)</f>
        <v>77.03125</v>
      </c>
      <c r="E6" s="97">
        <f>115*(145/160)</f>
        <v>104.21875</v>
      </c>
      <c r="F6" s="97">
        <f>150*(145/160)</f>
        <v>135.9375</v>
      </c>
      <c r="G6" s="97">
        <f>190*(145/160)</f>
        <v>172.1875</v>
      </c>
      <c r="I6" s="87" t="s">
        <v>30</v>
      </c>
      <c r="J6" s="88" t="s">
        <v>35</v>
      </c>
      <c r="K6" s="97" cm="1">
        <f t="array" ref="K6">Table56[[#This Row],[Deep Subprime]]*'Dynamic PD'!N6*Table70[[LGD]:[LGD]]</f>
        <v>1.8317578125000002</v>
      </c>
      <c r="L6" s="97" cm="1">
        <f t="array" ref="L6">Table56[[#This Row],[Sub Prime]]*'Dynamic PD'!O6*Table70[[LGD]:[LGD]]</f>
        <v>1.1439140624999999</v>
      </c>
      <c r="M6" s="97" cm="1">
        <f t="array" ref="M6">Table56[[#This Row],[Near Prime]]*'Dynamic PD'!P6*Table70[[LGD]:[LGD]]</f>
        <v>0.85980468750000005</v>
      </c>
      <c r="N6" s="97" cm="1">
        <f t="array" ref="N6">Table56[[#This Row],[Prime]]*'Dynamic PD'!Q6*Table70[[LGD]:[LGD]]</f>
        <v>1.0093359375000002</v>
      </c>
      <c r="O6" s="97" cm="1">
        <f t="array" ref="O6">Table56[[#This Row],[Super Prime]]*'Dynamic PD'!R6*Table70[[LGD]:[LGD]]</f>
        <v>1.1364375</v>
      </c>
    </row>
    <row r="7" spans="1:15" x14ac:dyDescent="0.2">
      <c r="A7" s="84" t="s">
        <v>30</v>
      </c>
      <c r="B7" s="85" t="s">
        <v>36</v>
      </c>
      <c r="C7" s="97">
        <f>95*(145/160)</f>
        <v>86.09375</v>
      </c>
      <c r="D7" s="97">
        <f>125*(145/160)</f>
        <v>113.28125</v>
      </c>
      <c r="E7" s="97">
        <f>180*(145/160)</f>
        <v>163.125</v>
      </c>
      <c r="F7" s="97">
        <f>245*(145/160)</f>
        <v>222.03125</v>
      </c>
      <c r="G7" s="97">
        <f>330*(145/160)</f>
        <v>299.0625</v>
      </c>
      <c r="I7" s="84" t="s">
        <v>30</v>
      </c>
      <c r="J7" s="85" t="s">
        <v>36</v>
      </c>
      <c r="K7" s="97" cm="1">
        <f t="array" ref="K7">Table56[[#This Row],[Deep Subprime]]*'Dynamic PD'!N7*Table70[[LGD]:[LGD]]</f>
        <v>2.350359375</v>
      </c>
      <c r="L7" s="97" cm="1">
        <f t="array" ref="L7">Table56[[#This Row],[Sub Prime]]*'Dynamic PD'!O7*Table70[[LGD]:[LGD]]</f>
        <v>1.5904687499999999</v>
      </c>
      <c r="M7" s="97" cm="1">
        <f t="array" ref="M7">Table56[[#This Row],[Near Prime]]*'Dynamic PD'!P7*Table70[[LGD]:[LGD]]</f>
        <v>1.272375</v>
      </c>
      <c r="N7" s="97" cm="1">
        <f t="array" ref="N7">Table56[[#This Row],[Prime]]*'Dynamic PD'!Q7*Table70[[LGD]:[LGD]]</f>
        <v>1.5586593750000002</v>
      </c>
      <c r="O7" s="97" cm="1">
        <f t="array" ref="O7">Table56[[#This Row],[Super Prime]]*'Dynamic PD'!R7*Table70[[LGD]:[LGD]]</f>
        <v>1.8661500000000002</v>
      </c>
    </row>
    <row r="8" spans="1:15" x14ac:dyDescent="0.2">
      <c r="A8" s="87" t="s">
        <v>30</v>
      </c>
      <c r="B8" s="88" t="s">
        <v>37</v>
      </c>
      <c r="C8" s="97">
        <f>150*(145/160)</f>
        <v>135.9375</v>
      </c>
      <c r="D8" s="97">
        <f>210*(145/160)</f>
        <v>190.3125</v>
      </c>
      <c r="E8" s="97">
        <f>315*(145/160)</f>
        <v>285.46875</v>
      </c>
      <c r="F8" s="97">
        <f>480*(145/160)</f>
        <v>435</v>
      </c>
      <c r="G8" s="97">
        <f>720*(145/160)</f>
        <v>652.5</v>
      </c>
      <c r="I8" s="87" t="s">
        <v>30</v>
      </c>
      <c r="J8" s="88" t="s">
        <v>37</v>
      </c>
      <c r="K8" s="97" cm="1">
        <f t="array" ref="K8">Table56[[#This Row],[Deep Subprime]]*'Dynamic PD'!N8*Table70[[LGD]:[LGD]]</f>
        <v>3.5683593750000009</v>
      </c>
      <c r="L8" s="97" cm="1">
        <f t="array" ref="L8">Table56[[#This Row],[Sub Prime]]*'Dynamic PD'!O8*Table70[[LGD]:[LGD]]</f>
        <v>2.5692187499999997</v>
      </c>
      <c r="M8" s="97" cm="1">
        <f t="array" ref="M8">Table56[[#This Row],[Near Prime]]*'Dynamic PD'!P8*Table70[[LGD]:[LGD]]</f>
        <v>2.1410156250000001</v>
      </c>
      <c r="N8" s="97" cm="1">
        <f t="array" ref="N8">Table56[[#This Row],[Prime]]*'Dynamic PD'!Q8*Table70[[LGD]:[LGD]]</f>
        <v>2.9362499999999998</v>
      </c>
      <c r="O8" s="97" cm="1">
        <f t="array" ref="O8">Table56[[#This Row],[Super Prime]]*'Dynamic PD'!R8*Table70[[LGD]:[LGD]]</f>
        <v>3.915</v>
      </c>
    </row>
    <row r="9" spans="1:15" x14ac:dyDescent="0.2">
      <c r="A9" s="84" t="s">
        <v>32</v>
      </c>
      <c r="B9" s="85" t="s">
        <v>35</v>
      </c>
      <c r="C9" s="97">
        <f>75*(145/160)</f>
        <v>67.96875</v>
      </c>
      <c r="D9" s="97">
        <f>90*(145/160)</f>
        <v>81.5625</v>
      </c>
      <c r="E9" s="97">
        <f>120*(145/160)</f>
        <v>108.75</v>
      </c>
      <c r="F9" s="97">
        <f>155*(145/160)</f>
        <v>140.46875</v>
      </c>
      <c r="G9" s="97">
        <f>185*(145/160)</f>
        <v>167.65625</v>
      </c>
      <c r="I9" s="84" t="s">
        <v>32</v>
      </c>
      <c r="J9" s="85" t="s">
        <v>35</v>
      </c>
      <c r="K9" s="97" cm="1">
        <f t="array" ref="K9">Table56[[#This Row],[Deep Subprime]]*'Dynamic PD'!N9*Table70[[LGD]:[LGD]]</f>
        <v>1.7841796875000004</v>
      </c>
      <c r="L9" s="97" cm="1">
        <f t="array" ref="L9">Table56[[#This Row],[Sub Prime]]*'Dynamic PD'!O9*Table70[[LGD]:[LGD]]</f>
        <v>1.10109375</v>
      </c>
      <c r="M9" s="97" cm="1">
        <f t="array" ref="M9">Table56[[#This Row],[Near Prime]]*'Dynamic PD'!P9*Table70[[LGD]:[LGD]]</f>
        <v>0.81562500000000004</v>
      </c>
      <c r="N9" s="97" cm="1">
        <f t="array" ref="N9">Table56[[#This Row],[Prime]]*'Dynamic PD'!Q9*Table70[[LGD]:[LGD]]</f>
        <v>0.94816406249999996</v>
      </c>
      <c r="O9" s="97" cm="1">
        <f t="array" ref="O9">Table56[[#This Row],[Super Prime]]*'Dynamic PD'!R9*Table70[[LGD]:[LGD]]</f>
        <v>1.0059374999999999</v>
      </c>
    </row>
    <row r="10" spans="1:15" x14ac:dyDescent="0.2">
      <c r="A10" s="87" t="s">
        <v>32</v>
      </c>
      <c r="B10" s="88" t="s">
        <v>36</v>
      </c>
      <c r="C10" s="97">
        <f>110*(145/160)</f>
        <v>99.6875</v>
      </c>
      <c r="D10" s="97">
        <f>150*(145/160)</f>
        <v>135.9375</v>
      </c>
      <c r="E10" s="97">
        <f>220*(145/160)</f>
        <v>199.375</v>
      </c>
      <c r="F10" s="97">
        <f>310*(145/160)</f>
        <v>280.9375</v>
      </c>
      <c r="G10" s="97">
        <f>440*(145/160)</f>
        <v>398.75</v>
      </c>
      <c r="I10" s="87" t="s">
        <v>32</v>
      </c>
      <c r="J10" s="88" t="s">
        <v>36</v>
      </c>
      <c r="K10" s="97" cm="1">
        <f t="array" ref="K10">Table56[[#This Row],[Deep Subprime]]*'Dynamic PD'!N10*Table70[[LGD]:[LGD]]</f>
        <v>2.6167968750000004</v>
      </c>
      <c r="L10" s="97" cm="1">
        <f t="array" ref="L10">Table56[[#This Row],[Sub Prime]]*'Dynamic PD'!O10*Table70[[LGD]:[LGD]]</f>
        <v>1.8351562499999998</v>
      </c>
      <c r="M10" s="97" cm="1">
        <f t="array" ref="M10">Table56[[#This Row],[Near Prime]]*'Dynamic PD'!P10*Table70[[LGD]:[LGD]]</f>
        <v>1.4953125</v>
      </c>
      <c r="N10" s="97" cm="1">
        <f t="array" ref="N10">Table56[[#This Row],[Prime]]*'Dynamic PD'!Q10*Table70[[LGD]:[LGD]]</f>
        <v>1.8963281249999999</v>
      </c>
      <c r="O10" s="97" cm="1">
        <f t="array" ref="O10">Table56[[#This Row],[Super Prime]]*'Dynamic PD'!R10*Table70[[LGD]:[LGD]]</f>
        <v>2.3925000000000001</v>
      </c>
    </row>
    <row r="11" spans="1:15" x14ac:dyDescent="0.2">
      <c r="A11" s="84" t="s">
        <v>32</v>
      </c>
      <c r="B11" s="85" t="s">
        <v>37</v>
      </c>
      <c r="C11" s="97">
        <f>180*(145/160)</f>
        <v>163.125</v>
      </c>
      <c r="D11" s="97">
        <f>260*(145/160)</f>
        <v>235.625</v>
      </c>
      <c r="E11" s="97">
        <f>390*(145/160)</f>
        <v>353.4375</v>
      </c>
      <c r="F11" s="97">
        <f>550*(145/160)</f>
        <v>498.4375</v>
      </c>
      <c r="G11" s="97">
        <f>815*(145/160)</f>
        <v>738.59375</v>
      </c>
      <c r="I11" s="84" t="s">
        <v>32</v>
      </c>
      <c r="J11" s="85" t="s">
        <v>37</v>
      </c>
      <c r="K11" s="97" cm="1">
        <f t="array" ref="K11">Table56[[#This Row],[Deep Subprime]]*'Dynamic PD'!N11*Table70[[LGD]:[LGD]]</f>
        <v>4.2820312500000002</v>
      </c>
      <c r="L11" s="97" cm="1">
        <f t="array" ref="L11">Table56[[#This Row],[Sub Prime]]*'Dynamic PD'!O11*Table70[[LGD]:[LGD]]</f>
        <v>3.1809374999999998</v>
      </c>
      <c r="M11" s="97" cm="1">
        <f t="array" ref="M11">Table56[[#This Row],[Near Prime]]*'Dynamic PD'!P11*Table70[[LGD]:[LGD]]</f>
        <v>2.6507812500000001</v>
      </c>
      <c r="N11" s="97" cm="1">
        <f t="array" ref="N11">Table56[[#This Row],[Prime]]*'Dynamic PD'!Q11*Table70[[LGD]:[LGD]]</f>
        <v>3.3644531249999998</v>
      </c>
      <c r="O11" s="97" cm="1">
        <f t="array" ref="O11">Table56[[#This Row],[Super Prime]]*'Dynamic PD'!R11*Table70[[LGD]:[LGD]]</f>
        <v>4.4315625000000001</v>
      </c>
    </row>
    <row r="12" spans="1:15" x14ac:dyDescent="0.2">
      <c r="A12" s="87" t="s">
        <v>51</v>
      </c>
      <c r="B12" s="88" t="s">
        <v>35</v>
      </c>
      <c r="C12" s="97">
        <f>60*(145/160)</f>
        <v>54.375</v>
      </c>
      <c r="D12" s="97">
        <f>75*(145/160)</f>
        <v>67.96875</v>
      </c>
      <c r="E12" s="97">
        <f>95*(145/160)</f>
        <v>86.09375</v>
      </c>
      <c r="F12" s="97">
        <f>120*(145/160)</f>
        <v>108.75</v>
      </c>
      <c r="G12" s="97">
        <f>150*(145/160)</f>
        <v>135.9375</v>
      </c>
      <c r="I12" s="87" t="s">
        <v>51</v>
      </c>
      <c r="J12" s="88" t="s">
        <v>35</v>
      </c>
      <c r="K12" s="97" cm="1">
        <f t="array" ref="K12">Table56[[#This Row],[Deep Subprime]]*'Dynamic PD'!N12*Table70[[LGD]:[LGD]]</f>
        <v>1.4987109375000003</v>
      </c>
      <c r="L12" s="97" cm="1">
        <f t="array" ref="L12">Table56[[#This Row],[Sub Prime]]*'Dynamic PD'!O12*Table70[[LGD]:[LGD]]</f>
        <v>0.96345703125000004</v>
      </c>
      <c r="M12" s="97" cm="1">
        <f t="array" ref="M12">Table56[[#This Row],[Near Prime]]*'Dynamic PD'!P12*Table70[[LGD]:[LGD]]</f>
        <v>0.67798828124999999</v>
      </c>
      <c r="N12" s="97" cm="1">
        <f t="array" ref="N12">Table56[[#This Row],[Prime]]*'Dynamic PD'!Q12*Table70[[LGD]:[LGD]]</f>
        <v>0.77076562500000012</v>
      </c>
      <c r="O12" s="97" cm="1">
        <f t="array" ref="O12">Table56[[#This Row],[Super Prime]]*'Dynamic PD'!R12*Table70[[LGD]:[LGD]]</f>
        <v>0.85640625000000015</v>
      </c>
    </row>
    <row r="13" spans="1:15" x14ac:dyDescent="0.2">
      <c r="A13" s="84" t="s">
        <v>51</v>
      </c>
      <c r="B13" s="85" t="s">
        <v>36</v>
      </c>
      <c r="C13" s="97">
        <f>90*(145/160)</f>
        <v>81.5625</v>
      </c>
      <c r="D13" s="97">
        <f>115*(145/160)</f>
        <v>104.21875</v>
      </c>
      <c r="E13" s="97">
        <f>160*(145/160)</f>
        <v>145</v>
      </c>
      <c r="F13" s="97">
        <f>215*(145/160)</f>
        <v>194.84375</v>
      </c>
      <c r="G13" s="97">
        <f>290*(145/160)</f>
        <v>262.8125</v>
      </c>
      <c r="I13" s="84" t="s">
        <v>51</v>
      </c>
      <c r="J13" s="85" t="s">
        <v>36</v>
      </c>
      <c r="K13" s="97" cm="1">
        <f t="array" ref="K13">Table56[[#This Row],[Deep Subprime]]*'Dynamic PD'!N13*Table70[[LGD]:[LGD]]</f>
        <v>2.1410156250000001</v>
      </c>
      <c r="L13" s="97" cm="1">
        <f t="array" ref="L13">Table56[[#This Row],[Sub Prime]]*'Dynamic PD'!O13*Table70[[LGD]:[LGD]]</f>
        <v>1.4069531249999998</v>
      </c>
      <c r="M13" s="97" cm="1">
        <f t="array" ref="M13">Table56[[#This Row],[Near Prime]]*'Dynamic PD'!P13*Table70[[LGD]:[LGD]]</f>
        <v>1.0874999999999999</v>
      </c>
      <c r="N13" s="97" cm="1">
        <f t="array" ref="N13">Table56[[#This Row],[Prime]]*'Dynamic PD'!Q13*Table70[[LGD]:[LGD]]</f>
        <v>1.3151953124999998</v>
      </c>
      <c r="O13" s="97" cm="1">
        <f t="array" ref="O13">Table56[[#This Row],[Super Prime]]*'Dynamic PD'!R13*Table70[[LGD]:[LGD]]</f>
        <v>1.576875</v>
      </c>
    </row>
    <row r="14" spans="1:15" ht="17" x14ac:dyDescent="0.2">
      <c r="A14" s="89" t="s">
        <v>51</v>
      </c>
      <c r="B14" s="88" t="s">
        <v>37</v>
      </c>
      <c r="C14" s="97">
        <f>140*(145/160)</f>
        <v>126.875</v>
      </c>
      <c r="D14" s="97">
        <f>190*(145/160)</f>
        <v>172.1875</v>
      </c>
      <c r="E14" s="97">
        <f>285*(145/160)</f>
        <v>258.28125</v>
      </c>
      <c r="F14" s="97">
        <f>410*(145/160)</f>
        <v>371.5625</v>
      </c>
      <c r="G14" s="97">
        <f>640*(145/160)</f>
        <v>580</v>
      </c>
      <c r="I14" s="89" t="s">
        <v>51</v>
      </c>
      <c r="J14" s="88" t="s">
        <v>37</v>
      </c>
      <c r="K14" s="97" cm="1">
        <f t="array" ref="K14">Table56[[#This Row],[Deep Subprime]]*'Dynamic PD'!N14*Table70[[LGD]:[LGD]]</f>
        <v>3.3304687500000005</v>
      </c>
      <c r="L14" s="97" cm="1">
        <f t="array" ref="L14">Table56[[#This Row],[Sub Prime]]*'Dynamic PD'!O14*Table70[[LGD]:[LGD]]</f>
        <v>2.3245312499999997</v>
      </c>
      <c r="M14" s="97" cm="1">
        <f t="array" ref="M14">Table56[[#This Row],[Near Prime]]*'Dynamic PD'!P14*Table70[[LGD]:[LGD]]</f>
        <v>1.9371093750000001</v>
      </c>
      <c r="N14" s="97" cm="1">
        <f t="array" ref="N14">Table56[[#This Row],[Prime]]*'Dynamic PD'!Q14*Table70[[LGD]:[LGD]]</f>
        <v>2.5080468749999998</v>
      </c>
      <c r="O14" s="97" cm="1">
        <f t="array" ref="O14">Table56[[#This Row],[Super Prime]]*'Dynamic PD'!R14*Table70[[LGD]:[LGD]]</f>
        <v>3.4799999999999995</v>
      </c>
    </row>
    <row r="16" spans="1:15" ht="30" customHeight="1" x14ac:dyDescent="0.2">
      <c r="A16" t="s">
        <v>104</v>
      </c>
      <c r="C16" s="10"/>
      <c r="I16" t="s">
        <v>127</v>
      </c>
    </row>
    <row r="17" spans="1:15" x14ac:dyDescent="0.2">
      <c r="A17" t="s">
        <v>0</v>
      </c>
      <c r="B17" t="s">
        <v>38</v>
      </c>
      <c r="C17" t="s">
        <v>58</v>
      </c>
      <c r="D17" t="s">
        <v>83</v>
      </c>
      <c r="E17" t="s">
        <v>60</v>
      </c>
      <c r="F17" t="s">
        <v>61</v>
      </c>
      <c r="G17" t="s">
        <v>62</v>
      </c>
      <c r="H17" s="1"/>
      <c r="I17" s="8" t="s">
        <v>0</v>
      </c>
      <c r="J17" s="8" t="s">
        <v>34</v>
      </c>
      <c r="K17" s="8" t="s">
        <v>58</v>
      </c>
      <c r="L17" s="8" t="s">
        <v>83</v>
      </c>
      <c r="M17" s="8" t="s">
        <v>60</v>
      </c>
      <c r="N17" s="8" t="s">
        <v>61</v>
      </c>
      <c r="O17" s="8" t="s">
        <v>62</v>
      </c>
    </row>
    <row r="18" spans="1:15" x14ac:dyDescent="0.2">
      <c r="A18" s="69" t="s">
        <v>29</v>
      </c>
      <c r="B18" s="73" t="s">
        <v>35</v>
      </c>
      <c r="C18" s="97">
        <f>C3*'Portfolio x PD x Loan Count'!C131*'User Segmentation'!$I$49/'Portfolio x PD x Loan Count'!C64</f>
        <v>32.775917502088568</v>
      </c>
      <c r="D18" s="97">
        <f>D3*'Portfolio x PD x Loan Count'!D131*'User Segmentation'!$I$49/'Portfolio x PD x Loan Count'!D64</f>
        <v>13.854814351365542</v>
      </c>
      <c r="E18" s="97">
        <f>E3*'Portfolio x PD x Loan Count'!E131*'User Segmentation'!$I$49/'Portfolio x PD x Loan Count'!E64</f>
        <v>18.619241039853101</v>
      </c>
      <c r="F18" s="97">
        <f>F3*'Portfolio x PD x Loan Count'!F131*'User Segmentation'!$I$49/'Portfolio x PD x Loan Count'!F64</f>
        <v>22.474712371826175</v>
      </c>
      <c r="G18" s="97">
        <f>G3*'Portfolio x PD x Loan Count'!G131*'User Segmentation'!$I$49/'Portfolio x PD x Loan Count'!G64</f>
        <v>25.352518409090912</v>
      </c>
      <c r="H18" s="95"/>
      <c r="I18" s="69" t="s">
        <v>29</v>
      </c>
      <c r="J18" s="73" t="s">
        <v>35</v>
      </c>
      <c r="K18" s="97" cm="1">
        <f t="array" ref="K18">C3*Table70[[Funding Rate]:[Funding Rate]]*Table70[[Tenure (in months)]:[Tenure (in months)]]/12</f>
        <v>0.59189453125000002</v>
      </c>
      <c r="L18" s="97" cm="1">
        <f t="array" ref="L18">D3*Table70[[Funding Rate]:[Funding Rate]]*Table70[[Tenure (in months)]:[Tenure (in months)]]/12</f>
        <v>0.69951171874999984</v>
      </c>
      <c r="M18" s="97" cm="1">
        <f t="array" ref="M18">E3*Table70[[Funding Rate]:[Funding Rate]]*Table70[[Tenure (in months)]:[Tenure (in months)]]/12</f>
        <v>0.91474609375000016</v>
      </c>
      <c r="N18" s="97" cm="1">
        <f t="array" ref="N18">F3*Table70[[Funding Rate]:[Funding Rate]]*Table70[[Tenure (in months)]:[Tenure (in months)]]/12</f>
        <v>1.1837890625</v>
      </c>
      <c r="O18" s="97" cm="1">
        <f t="array" ref="O18">G3*Table70[[Funding Rate]:[Funding Rate]]*Table70[[Tenure (in months)]:[Tenure (in months)]]/12</f>
        <v>1.5604492187500003</v>
      </c>
    </row>
    <row r="19" spans="1:15" x14ac:dyDescent="0.2">
      <c r="A19" s="87" t="s">
        <v>29</v>
      </c>
      <c r="B19" s="88" t="s">
        <v>36</v>
      </c>
      <c r="C19" s="97">
        <f>C4*'Portfolio x PD x Loan Count'!C132*'User Segmentation'!$I$49/'Portfolio x PD x Loan Count'!C65</f>
        <v>47.674061821219723</v>
      </c>
      <c r="D19" s="97">
        <f>D4*'Portfolio x PD x Loan Count'!D132*'User Segmentation'!$I$49/'Portfolio x PD x Loan Count'!D65</f>
        <v>20.249344051995791</v>
      </c>
      <c r="E19" s="97">
        <f>E4*'Portfolio x PD x Loan Count'!E132*'User Segmentation'!$I$49/'Portfolio x PD x Loan Count'!E65</f>
        <v>26.28598735038085</v>
      </c>
      <c r="F19" s="97">
        <f>F4*'Portfolio x PD x Loan Count'!F132*'User Segmentation'!$I$49/'Portfolio x PD x Loan Count'!F65</f>
        <v>33.712068557739265</v>
      </c>
      <c r="G19" s="97">
        <f>G4*'Portfolio x PD x Loan Count'!G132*'User Segmentation'!$I$49/'Portfolio x PD x Loan Count'!G65</f>
        <v>36.717440454545468</v>
      </c>
      <c r="H19" s="95"/>
      <c r="I19" s="87" t="s">
        <v>29</v>
      </c>
      <c r="J19" s="88" t="s">
        <v>36</v>
      </c>
      <c r="K19" s="97" cm="1">
        <f t="array" ref="K19">C4*Table70[[Funding Rate]:[Funding Rate]]*Table70[[Tenure (in months)]:[Tenure (in months)]]/12</f>
        <v>0.86093750000000002</v>
      </c>
      <c r="L19" s="97" cm="1">
        <f t="array" ref="L19">D4*Table70[[Funding Rate]:[Funding Rate]]*Table70[[Tenure (in months)]:[Tenure (in months)]]/12</f>
        <v>1.0223632812500001</v>
      </c>
      <c r="M19" s="97" cm="1">
        <f t="array" ref="M19">E4*Table70[[Funding Rate]:[Funding Rate]]*Table70[[Tenure (in months)]:[Tenure (in months)]]/12</f>
        <v>1.2914062500000001</v>
      </c>
      <c r="N19" s="97" cm="1">
        <f t="array" ref="N19">F4*Table70[[Funding Rate]:[Funding Rate]]*Table70[[Tenure (in months)]:[Tenure (in months)]]/12</f>
        <v>1.77568359375</v>
      </c>
      <c r="O19" s="97" cm="1">
        <f t="array" ref="O19">G4*Table70[[Funding Rate]:[Funding Rate]]*Table70[[Tenure (in months)]:[Tenure (in months)]]/12</f>
        <v>2.2599609374999998</v>
      </c>
    </row>
    <row r="20" spans="1:15" x14ac:dyDescent="0.2">
      <c r="A20" s="84" t="s">
        <v>29</v>
      </c>
      <c r="B20" s="85" t="s">
        <v>37</v>
      </c>
      <c r="C20" s="97">
        <f>C5*'Portfolio x PD x Loan Count'!C133*'User Segmentation'!$I$49/'Portfolio x PD x Loan Count'!C66</f>
        <v>65.551835004177136</v>
      </c>
      <c r="D20" s="97">
        <f>D5*'Portfolio x PD x Loan Count'!D133*'User Segmentation'!$I$49/'Portfolio x PD x Loan Count'!D66</f>
        <v>29.841138602941172</v>
      </c>
      <c r="E20" s="97">
        <f>E5*'Portfolio x PD x Loan Count'!E133*'User Segmentation'!$I$49/'Portfolio x PD x Loan Count'!E66</f>
        <v>42.714729444368885</v>
      </c>
      <c r="F20" s="97">
        <f>F5*'Portfolio x PD x Loan Count'!F133*'User Segmentation'!$I$49/'Portfolio x PD x Loan Count'!F66</f>
        <v>59.251514434814474</v>
      </c>
      <c r="G20" s="97">
        <f>G5*'Portfolio x PD x Loan Count'!G133*'User Segmentation'!$I$49/'Portfolio x PD x Loan Count'!G66</f>
        <v>67.315307500000003</v>
      </c>
      <c r="H20" s="95"/>
      <c r="I20" s="84" t="s">
        <v>29</v>
      </c>
      <c r="J20" s="85" t="s">
        <v>37</v>
      </c>
      <c r="K20" s="97" cm="1">
        <f t="array" ref="K20">C5*Table70[[Funding Rate]:[Funding Rate]]*Table70[[Tenure (in months)]:[Tenure (in months)]]/12</f>
        <v>1.1837890625</v>
      </c>
      <c r="L20" s="97" cm="1">
        <f t="array" ref="L20">D5*Table70[[Funding Rate]:[Funding Rate]]*Table70[[Tenure (in months)]:[Tenure (in months)]]/12</f>
        <v>1.506640625</v>
      </c>
      <c r="M20" s="97" cm="1">
        <f t="array" ref="M20">E5*Table70[[Funding Rate]:[Funding Rate]]*Table70[[Tenure (in months)]:[Tenure (in months)]]/12</f>
        <v>2.0985351562500001</v>
      </c>
      <c r="N20" s="97" cm="1">
        <f t="array" ref="N20">F5*Table70[[Funding Rate]:[Funding Rate]]*Table70[[Tenure (in months)]:[Tenure (in months)]]/12</f>
        <v>3.1208984375000006</v>
      </c>
      <c r="O20" s="97" cm="1">
        <f t="array" ref="O20">G5*Table70[[Funding Rate]:[Funding Rate]]*Table70[[Tenure (in months)]:[Tenure (in months)]]/12</f>
        <v>4.1432617187499998</v>
      </c>
    </row>
    <row r="21" spans="1:15" x14ac:dyDescent="0.2">
      <c r="A21" s="87" t="s">
        <v>30</v>
      </c>
      <c r="B21" s="88" t="s">
        <v>35</v>
      </c>
      <c r="C21" s="97">
        <f>C6*'Portfolio x PD x Loan Count'!C134*'User Segmentation'!$I$49/'Portfolio x PD x Loan Count'!C67</f>
        <v>41.71480409356726</v>
      </c>
      <c r="D21" s="97">
        <f>D6*'Portfolio x PD x Loan Count'!D134*'User Segmentation'!$I$49/'Portfolio x PD x Loan Count'!D67</f>
        <v>18.117834151785708</v>
      </c>
      <c r="E21" s="97">
        <f>E6*'Portfolio x PD x Loan Count'!E134*'User Segmentation'!$I$49/'Portfolio x PD x Loan Count'!E67</f>
        <v>25.190737877448313</v>
      </c>
      <c r="F21" s="97">
        <f>F6*'Portfolio x PD x Loan Count'!F134*'User Segmentation'!$I$49/'Portfolio x PD x Loan Count'!F67</f>
        <v>30.647335052490241</v>
      </c>
      <c r="G21" s="97">
        <f>G6*'Portfolio x PD x Loan Count'!G134*'User Segmentation'!$I$49/'Portfolio x PD x Loan Count'!G67</f>
        <v>33.220541363636364</v>
      </c>
      <c r="H21" s="95"/>
      <c r="I21" s="87" t="s">
        <v>30</v>
      </c>
      <c r="J21" s="88" t="s">
        <v>35</v>
      </c>
      <c r="K21" s="97" cm="1">
        <f t="array" ref="K21">C6*Table70[[Funding Rate]:[Funding Rate]]*Table70[[Tenure (in months)]:[Tenure (in months)]]/12</f>
        <v>0.75332031249999998</v>
      </c>
      <c r="L21" s="97" cm="1">
        <f t="array" ref="L21">D6*Table70[[Funding Rate]:[Funding Rate]]*Table70[[Tenure (in months)]:[Tenure (in months)]]/12</f>
        <v>0.91474609375000016</v>
      </c>
      <c r="M21" s="97" cm="1">
        <f t="array" ref="M21">E6*Table70[[Funding Rate]:[Funding Rate]]*Table70[[Tenure (in months)]:[Tenure (in months)]]/12</f>
        <v>1.23759765625</v>
      </c>
      <c r="N21" s="97" cm="1">
        <f t="array" ref="N21">F6*Table70[[Funding Rate]:[Funding Rate]]*Table70[[Tenure (in months)]:[Tenure (in months)]]/12</f>
        <v>1.6142578125</v>
      </c>
      <c r="O21" s="97" cm="1">
        <f t="array" ref="O21">G6*Table70[[Funding Rate]:[Funding Rate]]*Table70[[Tenure (in months)]:[Tenure (in months)]]/12</f>
        <v>2.0447265625000002</v>
      </c>
    </row>
    <row r="22" spans="1:15" x14ac:dyDescent="0.2">
      <c r="A22" s="84" t="s">
        <v>30</v>
      </c>
      <c r="B22" s="85" t="s">
        <v>36</v>
      </c>
      <c r="C22" s="97">
        <f>C7*'Portfolio x PD x Loan Count'!C135*'User Segmentation'!$I$49/'Portfolio x PD x Loan Count'!C68</f>
        <v>56.612948412698429</v>
      </c>
      <c r="D22" s="97">
        <f>D7*'Portfolio x PD x Loan Count'!D135*'User Segmentation'!$I$49/'Portfolio x PD x Loan Count'!D68</f>
        <v>26.64387375262605</v>
      </c>
      <c r="E22" s="97">
        <f>E7*'Portfolio x PD x Loan Count'!E135*'User Segmentation'!$I$49/'Portfolio x PD x Loan Count'!E68</f>
        <v>39.428981025571282</v>
      </c>
      <c r="F22" s="97">
        <f>F7*'Portfolio x PD x Loan Count'!F135*'User Segmentation'!$I$49/'Portfolio x PD x Loan Count'!F68</f>
        <v>50.057313919067397</v>
      </c>
      <c r="G22" s="97">
        <f>G7*'Portfolio x PD x Loan Count'!G135*'User Segmentation'!$I$49/'Portfolio x PD x Loan Count'!G68</f>
        <v>57.698835000000017</v>
      </c>
      <c r="H22" s="95"/>
      <c r="I22" s="84" t="s">
        <v>30</v>
      </c>
      <c r="J22" s="85" t="s">
        <v>36</v>
      </c>
      <c r="K22" s="97" cm="1">
        <f t="array" ref="K22">C7*Table70[[Funding Rate]:[Funding Rate]]*Table70[[Tenure (in months)]:[Tenure (in months)]]/12</f>
        <v>1.0223632812500001</v>
      </c>
      <c r="L22" s="97" cm="1">
        <f t="array" ref="L22">D7*Table70[[Funding Rate]:[Funding Rate]]*Table70[[Tenure (in months)]:[Tenure (in months)]]/12</f>
        <v>1.34521484375</v>
      </c>
      <c r="M22" s="97" cm="1">
        <f t="array" ref="M22">E7*Table70[[Funding Rate]:[Funding Rate]]*Table70[[Tenure (in months)]:[Tenure (in months)]]/12</f>
        <v>1.9371093750000001</v>
      </c>
      <c r="N22" s="97" cm="1">
        <f t="array" ref="N22">F7*Table70[[Funding Rate]:[Funding Rate]]*Table70[[Tenure (in months)]:[Tenure (in months)]]/12</f>
        <v>2.6366210937500001</v>
      </c>
      <c r="O22" s="97" cm="1">
        <f t="array" ref="O22">G7*Table70[[Funding Rate]:[Funding Rate]]*Table70[[Tenure (in months)]:[Tenure (in months)]]/12</f>
        <v>3.5513671874999999</v>
      </c>
    </row>
    <row r="23" spans="1:15" x14ac:dyDescent="0.2">
      <c r="A23" s="87" t="s">
        <v>30</v>
      </c>
      <c r="B23" s="88" t="s">
        <v>37</v>
      </c>
      <c r="C23" s="97">
        <f>C8*'Portfolio x PD x Loan Count'!C136*'User Segmentation'!$I$49/'Portfolio x PD x Loan Count'!C69</f>
        <v>89.388865914787004</v>
      </c>
      <c r="D23" s="97">
        <f>D8*'Portfolio x PD x Loan Count'!D136*'User Segmentation'!$I$49/'Portfolio x PD x Loan Count'!D69</f>
        <v>44.76170790441175</v>
      </c>
      <c r="E23" s="97">
        <f>E8*'Portfolio x PD x Loan Count'!E136*'User Segmentation'!$I$49/'Portfolio x PD x Loan Count'!E69</f>
        <v>69.000716794749749</v>
      </c>
      <c r="F23" s="97">
        <f>F8*'Portfolio x PD x Loan Count'!F136*'User Segmentation'!$I$49/'Portfolio x PD x Loan Count'!F69</f>
        <v>98.071472167968764</v>
      </c>
      <c r="G23" s="97">
        <f>G8*'Portfolio x PD x Loan Count'!G136*'User Segmentation'!$I$49/'Portfolio x PD x Loan Count'!G69</f>
        <v>125.88836727272731</v>
      </c>
      <c r="H23" s="95"/>
      <c r="I23" s="87" t="s">
        <v>30</v>
      </c>
      <c r="J23" s="88" t="s">
        <v>37</v>
      </c>
      <c r="K23" s="97" cm="1">
        <f t="array" ref="K23">C8*Table70[[Funding Rate]:[Funding Rate]]*Table70[[Tenure (in months)]:[Tenure (in months)]]/12</f>
        <v>1.6142578125</v>
      </c>
      <c r="L23" s="97" cm="1">
        <f t="array" ref="L23">D8*Table70[[Funding Rate]:[Funding Rate]]*Table70[[Tenure (in months)]:[Tenure (in months)]]/12</f>
        <v>2.2599609374999998</v>
      </c>
      <c r="M23" s="97" cm="1">
        <f t="array" ref="M23">E8*Table70[[Funding Rate]:[Funding Rate]]*Table70[[Tenure (in months)]:[Tenure (in months)]]/12</f>
        <v>3.3899414062500006</v>
      </c>
      <c r="N23" s="97" cm="1">
        <f t="array" ref="N23">F8*Table70[[Funding Rate]:[Funding Rate]]*Table70[[Tenure (in months)]:[Tenure (in months)]]/12</f>
        <v>5.1656250000000004</v>
      </c>
      <c r="O23" s="97" cm="1">
        <f t="array" ref="O23">G8*Table70[[Funding Rate]:[Funding Rate]]*Table70[[Tenure (in months)]:[Tenure (in months)]]/12</f>
        <v>7.7484375000000005</v>
      </c>
    </row>
    <row r="24" spans="1:15" x14ac:dyDescent="0.2">
      <c r="A24" s="84" t="s">
        <v>32</v>
      </c>
      <c r="B24" s="85" t="s">
        <v>35</v>
      </c>
      <c r="C24" s="97">
        <f>C9*'Portfolio x PD x Loan Count'!C137*'User Segmentation'!$I$49/'Portfolio x PD x Loan Count'!C70</f>
        <v>44.694432957393495</v>
      </c>
      <c r="D24" s="97">
        <f>D9*'Portfolio x PD x Loan Count'!D137*'User Segmentation'!$I$49/'Portfolio x PD x Loan Count'!D70</f>
        <v>19.183589101890753</v>
      </c>
      <c r="E24" s="97">
        <f>E9*'Portfolio x PD x Loan Count'!E137*'User Segmentation'!$I$49/'Portfolio x PD x Loan Count'!E70</f>
        <v>26.285987350380854</v>
      </c>
      <c r="F24" s="97">
        <f>F9*'Portfolio x PD x Loan Count'!F137*'User Segmentation'!$I$49/'Portfolio x PD x Loan Count'!F70</f>
        <v>31.668912887573246</v>
      </c>
      <c r="G24" s="97">
        <f>G9*'Portfolio x PD x Loan Count'!G137*'User Segmentation'!$I$49/'Portfolio x PD x Loan Count'!G70</f>
        <v>32.34631659090909</v>
      </c>
      <c r="H24" s="95"/>
      <c r="I24" s="84" t="s">
        <v>32</v>
      </c>
      <c r="J24" s="85" t="s">
        <v>35</v>
      </c>
      <c r="K24" s="97" cm="1">
        <f t="array" ref="K24">C9*Table70[[Funding Rate]:[Funding Rate]]*Table70[[Tenure (in months)]:[Tenure (in months)]]/12</f>
        <v>0.80712890625</v>
      </c>
      <c r="L24" s="97" cm="1">
        <f t="array" ref="L24">D9*Table70[[Funding Rate]:[Funding Rate]]*Table70[[Tenure (in months)]:[Tenure (in months)]]/12</f>
        <v>0.96855468750000007</v>
      </c>
      <c r="M24" s="97" cm="1">
        <f t="array" ref="M24">E9*Table70[[Funding Rate]:[Funding Rate]]*Table70[[Tenure (in months)]:[Tenure (in months)]]/12</f>
        <v>1.2914062500000001</v>
      </c>
      <c r="N24" s="97" cm="1">
        <f t="array" ref="N24">F9*Table70[[Funding Rate]:[Funding Rate]]*Table70[[Tenure (in months)]:[Tenure (in months)]]/12</f>
        <v>1.6680664062499997</v>
      </c>
      <c r="O24" s="97" cm="1">
        <f t="array" ref="O24">G9*Table70[[Funding Rate]:[Funding Rate]]*Table70[[Tenure (in months)]:[Tenure (in months)]]/12</f>
        <v>1.99091796875</v>
      </c>
    </row>
    <row r="25" spans="1:15" x14ac:dyDescent="0.2">
      <c r="A25" s="87" t="s">
        <v>32</v>
      </c>
      <c r="B25" s="88" t="s">
        <v>36</v>
      </c>
      <c r="C25" s="97">
        <f>C10*'Portfolio x PD x Loan Count'!C138*'User Segmentation'!$I$49/'Portfolio x PD x Loan Count'!C71</f>
        <v>65.551835004177121</v>
      </c>
      <c r="D25" s="97">
        <f>D10*'Portfolio x PD x Loan Count'!D138*'User Segmentation'!$I$49/'Portfolio x PD x Loan Count'!D71</f>
        <v>31.972648503151255</v>
      </c>
      <c r="E25" s="97">
        <f>E10*'Portfolio x PD x Loan Count'!E138*'User Segmentation'!$I$49/'Portfolio x PD x Loan Count'!E71</f>
        <v>48.190976809031568</v>
      </c>
      <c r="F25" s="97">
        <f>F10*'Portfolio x PD x Loan Count'!F138*'User Segmentation'!$I$49/'Portfolio x PD x Loan Count'!F71</f>
        <v>63.337825775146491</v>
      </c>
      <c r="G25" s="97">
        <f>G10*'Portfolio x PD x Loan Count'!G138*'User Segmentation'!$I$49/'Portfolio x PD x Loan Count'!G71</f>
        <v>76.931780000000018</v>
      </c>
      <c r="H25" s="95"/>
      <c r="I25" s="87" t="s">
        <v>32</v>
      </c>
      <c r="J25" s="88" t="s">
        <v>36</v>
      </c>
      <c r="K25" s="97" cm="1">
        <f t="array" ref="K25">C10*Table70[[Funding Rate]:[Funding Rate]]*Table70[[Tenure (in months)]:[Tenure (in months)]]/12</f>
        <v>1.1837890625</v>
      </c>
      <c r="L25" s="97" cm="1">
        <f t="array" ref="L25">D10*Table70[[Funding Rate]:[Funding Rate]]*Table70[[Tenure (in months)]:[Tenure (in months)]]/12</f>
        <v>1.6142578125</v>
      </c>
      <c r="M25" s="97" cm="1">
        <f t="array" ref="M25">E10*Table70[[Funding Rate]:[Funding Rate]]*Table70[[Tenure (in months)]:[Tenure (in months)]]/12</f>
        <v>2.3675781250000001</v>
      </c>
      <c r="N25" s="97" cm="1">
        <f t="array" ref="N25">F10*Table70[[Funding Rate]:[Funding Rate]]*Table70[[Tenure (in months)]:[Tenure (in months)]]/12</f>
        <v>3.3361328124999994</v>
      </c>
      <c r="O25" s="97" cm="1">
        <f t="array" ref="O25">G10*Table70[[Funding Rate]:[Funding Rate]]*Table70[[Tenure (in months)]:[Tenure (in months)]]/12</f>
        <v>4.7351562500000002</v>
      </c>
    </row>
    <row r="26" spans="1:15" x14ac:dyDescent="0.2">
      <c r="A26" s="84" t="s">
        <v>32</v>
      </c>
      <c r="B26" s="85" t="s">
        <v>37</v>
      </c>
      <c r="C26" s="97">
        <f>C11*'Portfolio x PD x Loan Count'!C139*'User Segmentation'!$I$49/'Portfolio x PD x Loan Count'!C72</f>
        <v>107.26663909774437</v>
      </c>
      <c r="D26" s="97">
        <f>D11*'Portfolio x PD x Loan Count'!D139*'User Segmentation'!$I$49/'Portfolio x PD x Loan Count'!D72</f>
        <v>55.419257405462169</v>
      </c>
      <c r="E26" s="97">
        <f>E11*'Portfolio x PD x Loan Count'!E139*'User Segmentation'!$I$49/'Portfolio x PD x Loan Count'!E72</f>
        <v>85.42945888873777</v>
      </c>
      <c r="F26" s="97">
        <f>F11*'Portfolio x PD x Loan Count'!F139*'User Segmentation'!$I$49/'Portfolio x PD x Loan Count'!F72</f>
        <v>112.37356185913089</v>
      </c>
      <c r="G26" s="97">
        <f>G11*'Portfolio x PD x Loan Count'!G139*'User Segmentation'!$I$49/'Portfolio x PD x Loan Count'!G72</f>
        <v>142.49863795454547</v>
      </c>
      <c r="H26" s="95"/>
      <c r="I26" s="84" t="s">
        <v>32</v>
      </c>
      <c r="J26" s="85" t="s">
        <v>37</v>
      </c>
      <c r="K26" s="97" cm="1">
        <f t="array" ref="K26">C11*Table70[[Funding Rate]:[Funding Rate]]*Table70[[Tenure (in months)]:[Tenure (in months)]]/12</f>
        <v>1.9371093750000001</v>
      </c>
      <c r="L26" s="97" cm="1">
        <f t="array" ref="L26">D11*Table70[[Funding Rate]:[Funding Rate]]*Table70[[Tenure (in months)]:[Tenure (in months)]]/12</f>
        <v>2.7980468749999994</v>
      </c>
      <c r="M26" s="97" cm="1">
        <f t="array" ref="M26">E11*Table70[[Funding Rate]:[Funding Rate]]*Table70[[Tenure (in months)]:[Tenure (in months)]]/12</f>
        <v>4.1970703125000002</v>
      </c>
      <c r="N26" s="97" cm="1">
        <f t="array" ref="N26">F11*Table70[[Funding Rate]:[Funding Rate]]*Table70[[Tenure (in months)]:[Tenure (in months)]]/12</f>
        <v>5.9189453125</v>
      </c>
      <c r="O26" s="97" cm="1">
        <f t="array" ref="O26">G11*Table70[[Funding Rate]:[Funding Rate]]*Table70[[Tenure (in months)]:[Tenure (in months)]]/12</f>
        <v>8.7708007812499993</v>
      </c>
    </row>
    <row r="27" spans="1:15" x14ac:dyDescent="0.2">
      <c r="A27" s="87" t="s">
        <v>51</v>
      </c>
      <c r="B27" s="88" t="s">
        <v>35</v>
      </c>
      <c r="C27" s="97">
        <f>C12*'Portfolio x PD x Loan Count'!C140*'User Segmentation'!$I$49/'Portfolio x PD x Loan Count'!C73</f>
        <v>35.755546365914796</v>
      </c>
      <c r="D27" s="97">
        <f>D12*'Portfolio x PD x Loan Count'!D140*'User Segmentation'!$I$49/'Portfolio x PD x Loan Count'!D73</f>
        <v>15.986324251575628</v>
      </c>
      <c r="E27" s="97">
        <f>E12*'Portfolio x PD x Loan Count'!E140*'User Segmentation'!$I$49/'Portfolio x PD x Loan Count'!E73</f>
        <v>20.809739985718174</v>
      </c>
      <c r="F27" s="97">
        <f>F12*'Portfolio x PD x Loan Count'!F140*'User Segmentation'!$I$49/'Portfolio x PD x Loan Count'!F73</f>
        <v>24.517868041992191</v>
      </c>
      <c r="G27" s="97">
        <f>G12*'Portfolio x PD x Loan Count'!G140*'User Segmentation'!$I$49/'Portfolio x PD x Loan Count'!G73</f>
        <v>26.226743181818183</v>
      </c>
      <c r="H27" s="95"/>
      <c r="I27" s="87" t="s">
        <v>51</v>
      </c>
      <c r="J27" s="88" t="s">
        <v>35</v>
      </c>
      <c r="K27" s="97" cm="1">
        <f t="array" ref="K27">C12*Table70[[Funding Rate]:[Funding Rate]]*Table70[[Tenure (in months)]:[Tenure (in months)]]/12</f>
        <v>0.64570312500000004</v>
      </c>
      <c r="L27" s="97" cm="1">
        <f t="array" ref="L27">D12*Table70[[Funding Rate]:[Funding Rate]]*Table70[[Tenure (in months)]:[Tenure (in months)]]/12</f>
        <v>0.80712890625</v>
      </c>
      <c r="M27" s="97" cm="1">
        <f t="array" ref="M27">E12*Table70[[Funding Rate]:[Funding Rate]]*Table70[[Tenure (in months)]:[Tenure (in months)]]/12</f>
        <v>1.0223632812500001</v>
      </c>
      <c r="N27" s="97" cm="1">
        <f t="array" ref="N27">F12*Table70[[Funding Rate]:[Funding Rate]]*Table70[[Tenure (in months)]:[Tenure (in months)]]/12</f>
        <v>1.2914062500000001</v>
      </c>
      <c r="O27" s="97" cm="1">
        <f t="array" ref="O27">G12*Table70[[Funding Rate]:[Funding Rate]]*Table70[[Tenure (in months)]:[Tenure (in months)]]/12</f>
        <v>1.6142578125</v>
      </c>
    </row>
    <row r="28" spans="1:15" x14ac:dyDescent="0.2">
      <c r="A28" s="84" t="s">
        <v>51</v>
      </c>
      <c r="B28" s="85" t="s">
        <v>36</v>
      </c>
      <c r="C28" s="97">
        <f>C13*'Portfolio x PD x Loan Count'!C141*'User Segmentation'!$I$49/'Portfolio x PD x Loan Count'!C74</f>
        <v>53.633319548872194</v>
      </c>
      <c r="D28" s="97">
        <f>D13*'Portfolio x PD x Loan Count'!D141*'User Segmentation'!$I$49/'Portfolio x PD x Loan Count'!D74</f>
        <v>24.512363852415959</v>
      </c>
      <c r="E28" s="97">
        <f>E13*'Portfolio x PD x Loan Count'!E141*'User Segmentation'!$I$49/'Portfolio x PD x Loan Count'!E74</f>
        <v>35.047983133841136</v>
      </c>
      <c r="F28" s="97">
        <f>F13*'Portfolio x PD x Loan Count'!F141*'User Segmentation'!$I$49/'Portfolio x PD x Loan Count'!F74</f>
        <v>43.927846908569343</v>
      </c>
      <c r="G28" s="97">
        <f>G13*'Portfolio x PD x Loan Count'!G141*'User Segmentation'!$I$49/'Portfolio x PD x Loan Count'!G74</f>
        <v>50.705036818181824</v>
      </c>
      <c r="H28" s="95"/>
      <c r="I28" s="84" t="s">
        <v>51</v>
      </c>
      <c r="J28" s="85" t="s">
        <v>36</v>
      </c>
      <c r="K28" s="97" cm="1">
        <f t="array" ref="K28">C13*Table70[[Funding Rate]:[Funding Rate]]*Table70[[Tenure (in months)]:[Tenure (in months)]]/12</f>
        <v>0.96855468750000007</v>
      </c>
      <c r="L28" s="97" cm="1">
        <f t="array" ref="L28">D13*Table70[[Funding Rate]:[Funding Rate]]*Table70[[Tenure (in months)]:[Tenure (in months)]]/12</f>
        <v>1.23759765625</v>
      </c>
      <c r="M28" s="97" cm="1">
        <f t="array" ref="M28">E13*Table70[[Funding Rate]:[Funding Rate]]*Table70[[Tenure (in months)]:[Tenure (in months)]]/12</f>
        <v>1.721875</v>
      </c>
      <c r="N28" s="97" cm="1">
        <f t="array" ref="N28">F13*Table70[[Funding Rate]:[Funding Rate]]*Table70[[Tenure (in months)]:[Tenure (in months)]]/12</f>
        <v>2.3137695312500002</v>
      </c>
      <c r="O28" s="97" cm="1">
        <f t="array" ref="O28">G13*Table70[[Funding Rate]:[Funding Rate]]*Table70[[Tenure (in months)]:[Tenure (in months)]]/12</f>
        <v>3.1208984375000006</v>
      </c>
    </row>
    <row r="29" spans="1:15" ht="17" x14ac:dyDescent="0.2">
      <c r="A29" s="89" t="s">
        <v>51</v>
      </c>
      <c r="B29" s="88" t="s">
        <v>37</v>
      </c>
      <c r="C29" s="97">
        <f>C14*'Portfolio x PD x Loan Count'!C142*'User Segmentation'!$I$49/'Portfolio x PD x Loan Count'!C75</f>
        <v>83.429608187134519</v>
      </c>
      <c r="D29" s="97">
        <f>D14*'Portfolio x PD x Loan Count'!D142*'User Segmentation'!$I$49/'Portfolio x PD x Loan Count'!D75</f>
        <v>40.49868810399159</v>
      </c>
      <c r="E29" s="97">
        <f>E14*'Portfolio x PD x Loan Count'!E142*'User Segmentation'!$I$49/'Portfolio x PD x Loan Count'!E75</f>
        <v>62.429219957154523</v>
      </c>
      <c r="F29" s="97">
        <f>F14*'Portfolio x PD x Loan Count'!F142*'User Segmentation'!$I$49/'Portfolio x PD x Loan Count'!F75</f>
        <v>83.769382476806669</v>
      </c>
      <c r="G29" s="97">
        <f>G14*'Portfolio x PD x Loan Count'!G142*'User Segmentation'!$I$49/'Portfolio x PD x Loan Count'!G75</f>
        <v>111.90077090909091</v>
      </c>
      <c r="H29" s="95"/>
      <c r="I29" s="89" t="s">
        <v>51</v>
      </c>
      <c r="J29" s="88" t="s">
        <v>37</v>
      </c>
      <c r="K29" s="97" cm="1">
        <f t="array" ref="K29">C14*Table70[[Funding Rate]:[Funding Rate]]*Table70[[Tenure (in months)]:[Tenure (in months)]]/12</f>
        <v>1.506640625</v>
      </c>
      <c r="L29" s="97" cm="1">
        <f t="array" ref="L29">D14*Table70[[Funding Rate]:[Funding Rate]]*Table70[[Tenure (in months)]:[Tenure (in months)]]/12</f>
        <v>2.0447265625000002</v>
      </c>
      <c r="M29" s="97" cm="1">
        <f t="array" ref="M29">E14*Table70[[Funding Rate]:[Funding Rate]]*Table70[[Tenure (in months)]:[Tenure (in months)]]/12</f>
        <v>3.0670898437499994</v>
      </c>
      <c r="N29" s="97" cm="1">
        <f t="array" ref="N29">F14*Table70[[Funding Rate]:[Funding Rate]]*Table70[[Tenure (in months)]:[Tenure (in months)]]/12</f>
        <v>4.4123046874999998</v>
      </c>
      <c r="O29" s="97" cm="1">
        <f t="array" ref="O29">G14*Table70[[Funding Rate]:[Funding Rate]]*Table70[[Tenure (in months)]:[Tenure (in months)]]/12</f>
        <v>6.8875000000000002</v>
      </c>
    </row>
    <row r="31" spans="1:15" ht="17" x14ac:dyDescent="0.2">
      <c r="A31" s="62" t="s">
        <v>111</v>
      </c>
      <c r="D31" s="2"/>
      <c r="I31" s="101" t="s">
        <v>128</v>
      </c>
      <c r="J31" s="9"/>
      <c r="K31" s="9"/>
      <c r="L31" s="2"/>
      <c r="M31" s="9"/>
      <c r="N31" s="9"/>
      <c r="O31" s="9"/>
    </row>
    <row r="32" spans="1:15" x14ac:dyDescent="0.2">
      <c r="A32" t="s">
        <v>0</v>
      </c>
      <c r="B32" t="s">
        <v>38</v>
      </c>
      <c r="C32" t="s">
        <v>58</v>
      </c>
      <c r="D32" t="s">
        <v>83</v>
      </c>
      <c r="E32" t="s">
        <v>60</v>
      </c>
      <c r="F32" t="s">
        <v>61</v>
      </c>
      <c r="G32" t="s">
        <v>62</v>
      </c>
      <c r="I32" s="75" t="s">
        <v>0</v>
      </c>
      <c r="J32" s="75" t="s">
        <v>34</v>
      </c>
      <c r="K32" s="75" t="s">
        <v>58</v>
      </c>
      <c r="L32" s="75" t="s">
        <v>83</v>
      </c>
      <c r="M32" s="75" t="s">
        <v>60</v>
      </c>
      <c r="N32" s="75" t="s">
        <v>61</v>
      </c>
      <c r="O32" s="76" t="s">
        <v>62</v>
      </c>
    </row>
    <row r="33" spans="1:15" x14ac:dyDescent="0.2">
      <c r="A33" s="69" t="s">
        <v>29</v>
      </c>
      <c r="B33" s="73" t="s">
        <v>35</v>
      </c>
      <c r="C33" s="99">
        <f>C18*'Portfolio x PD x Loan Count'!C64</f>
        <v>165.70663025806633</v>
      </c>
      <c r="D33" s="99">
        <f>D18*'Portfolio x PD x Loan Count'!D64</f>
        <v>58.100957369118511</v>
      </c>
      <c r="E33" s="99">
        <f>E18*'Portfolio x PD x Loan Count'!E64</f>
        <v>35.434164314691877</v>
      </c>
      <c r="F33" s="99">
        <f>F18*'Portfolio x PD x Loan Count'!F64</f>
        <v>30.698340907765754</v>
      </c>
      <c r="G33" s="99">
        <f>G18*'Portfolio x PD x Loan Count'!G64</f>
        <v>12.249760558761299</v>
      </c>
      <c r="I33" s="73" t="s">
        <v>29</v>
      </c>
      <c r="J33" s="73" t="s">
        <v>35</v>
      </c>
      <c r="K33" s="102">
        <f>C3*'User Segmentation'!$I$49</f>
        <v>2.4921875</v>
      </c>
      <c r="L33" s="102">
        <f>D3*'User Segmentation'!$I$49</f>
        <v>2.9453125</v>
      </c>
      <c r="M33" s="102">
        <f>E3*'User Segmentation'!$I$49</f>
        <v>3.8515625</v>
      </c>
      <c r="N33" s="102">
        <f>F3*'User Segmentation'!$I$49</f>
        <v>4.984375</v>
      </c>
      <c r="O33" s="102">
        <f>G3*'User Segmentation'!$I$49</f>
        <v>6.5703125</v>
      </c>
    </row>
    <row r="34" spans="1:15" x14ac:dyDescent="0.2">
      <c r="A34" s="87" t="s">
        <v>29</v>
      </c>
      <c r="B34" s="88" t="s">
        <v>36</v>
      </c>
      <c r="C34" s="99">
        <f>C19*'Portfolio x PD x Loan Count'!C65</f>
        <v>13.286037947207456</v>
      </c>
      <c r="D34" s="99">
        <f>D19*'Portfolio x PD x Loan Count'!D65</f>
        <v>9.4494032379448143</v>
      </c>
      <c r="E34" s="99">
        <f>E19*'Portfolio x PD x Loan Count'!E65</f>
        <v>17.464058061473082</v>
      </c>
      <c r="F34" s="99">
        <f>F19*'Portfolio x PD x Loan Count'!F65</f>
        <v>25.428654339847068</v>
      </c>
      <c r="G34" s="99">
        <f>G19*'Portfolio x PD x Loan Count'!G65</f>
        <v>17.65161326591096</v>
      </c>
      <c r="I34" s="74" t="s">
        <v>29</v>
      </c>
      <c r="J34" s="74" t="s">
        <v>36</v>
      </c>
      <c r="K34" s="102">
        <f>C4*'User Segmentation'!$I$49</f>
        <v>3.625</v>
      </c>
      <c r="L34" s="102">
        <f>D4*'User Segmentation'!$I$49</f>
        <v>4.3046875</v>
      </c>
      <c r="M34" s="102">
        <f>E4*'User Segmentation'!$I$49</f>
        <v>5.4375</v>
      </c>
      <c r="N34" s="102">
        <f>F4*'User Segmentation'!$I$49</f>
        <v>7.4765625</v>
      </c>
      <c r="O34" s="102">
        <f>G4*'User Segmentation'!$I$49</f>
        <v>9.515625</v>
      </c>
    </row>
    <row r="35" spans="1:15" x14ac:dyDescent="0.2">
      <c r="A35" s="84" t="s">
        <v>29</v>
      </c>
      <c r="B35" s="85" t="s">
        <v>37</v>
      </c>
      <c r="C35" s="99">
        <f>C20*'Portfolio x PD x Loan Count'!C66</f>
        <v>0.90291491796732082</v>
      </c>
      <c r="D35" s="99">
        <f>D20*'Portfolio x PD x Loan Count'!D66</f>
        <v>1.4170219491589466</v>
      </c>
      <c r="E35" s="99">
        <f>E20*'Portfolio x PD x Loan Count'!E66</f>
        <v>3.9274006262113561</v>
      </c>
      <c r="F35" s="99">
        <f>F20*'Portfolio x PD x Loan Count'!F66</f>
        <v>11.425608398988373</v>
      </c>
      <c r="G35" s="99">
        <f>G20*'Portfolio x PD x Loan Count'!G66</f>
        <v>18.941021521568686</v>
      </c>
      <c r="I35" s="73" t="s">
        <v>29</v>
      </c>
      <c r="J35" s="73" t="s">
        <v>37</v>
      </c>
      <c r="K35" s="102">
        <f>C5*'User Segmentation'!$I$49</f>
        <v>4.984375</v>
      </c>
      <c r="L35" s="102">
        <f>D5*'User Segmentation'!$I$49</f>
        <v>6.34375</v>
      </c>
      <c r="M35" s="102">
        <f>E5*'User Segmentation'!$I$49</f>
        <v>8.8359375</v>
      </c>
      <c r="N35" s="102">
        <f>F5*'User Segmentation'!$I$49</f>
        <v>13.140625</v>
      </c>
      <c r="O35" s="102">
        <f>G5*'User Segmentation'!$I$49</f>
        <v>17.4453125</v>
      </c>
    </row>
    <row r="36" spans="1:15" x14ac:dyDescent="0.2">
      <c r="A36" s="87" t="s">
        <v>30</v>
      </c>
      <c r="B36" s="88" t="s">
        <v>35</v>
      </c>
      <c r="C36" s="99">
        <f>C21*'Portfolio x PD x Loan Count'!C67</f>
        <v>122.28996311824744</v>
      </c>
      <c r="D36" s="99">
        <f>D21*'Portfolio x PD x Loan Count'!D67</f>
        <v>44.055936288145318</v>
      </c>
      <c r="E36" s="99">
        <f>E21*'Portfolio x PD x Loan Count'!E67</f>
        <v>27.798200761060492</v>
      </c>
      <c r="F36" s="99">
        <f>F21*'Portfolio x PD x Loan Count'!F67</f>
        <v>24.273313011647314</v>
      </c>
      <c r="G36" s="99">
        <f>G21*'Portfolio x PD x Loan Count'!G67</f>
        <v>9.307408517810968</v>
      </c>
      <c r="I36" s="74" t="s">
        <v>30</v>
      </c>
      <c r="J36" s="74" t="s">
        <v>35</v>
      </c>
      <c r="K36" s="102">
        <f>C6*'User Segmentation'!$I$49</f>
        <v>3.171875</v>
      </c>
      <c r="L36" s="102">
        <f>D6*'User Segmentation'!$I$49</f>
        <v>3.8515625</v>
      </c>
      <c r="M36" s="102">
        <f>E6*'User Segmentation'!$I$49</f>
        <v>5.2109375</v>
      </c>
      <c r="N36" s="102">
        <f>F6*'User Segmentation'!$I$49</f>
        <v>6.796875</v>
      </c>
      <c r="O36" s="102">
        <f>G6*'User Segmentation'!$I$49</f>
        <v>8.609375</v>
      </c>
    </row>
    <row r="37" spans="1:15" x14ac:dyDescent="0.2">
      <c r="A37" s="84" t="s">
        <v>30</v>
      </c>
      <c r="B37" s="85" t="s">
        <v>36</v>
      </c>
      <c r="C37" s="99">
        <f>C22*'Portfolio x PD x Loan Count'!C68</f>
        <v>39.643024616056408</v>
      </c>
      <c r="D37" s="99">
        <f>D22*'Portfolio x PD x Loan Count'!D68</f>
        <v>31.241254534364018</v>
      </c>
      <c r="E37" s="99">
        <f>E22*'Portfolio x PD x Loan Count'!E68</f>
        <v>65.822458738766315</v>
      </c>
      <c r="F37" s="99">
        <f>F22*'Portfolio x PD x Loan Count'!F68</f>
        <v>94.873122351381951</v>
      </c>
      <c r="G37" s="99">
        <f>G22*'Portfolio x PD x Loan Count'!G68</f>
        <v>69.697423564287689</v>
      </c>
      <c r="I37" s="73" t="s">
        <v>30</v>
      </c>
      <c r="J37" s="73" t="s">
        <v>36</v>
      </c>
      <c r="K37" s="102">
        <f>C7*'User Segmentation'!$I$49</f>
        <v>4.3046875</v>
      </c>
      <c r="L37" s="102">
        <f>D7*'User Segmentation'!$I$49</f>
        <v>5.6640625</v>
      </c>
      <c r="M37" s="102">
        <f>E7*'User Segmentation'!$I$49</f>
        <v>8.15625</v>
      </c>
      <c r="N37" s="102">
        <f>F7*'User Segmentation'!$I$49</f>
        <v>11.1015625</v>
      </c>
      <c r="O37" s="102">
        <f>G7*'User Segmentation'!$I$49</f>
        <v>14.953125</v>
      </c>
    </row>
    <row r="38" spans="1:15" x14ac:dyDescent="0.2">
      <c r="A38" s="87" t="s">
        <v>30</v>
      </c>
      <c r="B38" s="88" t="s">
        <v>37</v>
      </c>
      <c r="C38" s="99">
        <f>C23*'Portfolio x PD x Loan Count'!C69</f>
        <v>9.2812042971061892</v>
      </c>
      <c r="D38" s="99">
        <f>D23*'Portfolio x PD x Loan Count'!D69</f>
        <v>16.0223703652598</v>
      </c>
      <c r="E38" s="99">
        <f>E23*'Portfolio x PD x Loan Count'!E69</f>
        <v>47.823359090718867</v>
      </c>
      <c r="F38" s="99">
        <f>F23*'Portfolio x PD x Loan Count'!F69</f>
        <v>142.55468818617999</v>
      </c>
      <c r="G38" s="99">
        <f>G23*'Portfolio x PD x Loan Count'!G69</f>
        <v>267.0140379560732</v>
      </c>
      <c r="I38" s="74" t="s">
        <v>30</v>
      </c>
      <c r="J38" s="74" t="s">
        <v>37</v>
      </c>
      <c r="K38" s="102">
        <f>C8*'User Segmentation'!$I$49</f>
        <v>6.796875</v>
      </c>
      <c r="L38" s="102">
        <f>D8*'User Segmentation'!$I$49</f>
        <v>9.515625</v>
      </c>
      <c r="M38" s="102">
        <f>E8*'User Segmentation'!$I$49</f>
        <v>14.2734375</v>
      </c>
      <c r="N38" s="102">
        <f>F8*'User Segmentation'!$I$49</f>
        <v>21.75</v>
      </c>
      <c r="O38" s="102">
        <f>G8*'User Segmentation'!$I$49</f>
        <v>32.625</v>
      </c>
    </row>
    <row r="39" spans="1:15" x14ac:dyDescent="0.2">
      <c r="A39" s="84" t="s">
        <v>32</v>
      </c>
      <c r="B39" s="85" t="s">
        <v>35</v>
      </c>
      <c r="C39" s="99">
        <f>C24*'Portfolio x PD x Loan Count'!C70</f>
        <v>46.900960059651652</v>
      </c>
      <c r="D39" s="99">
        <f>D24*'Portfolio x PD x Loan Count'!D70</f>
        <v>16.697663878875819</v>
      </c>
      <c r="E39" s="99">
        <f>E24*'Portfolio x PD x Loan Count'!E70</f>
        <v>10.383117965842871</v>
      </c>
      <c r="F39" s="99">
        <f>F24*'Portfolio x PD x Loan Count'!F70</f>
        <v>8.9783636329021306</v>
      </c>
      <c r="G39" s="99">
        <f>G24*'Portfolio x PD x Loan Count'!G70</f>
        <v>3.2439533419329072</v>
      </c>
      <c r="I39" s="73" t="s">
        <v>32</v>
      </c>
      <c r="J39" s="73" t="s">
        <v>35</v>
      </c>
      <c r="K39" s="102">
        <f>C9*'User Segmentation'!$I$49</f>
        <v>3.3984375</v>
      </c>
      <c r="L39" s="102">
        <f>D9*'User Segmentation'!$I$49</f>
        <v>4.078125</v>
      </c>
      <c r="M39" s="102">
        <f>E9*'User Segmentation'!$I$49</f>
        <v>5.4375</v>
      </c>
      <c r="N39" s="102">
        <f>F9*'User Segmentation'!$I$49</f>
        <v>7.0234375</v>
      </c>
      <c r="O39" s="102">
        <f>G9*'User Segmentation'!$I$49</f>
        <v>8.3828125</v>
      </c>
    </row>
    <row r="40" spans="1:15" x14ac:dyDescent="0.2">
      <c r="A40" s="87" t="s">
        <v>32</v>
      </c>
      <c r="B40" s="88" t="s">
        <v>36</v>
      </c>
      <c r="C40" s="99">
        <f>C25*'Portfolio x PD x Loan Count'!C71</f>
        <v>30.123469602262908</v>
      </c>
      <c r="D40" s="99">
        <f>D25*'Portfolio x PD x Loan Count'!D71</f>
        <v>24.60247739500613</v>
      </c>
      <c r="E40" s="99">
        <f>E25*'Portfolio x PD x Loan Count'!E71</f>
        <v>52.795074472146752</v>
      </c>
      <c r="F40" s="99">
        <f>F25*'Portfolio x PD x Loan Count'!F71</f>
        <v>78.778541025346286</v>
      </c>
      <c r="G40" s="99">
        <f>G25*'Portfolio x PD x Loan Count'!G71</f>
        <v>60.985219465158302</v>
      </c>
      <c r="I40" s="74" t="s">
        <v>32</v>
      </c>
      <c r="J40" s="74" t="s">
        <v>36</v>
      </c>
      <c r="K40" s="102">
        <f>C10*'User Segmentation'!$I$49</f>
        <v>4.984375</v>
      </c>
      <c r="L40" s="102">
        <f>D10*'User Segmentation'!$I$49</f>
        <v>6.796875</v>
      </c>
      <c r="M40" s="102">
        <f>E10*'User Segmentation'!$I$49</f>
        <v>9.96875</v>
      </c>
      <c r="N40" s="102">
        <f>F10*'User Segmentation'!$I$49</f>
        <v>14.046875</v>
      </c>
      <c r="O40" s="102">
        <f>G10*'User Segmentation'!$I$49</f>
        <v>19.9375</v>
      </c>
    </row>
    <row r="41" spans="1:15" x14ac:dyDescent="0.2">
      <c r="A41" s="84" t="s">
        <v>32</v>
      </c>
      <c r="B41" s="85" t="s">
        <v>37</v>
      </c>
      <c r="C41" s="99">
        <f>C26*'Portfolio x PD x Loan Count'!C72</f>
        <v>7.9733948176583098</v>
      </c>
      <c r="D41" s="99">
        <f>D26*'Portfolio x PD x Loan Count'!D72</f>
        <v>14.201640369724061</v>
      </c>
      <c r="E41" s="99">
        <f>E26*'Portfolio x PD x Loan Count'!E72</f>
        <v>42.388868288250336</v>
      </c>
      <c r="F41" s="99">
        <f>F26*'Portfolio x PD x Loan Count'!F72</f>
        <v>116.93934250313137</v>
      </c>
      <c r="G41" s="99">
        <f>G26*'Portfolio x PD x Loan Count'!G72</f>
        <v>216.37989108862962</v>
      </c>
      <c r="I41" s="73" t="s">
        <v>32</v>
      </c>
      <c r="J41" s="73" t="s">
        <v>37</v>
      </c>
      <c r="K41" s="102">
        <f>C11*'User Segmentation'!$I$49</f>
        <v>8.15625</v>
      </c>
      <c r="L41" s="102">
        <f>D11*'User Segmentation'!$I$49</f>
        <v>11.78125</v>
      </c>
      <c r="M41" s="102">
        <f>E11*'User Segmentation'!$I$49</f>
        <v>17.671875</v>
      </c>
      <c r="N41" s="102">
        <f>F11*'User Segmentation'!$I$49</f>
        <v>24.921875</v>
      </c>
      <c r="O41" s="102">
        <f>G11*'User Segmentation'!$I$49</f>
        <v>36.9296875</v>
      </c>
    </row>
    <row r="42" spans="1:15" x14ac:dyDescent="0.2">
      <c r="A42" s="87" t="s">
        <v>51</v>
      </c>
      <c r="B42" s="88" t="s">
        <v>35</v>
      </c>
      <c r="C42" s="99">
        <f>C27*'Portfolio x PD x Loan Count'!C73</f>
        <v>38.279469042160024</v>
      </c>
      <c r="D42" s="99">
        <f>D27*'Portfolio x PD x Loan Count'!D73</f>
        <v>14.196087055815623</v>
      </c>
      <c r="E42" s="99">
        <f>E27*'Portfolio x PD x Loan Count'!E73</f>
        <v>8.3861829560100585</v>
      </c>
      <c r="F42" s="99">
        <f>F27*'Portfolio x PD x Loan Count'!F73</f>
        <v>7.0915459966472385</v>
      </c>
      <c r="G42" s="99">
        <f>G27*'Portfolio x PD x Loan Count'!G73</f>
        <v>2.6834179169742685</v>
      </c>
      <c r="I42" s="74" t="s">
        <v>51</v>
      </c>
      <c r="J42" s="74" t="s">
        <v>35</v>
      </c>
      <c r="K42" s="102">
        <f>C12*'User Segmentation'!$I$49</f>
        <v>2.71875</v>
      </c>
      <c r="L42" s="102">
        <f>D12*'User Segmentation'!$I$49</f>
        <v>3.3984375</v>
      </c>
      <c r="M42" s="102">
        <f>E12*'User Segmentation'!$I$49</f>
        <v>4.3046875</v>
      </c>
      <c r="N42" s="102">
        <f>F12*'User Segmentation'!$I$49</f>
        <v>5.4375</v>
      </c>
      <c r="O42" s="102">
        <f>G12*'User Segmentation'!$I$49</f>
        <v>6.796875</v>
      </c>
    </row>
    <row r="43" spans="1:15" x14ac:dyDescent="0.2">
      <c r="A43" s="84" t="s">
        <v>51</v>
      </c>
      <c r="B43" s="85" t="s">
        <v>36</v>
      </c>
      <c r="C43" s="99">
        <f>C28*'Portfolio x PD x Loan Count'!C74</f>
        <v>11.429476028070292</v>
      </c>
      <c r="D43" s="99">
        <f>D28*'Portfolio x PD x Loan Count'!D74</f>
        <v>8.746955707751388</v>
      </c>
      <c r="E43" s="99">
        <f>E28*'Portfolio x PD x Loan Count'!E74</f>
        <v>17.805829616040054</v>
      </c>
      <c r="F43" s="99">
        <f>F28*'Portfolio x PD x Loan Count'!F74</f>
        <v>25.337059083275726</v>
      </c>
      <c r="G43" s="99">
        <f>G28*'Portfolio x PD x Loan Count'!G74</f>
        <v>18.639807249279265</v>
      </c>
      <c r="I43" s="73" t="s">
        <v>51</v>
      </c>
      <c r="J43" s="73" t="s">
        <v>36</v>
      </c>
      <c r="K43" s="102">
        <f>C13*'User Segmentation'!$I$49</f>
        <v>4.078125</v>
      </c>
      <c r="L43" s="102">
        <f>D13*'User Segmentation'!$I$49</f>
        <v>5.2109375</v>
      </c>
      <c r="M43" s="102">
        <f>E13*'User Segmentation'!$I$49</f>
        <v>7.25</v>
      </c>
      <c r="N43" s="102">
        <f>F13*'User Segmentation'!$I$49</f>
        <v>9.7421875</v>
      </c>
      <c r="O43" s="102">
        <f>G13*'User Segmentation'!$I$49</f>
        <v>13.140625</v>
      </c>
    </row>
    <row r="44" spans="1:15" ht="17" x14ac:dyDescent="0.2">
      <c r="A44" s="89" t="s">
        <v>51</v>
      </c>
      <c r="B44" s="88" t="s">
        <v>37</v>
      </c>
      <c r="C44" s="99">
        <f>C29*'Portfolio x PD x Loan Count'!C75</f>
        <v>2.1089764531817057</v>
      </c>
      <c r="D44" s="99">
        <f>D29*'Portfolio x PD x Loan Count'!D75</f>
        <v>3.5293253413194252</v>
      </c>
      <c r="E44" s="99">
        <f>E29*'Portfolio x PD x Loan Count'!E75</f>
        <v>10.534283585895373</v>
      </c>
      <c r="F44" s="99">
        <f>F29*'Portfolio x PD x Loan Count'!F75</f>
        <v>29.645224641602411</v>
      </c>
      <c r="G44" s="99">
        <f>G29*'Portfolio x PD x Loan Count'!G75</f>
        <v>57.78461097973625</v>
      </c>
      <c r="I44" s="103" t="s">
        <v>51</v>
      </c>
      <c r="J44" s="104" t="s">
        <v>37</v>
      </c>
      <c r="K44" s="105">
        <f>C14*'User Segmentation'!$I$49</f>
        <v>6.34375</v>
      </c>
      <c r="L44" s="105">
        <f>D14*'User Segmentation'!$I$49</f>
        <v>8.609375</v>
      </c>
      <c r="M44" s="105">
        <f>E14*'User Segmentation'!$I$49</f>
        <v>12.9140625</v>
      </c>
      <c r="N44" s="105">
        <f>F14*'User Segmentation'!$I$49</f>
        <v>18.578125</v>
      </c>
      <c r="O44" s="105">
        <f>G14*'User Segmentation'!$I$49</f>
        <v>29</v>
      </c>
    </row>
    <row r="46" spans="1:15" x14ac:dyDescent="0.2">
      <c r="B46" s="10"/>
    </row>
    <row r="47" spans="1:15" x14ac:dyDescent="0.2">
      <c r="B47" s="99"/>
    </row>
  </sheetData>
  <sheetProtection algorithmName="SHA-512" hashValue="0z7R60JSyuXKCcBbi2glFRr8DBSJCbXbiVVPFdNU0/IIX1fb5E69Sl+5plJkgWWSu6/l7mpN7EnptsN5xADmgg==" saltValue="51+ZuDXXeTWI+QHDrO1HNA==" spinCount="100000" sheet="1" objects="1" scenarios="1"/>
  <conditionalFormatting sqref="C3:G1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{3A093607-0883-2946-BFD5-7C516048EB03}</x14:id>
        </ext>
      </extLst>
    </cfRule>
  </conditionalFormatting>
  <conditionalFormatting sqref="C18:G2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{2E1D2847-F77A-5C4D-A3CC-850D4DADE357}</x14:id>
        </ext>
      </extLst>
    </cfRule>
  </conditionalFormatting>
  <conditionalFormatting sqref="C33:G4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{B3F6D345-DC86-B448-B460-496E1446C28F}</x14:id>
        </ext>
      </extLst>
    </cfRule>
  </conditionalFormatting>
  <conditionalFormatting sqref="K3:O14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18:O29">
    <cfRule type="colorScale" priority="2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33:O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tableParts count="6">
    <tablePart r:id="rId1"/>
    <tablePart r:id="rId2"/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093607-0883-2946-BFD5-7C516048EB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C3:G14</xm:sqref>
        </x14:conditionalFormatting>
        <x14:conditionalFormatting xmlns:xm="http://schemas.microsoft.com/office/excel/2006/main">
          <x14:cfRule type="dataBar" id="{2E1D2847-F77A-5C4D-A3CC-850D4DADE3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C18:G29</xm:sqref>
        </x14:conditionalFormatting>
        <x14:conditionalFormatting xmlns:xm="http://schemas.microsoft.com/office/excel/2006/main">
          <x14:cfRule type="dataBar" id="{B3F6D345-DC86-B448-B460-496E1446C2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C33:G44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009CC-C72B-3941-A90B-53EE1D22603A}">
  <sheetPr codeName="Sheet5">
    <tabColor theme="2" tint="-9.9978637043366805E-2"/>
  </sheetPr>
  <dimension ref="F1:R35"/>
  <sheetViews>
    <sheetView workbookViewId="0">
      <selection activeCell="G2" sqref="G2"/>
    </sheetView>
  </sheetViews>
  <sheetFormatPr baseColWidth="10" defaultRowHeight="16" x14ac:dyDescent="0.2"/>
  <cols>
    <col min="6" max="6" width="20.6640625" customWidth="1"/>
    <col min="7" max="7" width="14.6640625" bestFit="1" customWidth="1"/>
    <col min="8" max="8" width="13.83203125" customWidth="1"/>
    <col min="9" max="9" width="14.83203125" customWidth="1"/>
    <col min="10" max="10" width="19.83203125" bestFit="1" customWidth="1"/>
    <col min="12" max="12" width="18.83203125" customWidth="1"/>
    <col min="13" max="13" width="15.6640625" customWidth="1"/>
    <col min="14" max="14" width="14.83203125" customWidth="1"/>
    <col min="15" max="15" width="10.1640625" customWidth="1"/>
    <col min="16" max="16" width="10.83203125" customWidth="1"/>
    <col min="17" max="17" width="9.1640625" bestFit="1" customWidth="1"/>
    <col min="18" max="18" width="11.1640625" bestFit="1" customWidth="1"/>
  </cols>
  <sheetData>
    <row r="1" spans="6:18" x14ac:dyDescent="0.2">
      <c r="F1" t="s">
        <v>113</v>
      </c>
      <c r="G1" t="s">
        <v>114</v>
      </c>
      <c r="L1" t="str" cm="1">
        <f t="array" ref="L1:R14">'Portfolio x PD x Loan Count'!A92:G105</f>
        <v>Default Rate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</row>
    <row r="2" spans="6:18" x14ac:dyDescent="0.2">
      <c r="F2" s="12" t="s">
        <v>35</v>
      </c>
      <c r="G2">
        <v>1.4</v>
      </c>
      <c r="L2" t="str">
        <v>Generation</v>
      </c>
      <c r="M2" t="str">
        <v>Income Bracket</v>
      </c>
      <c r="N2" t="str">
        <v>Deep Subprime</v>
      </c>
      <c r="O2" t="str">
        <v>Sub Prime</v>
      </c>
      <c r="P2" t="str">
        <v>Near Prime</v>
      </c>
      <c r="Q2" t="str">
        <v>Prime</v>
      </c>
      <c r="R2" t="str">
        <v>Super Prime</v>
      </c>
    </row>
    <row r="3" spans="6:18" x14ac:dyDescent="0.2">
      <c r="F3" s="12" t="s">
        <v>36</v>
      </c>
      <c r="G3">
        <v>1.2</v>
      </c>
      <c r="L3" t="str">
        <v>Gen Z</v>
      </c>
      <c r="M3" t="str">
        <v>&lt;50,000</v>
      </c>
      <c r="N3" s="65">
        <v>3.8500000000000006E-2</v>
      </c>
      <c r="O3" s="65">
        <v>1.9800000000000002E-2</v>
      </c>
      <c r="P3" s="65">
        <v>1.1000000000000001E-2</v>
      </c>
      <c r="Q3" s="65">
        <v>9.9000000000000008E-3</v>
      </c>
      <c r="R3" s="65">
        <v>8.8000000000000005E-3</v>
      </c>
    </row>
    <row r="4" spans="6:18" x14ac:dyDescent="0.2">
      <c r="F4" s="100" t="s">
        <v>37</v>
      </c>
      <c r="G4">
        <v>1.05</v>
      </c>
      <c r="L4" t="str">
        <v>Gen Z</v>
      </c>
      <c r="M4" t="str">
        <v>50,000-1,00,000</v>
      </c>
      <c r="N4" s="65">
        <v>3.7800000000000007E-2</v>
      </c>
      <c r="O4" s="65">
        <v>1.9439999999999999E-2</v>
      </c>
      <c r="P4" s="65">
        <v>1.0800000000000001E-2</v>
      </c>
      <c r="Q4" s="65">
        <v>9.7199999999999995E-3</v>
      </c>
      <c r="R4" s="65">
        <v>8.6400000000000001E-3</v>
      </c>
    </row>
    <row r="5" spans="6:18" x14ac:dyDescent="0.2">
      <c r="L5" t="str">
        <v>Gen Z</v>
      </c>
      <c r="M5" t="str">
        <v>&gt;1,00,000</v>
      </c>
      <c r="N5" s="65">
        <v>3.5000000000000003E-2</v>
      </c>
      <c r="O5" s="65">
        <v>1.7999999999999999E-2</v>
      </c>
      <c r="P5" s="65">
        <v>0.01</v>
      </c>
      <c r="Q5" s="65">
        <v>8.9999999999999993E-3</v>
      </c>
      <c r="R5" s="65">
        <v>8.0000000000000002E-3</v>
      </c>
    </row>
    <row r="6" spans="6:18" x14ac:dyDescent="0.2">
      <c r="F6" t="s">
        <v>115</v>
      </c>
      <c r="G6" t="s">
        <v>114</v>
      </c>
      <c r="L6" t="str">
        <v>Millenial</v>
      </c>
      <c r="M6" t="str">
        <v>&lt;50,000</v>
      </c>
      <c r="N6" s="65">
        <v>3.8500000000000006E-2</v>
      </c>
      <c r="O6" s="65">
        <v>1.9800000000000002E-2</v>
      </c>
      <c r="P6" s="65">
        <v>1.1000000000000001E-2</v>
      </c>
      <c r="Q6" s="65">
        <v>9.9000000000000008E-3</v>
      </c>
      <c r="R6" s="65">
        <v>8.8000000000000005E-3</v>
      </c>
    </row>
    <row r="7" spans="6:18" x14ac:dyDescent="0.2">
      <c r="F7" t="s">
        <v>58</v>
      </c>
      <c r="G7">
        <v>1.35</v>
      </c>
      <c r="L7" t="str">
        <v>Millenial</v>
      </c>
      <c r="M7" t="str">
        <v>50,000-1,00,000</v>
      </c>
      <c r="N7" s="65">
        <v>3.6400000000000002E-2</v>
      </c>
      <c r="O7" s="65">
        <v>1.8720000000000001E-2</v>
      </c>
      <c r="P7" s="65">
        <v>1.0400000000000001E-2</v>
      </c>
      <c r="Q7" s="65">
        <v>9.3600000000000003E-3</v>
      </c>
      <c r="R7" s="65">
        <v>8.320000000000001E-3</v>
      </c>
    </row>
    <row r="8" spans="6:18" x14ac:dyDescent="0.2">
      <c r="F8" t="s">
        <v>83</v>
      </c>
      <c r="G8">
        <v>1.2</v>
      </c>
      <c r="L8" t="str">
        <v>Millenial</v>
      </c>
      <c r="M8" t="str">
        <v>&gt;1,00,000</v>
      </c>
      <c r="N8" s="65">
        <v>3.5000000000000003E-2</v>
      </c>
      <c r="O8" s="65">
        <v>1.7999999999999999E-2</v>
      </c>
      <c r="P8" s="65">
        <v>0.01</v>
      </c>
      <c r="Q8" s="65">
        <v>8.9999999999999993E-3</v>
      </c>
      <c r="R8" s="65">
        <v>8.0000000000000002E-3</v>
      </c>
    </row>
    <row r="9" spans="6:18" x14ac:dyDescent="0.2">
      <c r="F9" t="s">
        <v>60</v>
      </c>
      <c r="G9">
        <v>1.1000000000000001</v>
      </c>
      <c r="L9" t="str">
        <v>Gen X</v>
      </c>
      <c r="M9" t="str">
        <v>&lt;50,000</v>
      </c>
      <c r="N9" s="65">
        <v>3.5000000000000003E-2</v>
      </c>
      <c r="O9" s="65">
        <v>1.7999999999999999E-2</v>
      </c>
      <c r="P9" s="65">
        <v>0.01</v>
      </c>
      <c r="Q9" s="65">
        <v>8.9999999999999993E-3</v>
      </c>
      <c r="R9" s="65">
        <v>8.0000000000000002E-3</v>
      </c>
    </row>
    <row r="10" spans="6:18" x14ac:dyDescent="0.2">
      <c r="F10" t="s">
        <v>61</v>
      </c>
      <c r="G10">
        <v>1.05</v>
      </c>
      <c r="L10" t="str">
        <v>Gen X</v>
      </c>
      <c r="M10" t="str">
        <v>50,000-1,00,000</v>
      </c>
      <c r="N10" s="65">
        <v>3.5000000000000003E-2</v>
      </c>
      <c r="O10" s="65">
        <v>1.7999999999999999E-2</v>
      </c>
      <c r="P10" s="65">
        <v>0.01</v>
      </c>
      <c r="Q10" s="65">
        <v>8.9999999999999993E-3</v>
      </c>
      <c r="R10" s="65">
        <v>8.0000000000000002E-3</v>
      </c>
    </row>
    <row r="11" spans="6:18" x14ac:dyDescent="0.2">
      <c r="F11" t="s">
        <v>62</v>
      </c>
      <c r="G11">
        <v>1.02</v>
      </c>
      <c r="L11" t="str">
        <v>Gen X</v>
      </c>
      <c r="M11" t="str">
        <v>&gt;1,00,000</v>
      </c>
      <c r="N11" s="65">
        <v>3.5000000000000003E-2</v>
      </c>
      <c r="O11" s="65">
        <v>1.7999999999999999E-2</v>
      </c>
      <c r="P11" s="65">
        <v>0.01</v>
      </c>
      <c r="Q11" s="65">
        <v>8.9999999999999993E-3</v>
      </c>
      <c r="R11" s="65">
        <v>8.0000000000000002E-3</v>
      </c>
    </row>
    <row r="12" spans="6:18" x14ac:dyDescent="0.2">
      <c r="L12" t="str">
        <v>Baby Boomer</v>
      </c>
      <c r="M12" t="str">
        <v>&lt;50,000</v>
      </c>
      <c r="N12" s="65">
        <v>3.6750000000000005E-2</v>
      </c>
      <c r="O12" s="65">
        <v>1.89E-2</v>
      </c>
      <c r="P12" s="65">
        <v>1.0500000000000001E-2</v>
      </c>
      <c r="Q12" s="65">
        <v>9.4500000000000001E-3</v>
      </c>
      <c r="R12" s="65">
        <v>8.4000000000000012E-3</v>
      </c>
    </row>
    <row r="13" spans="6:18" x14ac:dyDescent="0.2">
      <c r="F13" t="s">
        <v>116</v>
      </c>
      <c r="G13" t="s">
        <v>122</v>
      </c>
      <c r="H13" t="s">
        <v>123</v>
      </c>
      <c r="I13" t="s">
        <v>124</v>
      </c>
      <c r="J13" t="s">
        <v>125</v>
      </c>
      <c r="L13" t="str">
        <v>Baby Boomer</v>
      </c>
      <c r="M13" t="str">
        <v>50,000-1,00,000</v>
      </c>
      <c r="N13" s="65">
        <v>3.5000000000000003E-2</v>
      </c>
      <c r="O13" s="65">
        <v>1.7999999999999999E-2</v>
      </c>
      <c r="P13" s="65">
        <v>0.01</v>
      </c>
      <c r="Q13" s="65">
        <v>8.9999999999999993E-3</v>
      </c>
      <c r="R13" s="65">
        <v>8.0000000000000002E-3</v>
      </c>
    </row>
    <row r="14" spans="6:18" x14ac:dyDescent="0.2">
      <c r="F14">
        <f>(VLOOKUP($G$17,Table65[#All],2,0))*(VLOOKUP($H$17,Table67[#All],2,0))</f>
        <v>1.89</v>
      </c>
      <c r="G14" s="3">
        <v>0.75</v>
      </c>
      <c r="H14" s="97">
        <v>3</v>
      </c>
      <c r="I14" s="61">
        <f>(9.5% +Dashboard!$Q$25/10000)</f>
        <v>9.5000000000000001E-2</v>
      </c>
      <c r="J14" s="10">
        <v>1.5</v>
      </c>
      <c r="L14" t="str">
        <v>Baby Boomer</v>
      </c>
      <c r="M14" t="str">
        <v>&gt;1,00,000</v>
      </c>
      <c r="N14" s="65">
        <v>3.5000000000000003E-2</v>
      </c>
      <c r="O14" s="65">
        <v>1.7999999999999999E-2</v>
      </c>
      <c r="P14" s="65">
        <v>0.01</v>
      </c>
      <c r="Q14" s="65">
        <v>8.9999999999999993E-3</v>
      </c>
      <c r="R14" s="65">
        <v>8.0000000000000002E-3</v>
      </c>
    </row>
    <row r="16" spans="6:18" x14ac:dyDescent="0.2">
      <c r="F16" t="s">
        <v>0</v>
      </c>
      <c r="G16" t="s">
        <v>117</v>
      </c>
      <c r="H16" t="s">
        <v>57</v>
      </c>
      <c r="J16" t="s">
        <v>118</v>
      </c>
      <c r="L16" t="s">
        <v>120</v>
      </c>
    </row>
    <row r="17" spans="6:18" x14ac:dyDescent="0.2">
      <c r="F17" t="s">
        <v>29</v>
      </c>
      <c r="G17" t="s">
        <v>35</v>
      </c>
      <c r="H17" t="s">
        <v>58</v>
      </c>
      <c r="I17">
        <v>3</v>
      </c>
      <c r="J17" s="99" cm="1">
        <f t="array" ref="J17">Table69[[ATS]:[ATS]]*(1+$I$17)</f>
        <v>199.375</v>
      </c>
      <c r="L17" s="65" cm="1">
        <f t="array" ref="L17">INDEX($N$3:$R$14,
       MATCH(1,($L$3:$L$14=$F$17)*($M$3:$M$14=$G$17),0),
       MATCH($H$17,$N$2:$R$2,0))</f>
        <v>3.8500000000000006E-2</v>
      </c>
    </row>
    <row r="19" spans="6:18" x14ac:dyDescent="0.2">
      <c r="F19" t="s">
        <v>119</v>
      </c>
      <c r="I19" s="65"/>
      <c r="J19" s="65"/>
      <c r="L19" t="str" cm="1">
        <f t="array" ref="L19:R32">'Support Tables'!A1:G14</f>
        <v>Average Ticket Size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6:18" x14ac:dyDescent="0.2">
      <c r="F20" s="65" cm="1">
        <f t="array" ref="F20">IF($J$17&lt;Table69[ATS],Table68[PD(0)],Table68[PD(0)]*($J$17/Table69[ATS])^Table70[Beta Segment])</f>
        <v>0.52887630884565628</v>
      </c>
      <c r="G20" s="97"/>
      <c r="L20" t="str">
        <v>Generation</v>
      </c>
      <c r="M20" t="str">
        <v>Income Bracket</v>
      </c>
      <c r="N20" t="str">
        <v>Deep Subprime</v>
      </c>
      <c r="O20" t="str">
        <v>Sub Prime</v>
      </c>
      <c r="P20" t="str">
        <v>Near Prime</v>
      </c>
      <c r="Q20" t="str">
        <v>Prime</v>
      </c>
      <c r="R20" t="str">
        <v>Super Prime</v>
      </c>
    </row>
    <row r="21" spans="6:18" x14ac:dyDescent="0.2">
      <c r="L21" t="str">
        <v>Gen Z</v>
      </c>
      <c r="M21" t="str">
        <v>&lt;50,000</v>
      </c>
      <c r="N21" s="99">
        <v>49.84375</v>
      </c>
      <c r="O21" s="99">
        <v>58.90625</v>
      </c>
      <c r="P21" s="99">
        <v>77.03125</v>
      </c>
      <c r="Q21" s="99">
        <v>99.6875</v>
      </c>
      <c r="R21" s="99">
        <v>131.40625</v>
      </c>
    </row>
    <row r="22" spans="6:18" x14ac:dyDescent="0.2">
      <c r="L22" t="str">
        <v>Gen Z</v>
      </c>
      <c r="M22" t="str">
        <v>50,000-1,00,000</v>
      </c>
      <c r="N22" s="99">
        <v>72.5</v>
      </c>
      <c r="O22" s="99">
        <v>86.09375</v>
      </c>
      <c r="P22" s="99">
        <v>108.75</v>
      </c>
      <c r="Q22" s="99">
        <v>149.53125</v>
      </c>
      <c r="R22" s="99">
        <v>190.3125</v>
      </c>
    </row>
    <row r="23" spans="6:18" x14ac:dyDescent="0.2">
      <c r="L23" t="str">
        <v>Gen Z</v>
      </c>
      <c r="M23" t="str">
        <v>&gt;1,00,000</v>
      </c>
      <c r="N23" s="99">
        <v>99.6875</v>
      </c>
      <c r="O23" s="99">
        <v>126.875</v>
      </c>
      <c r="P23" s="99">
        <v>176.71875</v>
      </c>
      <c r="Q23" s="99">
        <v>262.8125</v>
      </c>
      <c r="R23" s="99">
        <v>348.90625</v>
      </c>
    </row>
    <row r="24" spans="6:18" x14ac:dyDescent="0.2">
      <c r="L24" t="str">
        <v>Millenial</v>
      </c>
      <c r="M24" t="str">
        <v>&lt;50,000</v>
      </c>
      <c r="N24" s="99">
        <v>63.4375</v>
      </c>
      <c r="O24" s="99">
        <v>77.03125</v>
      </c>
      <c r="P24" s="99">
        <v>104.21875</v>
      </c>
      <c r="Q24" s="99">
        <v>135.9375</v>
      </c>
      <c r="R24" s="99">
        <v>172.1875</v>
      </c>
    </row>
    <row r="25" spans="6:18" x14ac:dyDescent="0.2">
      <c r="L25" t="str">
        <v>Millenial</v>
      </c>
      <c r="M25" t="str">
        <v>50,000-1,00,000</v>
      </c>
      <c r="N25" s="99">
        <v>86.09375</v>
      </c>
      <c r="O25" s="99">
        <v>113.28125</v>
      </c>
      <c r="P25" s="99">
        <v>163.125</v>
      </c>
      <c r="Q25" s="99">
        <v>222.03125</v>
      </c>
      <c r="R25" s="99">
        <v>299.0625</v>
      </c>
    </row>
    <row r="26" spans="6:18" x14ac:dyDescent="0.2">
      <c r="L26" t="str">
        <v>Millenial</v>
      </c>
      <c r="M26" t="str">
        <v>&gt;1,00,000</v>
      </c>
      <c r="N26" s="99">
        <v>135.9375</v>
      </c>
      <c r="O26" s="99">
        <v>190.3125</v>
      </c>
      <c r="P26" s="99">
        <v>285.46875</v>
      </c>
      <c r="Q26" s="99">
        <v>435</v>
      </c>
      <c r="R26" s="99">
        <v>652.5</v>
      </c>
    </row>
    <row r="27" spans="6:18" x14ac:dyDescent="0.2">
      <c r="L27" t="str">
        <v>Gen X</v>
      </c>
      <c r="M27" t="str">
        <v>&lt;50,000</v>
      </c>
      <c r="N27" s="99">
        <v>67.96875</v>
      </c>
      <c r="O27" s="99">
        <v>81.5625</v>
      </c>
      <c r="P27" s="99">
        <v>108.75</v>
      </c>
      <c r="Q27" s="99">
        <v>140.46875</v>
      </c>
      <c r="R27" s="99">
        <v>167.65625</v>
      </c>
    </row>
    <row r="28" spans="6:18" x14ac:dyDescent="0.2">
      <c r="L28" t="str">
        <v>Gen X</v>
      </c>
      <c r="M28" t="str">
        <v>50,000-1,00,000</v>
      </c>
      <c r="N28" s="99">
        <v>99.6875</v>
      </c>
      <c r="O28" s="99">
        <v>135.9375</v>
      </c>
      <c r="P28" s="99">
        <v>199.375</v>
      </c>
      <c r="Q28" s="99">
        <v>280.9375</v>
      </c>
      <c r="R28" s="99">
        <v>398.75</v>
      </c>
    </row>
    <row r="29" spans="6:18" x14ac:dyDescent="0.2">
      <c r="L29" t="str">
        <v>Gen X</v>
      </c>
      <c r="M29" t="str">
        <v>&gt;1,00,000</v>
      </c>
      <c r="N29" s="99">
        <v>163.125</v>
      </c>
      <c r="O29" s="99">
        <v>235.625</v>
      </c>
      <c r="P29" s="99">
        <v>353.4375</v>
      </c>
      <c r="Q29" s="99">
        <v>498.4375</v>
      </c>
      <c r="R29" s="99">
        <v>738.59375</v>
      </c>
    </row>
    <row r="30" spans="6:18" x14ac:dyDescent="0.2">
      <c r="L30" t="str">
        <v>Baby Boomer</v>
      </c>
      <c r="M30" t="str">
        <v>&lt;50,000</v>
      </c>
      <c r="N30" s="99">
        <v>54.375</v>
      </c>
      <c r="O30" s="99">
        <v>67.96875</v>
      </c>
      <c r="P30" s="99">
        <v>86.09375</v>
      </c>
      <c r="Q30" s="99">
        <v>108.75</v>
      </c>
      <c r="R30" s="99">
        <v>135.9375</v>
      </c>
    </row>
    <row r="31" spans="6:18" x14ac:dyDescent="0.2">
      <c r="L31" t="str">
        <v>Baby Boomer</v>
      </c>
      <c r="M31" t="str">
        <v>50,000-1,00,000</v>
      </c>
      <c r="N31" s="99">
        <v>81.5625</v>
      </c>
      <c r="O31" s="99">
        <v>104.21875</v>
      </c>
      <c r="P31" s="99">
        <v>145</v>
      </c>
      <c r="Q31" s="99">
        <v>194.84375</v>
      </c>
      <c r="R31" s="99">
        <v>262.8125</v>
      </c>
    </row>
    <row r="32" spans="6:18" x14ac:dyDescent="0.2">
      <c r="L32" t="str">
        <v>Baby Boomer</v>
      </c>
      <c r="M32" t="str">
        <v>&gt;1,00,000</v>
      </c>
      <c r="N32" s="99">
        <v>126.875</v>
      </c>
      <c r="O32" s="99">
        <v>172.1875</v>
      </c>
      <c r="P32" s="99">
        <v>258.28125</v>
      </c>
      <c r="Q32" s="99">
        <v>371.5625</v>
      </c>
      <c r="R32" s="99">
        <v>580</v>
      </c>
    </row>
    <row r="34" spans="12:12" x14ac:dyDescent="0.2">
      <c r="L34" t="s">
        <v>121</v>
      </c>
    </row>
    <row r="35" spans="12:12" x14ac:dyDescent="0.2">
      <c r="L35" s="97" cm="1">
        <f t="array" ref="L35">INDEX($N$21:$R$32,MATCH(1,($L$21:$L$32=$F$17)*($M$21:$M$32=$G$17),0),MATCH($H$17,$N$20:$R$20,0))</f>
        <v>49.84375</v>
      </c>
    </row>
  </sheetData>
  <sheetProtection algorithmName="SHA-512" hashValue="Vstzx7P3SFhP7qsGebeGxzBU2JLQd+bfOAI13giTvk1/gAT7LdIvIAa+s8hYTYqZQ66FVunWI1K2fvJ7GzCCCg==" saltValue="6zvSPAtvlGAtBvS8jgcsXQ==" spinCount="100000" sheet="1" objects="1" scenarios="1"/>
  <conditionalFormatting sqref="N3:R14">
    <cfRule type="colorScale" priority="1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N21:R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{6F40681D-8284-D14B-80F2-CF061826F70B}</x14:id>
        </ext>
      </extLst>
    </cfRule>
  </conditionalFormatting>
  <dataValidations count="3">
    <dataValidation type="list" allowBlank="1" showInputMessage="1" showErrorMessage="1" sqref="F17" xr:uid="{0AB2D2E0-7A01-B840-BF79-FB0A1F3B71FB}">
      <formula1>$L$21:$L$32</formula1>
    </dataValidation>
    <dataValidation type="list" allowBlank="1" showInputMessage="1" showErrorMessage="1" sqref="G17" xr:uid="{80E254B1-96CD-1746-B1BE-C1D99F49726D}">
      <formula1>$M$21:$M$23</formula1>
    </dataValidation>
    <dataValidation type="list" allowBlank="1" showInputMessage="1" showErrorMessage="1" sqref="H17" xr:uid="{11B6CAF2-9446-A142-9192-87BD09C28AFB}">
      <formula1>$N$2:$R$2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40681D-8284-D14B-80F2-CF061826F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N21:R32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51793-4E25-A24F-87C9-6507FCA4C10B}">
          <x14:formula1>
            <xm:f>'Dynamic CM'!$A$9:$A$32</xm:f>
          </x14:formula1>
          <xm:sqref>I17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5564-D670-C34E-95EF-4601FDED0B18}">
  <sheetPr codeName="Sheet6">
    <tabColor theme="1" tint="0.249977111117893"/>
  </sheetPr>
  <dimension ref="A1:O33"/>
  <sheetViews>
    <sheetView topLeftCell="A9" zoomScale="89" workbookViewId="0">
      <selection activeCell="S45" sqref="S45"/>
    </sheetView>
  </sheetViews>
  <sheetFormatPr baseColWidth="10" defaultRowHeight="16" x14ac:dyDescent="0.2"/>
  <cols>
    <col min="1" max="1" width="22.1640625" bestFit="1" customWidth="1"/>
    <col min="2" max="2" width="14.5" bestFit="1" customWidth="1"/>
    <col min="3" max="3" width="21.6640625" bestFit="1" customWidth="1"/>
    <col min="4" max="4" width="15.83203125" bestFit="1" customWidth="1"/>
    <col min="5" max="5" width="20.5" bestFit="1" customWidth="1"/>
    <col min="6" max="6" width="19.83203125" bestFit="1" customWidth="1"/>
    <col min="7" max="7" width="24.6640625" bestFit="1" customWidth="1"/>
    <col min="8" max="8" width="17" bestFit="1" customWidth="1"/>
    <col min="9" max="9" width="22" hidden="1" customWidth="1"/>
    <col min="10" max="10" width="24" hidden="1" customWidth="1"/>
    <col min="11" max="11" width="13.6640625" hidden="1" customWidth="1"/>
    <col min="12" max="12" width="9.5" hidden="1" customWidth="1"/>
    <col min="13" max="13" width="10.5" hidden="1" customWidth="1"/>
    <col min="14" max="14" width="6.1640625" hidden="1" customWidth="1"/>
    <col min="15" max="15" width="11.1640625" hidden="1" customWidth="1"/>
  </cols>
  <sheetData>
    <row r="1" spans="1:15" x14ac:dyDescent="0.2">
      <c r="A1" t="s">
        <v>129</v>
      </c>
    </row>
    <row r="2" spans="1:15" x14ac:dyDescent="0.2">
      <c r="A2" s="75" t="s">
        <v>0</v>
      </c>
      <c r="B2" s="75" t="s">
        <v>34</v>
      </c>
      <c r="C2" s="75" t="s">
        <v>58</v>
      </c>
      <c r="D2" s="75" t="s">
        <v>83</v>
      </c>
      <c r="E2" s="75" t="s">
        <v>60</v>
      </c>
      <c r="F2" s="75" t="s">
        <v>61</v>
      </c>
      <c r="G2" s="76" t="s">
        <v>62</v>
      </c>
      <c r="I2" s="67" t="s">
        <v>0</v>
      </c>
      <c r="J2" s="71" t="s">
        <v>34</v>
      </c>
      <c r="K2" s="71" t="s">
        <v>58</v>
      </c>
      <c r="L2" s="71" t="s">
        <v>83</v>
      </c>
      <c r="M2" s="71" t="s">
        <v>60</v>
      </c>
      <c r="N2" s="71" t="s">
        <v>61</v>
      </c>
      <c r="O2" s="68" t="s">
        <v>62</v>
      </c>
    </row>
    <row r="3" spans="1:15" x14ac:dyDescent="0.2">
      <c r="A3" s="85" t="s">
        <v>29</v>
      </c>
      <c r="B3" s="85" t="s">
        <v>35</v>
      </c>
      <c r="C3" s="99" cm="1">
        <f t="array" ref="C3">'Support Tables'!K33-'Support Tables'!K18-Table5673[[#This Row],[Deep Subprime]]-Table70[[Fixed Cost]:[Fixed Cost]]</f>
        <v>-2.5389453125000001</v>
      </c>
      <c r="D3" s="99" cm="1">
        <f t="array" ref="D3">'Support Tables'!L33-'Support Tables'!L18-Table5673[[#This Row],[Sub Prime]]-Table70[[Fixed Cost]:[Fixed Cost]]</f>
        <v>-1.6289570312499997</v>
      </c>
      <c r="E3" s="99" cm="1">
        <f t="array" ref="E3">'Support Tables'!M33-'Support Tables'!M18-Table5673[[#This Row],[Near Prime]]-Table70[[Fixed Cost]:[Fixed Cost]]</f>
        <v>-0.69869140625000004</v>
      </c>
      <c r="F3" s="99" cm="1">
        <f t="array" ref="F3">'Support Tables'!N33-'Support Tables'!N18-Table5673[[#This Row],[Prime]]-Table70[[Fixed Cost]:[Fixed Cost]]</f>
        <v>6.0406250000000217E-2</v>
      </c>
      <c r="G3" s="99" cm="1">
        <f t="array" ref="G3">'Support Tables'!O33-'Support Tables'!O18-Table5673[[#This Row],[Super Prime]]-Table70[[Fixed Cost]:[Fixed Cost]]</f>
        <v>1.142582031249999</v>
      </c>
      <c r="I3" s="69" t="s">
        <v>29</v>
      </c>
      <c r="J3" s="73" t="s">
        <v>35</v>
      </c>
      <c r="K3">
        <f>IF(Table76[[#This Row],[Deep Subprime]]&gt;0,1,0)</f>
        <v>0</v>
      </c>
      <c r="L3">
        <f>IF(Table76[[#This Row],[Sub Prime]]&gt;0,1,0)</f>
        <v>0</v>
      </c>
      <c r="M3">
        <f>IF(Table76[[#This Row],[Near Prime]]&gt;0,1,0)</f>
        <v>0</v>
      </c>
      <c r="N3">
        <f>IF(Table76[[#This Row],[Prime]]&gt;0,1,0)</f>
        <v>1</v>
      </c>
      <c r="O3">
        <f>IF(Table76[[#This Row],[Super Prime]]&gt;0,1,0)</f>
        <v>1</v>
      </c>
    </row>
    <row r="4" spans="1:15" x14ac:dyDescent="0.2">
      <c r="A4" s="88" t="s">
        <v>29</v>
      </c>
      <c r="B4" s="88" t="s">
        <v>36</v>
      </c>
      <c r="C4" s="99" cm="1">
        <f t="array" ref="C4">'Support Tables'!K34-'Support Tables'!K19-Table5673[[#This Row],[Deep Subprime]]-Table70[[Fixed Cost]:[Fixed Cost]]</f>
        <v>-2.2913125000000001</v>
      </c>
      <c r="D4" s="99" cm="1">
        <f t="array" ref="D4">'Support Tables'!L34-'Support Tables'!L19-Table5673[[#This Row],[Sub Prime]]-Table70[[Fixed Cost]:[Fixed Cost]]</f>
        <v>-0.97292265624999974</v>
      </c>
      <c r="E4" s="99" cm="1">
        <f t="array" ref="E4">'Support Tables'!M34-'Support Tables'!M19-Table5673[[#This Row],[Near Prime]]-Table70[[Fixed Cost]:[Fixed Cost]]</f>
        <v>0.26521875000000028</v>
      </c>
      <c r="F4" s="99" cm="1">
        <f t="array" ref="F4">'Support Tables'!N34-'Support Tables'!N19-Table5673[[#This Row],[Prime]]-Table70[[Fixed Cost]:[Fixed Cost]]</f>
        <v>1.6107960937500003</v>
      </c>
      <c r="G4" s="99" cm="1">
        <f t="array" ref="G4">'Support Tables'!O34-'Support Tables'!O19-Table5673[[#This Row],[Super Prime]]-Table70[[Fixed Cost]:[Fixed Cost]]</f>
        <v>3.0224390625000002</v>
      </c>
      <c r="I4" s="70" t="s">
        <v>29</v>
      </c>
      <c r="J4" s="74" t="s">
        <v>36</v>
      </c>
      <c r="K4">
        <f>IF(Table76[[#This Row],[Deep Subprime]]&gt;0,1,0)</f>
        <v>0</v>
      </c>
      <c r="L4">
        <f>IF(Table76[[#This Row],[Sub Prime]]&gt;0,1,0)</f>
        <v>0</v>
      </c>
      <c r="M4">
        <f>IF(Table76[[#This Row],[Near Prime]]&gt;0,1,0)</f>
        <v>1</v>
      </c>
      <c r="N4">
        <f>IF(Table76[[#This Row],[Prime]]&gt;0,1,0)</f>
        <v>1</v>
      </c>
      <c r="O4">
        <f>IF(Table76[[#This Row],[Super Prime]]&gt;0,1,0)</f>
        <v>1</v>
      </c>
    </row>
    <row r="5" spans="1:15" x14ac:dyDescent="0.2">
      <c r="A5" s="85" t="s">
        <v>29</v>
      </c>
      <c r="B5" s="85" t="s">
        <v>37</v>
      </c>
      <c r="C5" s="99" cm="1">
        <f t="array" ref="C5">'Support Tables'!K35-'Support Tables'!K20-Table5673[[#This Row],[Deep Subprime]]-Table70[[Fixed Cost]:[Fixed Cost]]</f>
        <v>-1.8162109375000002</v>
      </c>
      <c r="D5" s="99" cm="1">
        <f t="array" ref="D5">'Support Tables'!L35-'Support Tables'!L20-Table5673[[#This Row],[Sub Prime]]-Table70[[Fixed Cost]:[Fixed Cost]]</f>
        <v>0.12429687499999975</v>
      </c>
      <c r="E5" s="99" cm="1">
        <f t="array" ref="E5">'Support Tables'!M35-'Support Tables'!M20-Table5673[[#This Row],[Near Prime]]-Table70[[Fixed Cost]:[Fixed Cost]]</f>
        <v>2.4120117187500005</v>
      </c>
      <c r="F5" s="99" cm="1">
        <f t="array" ref="F5">'Support Tables'!N35-'Support Tables'!N20-Table5673[[#This Row],[Prime]]-Table70[[Fixed Cost]:[Fixed Cost]]</f>
        <v>5.2457421874999994</v>
      </c>
      <c r="G5" s="99" cm="1">
        <f t="array" ref="G5">'Support Tables'!O35-'Support Tables'!O20-Table5673[[#This Row],[Super Prime]]-Table70[[Fixed Cost]:[Fixed Cost]]</f>
        <v>8.208613281249999</v>
      </c>
      <c r="I5" s="69" t="s">
        <v>29</v>
      </c>
      <c r="J5" s="73" t="s">
        <v>37</v>
      </c>
      <c r="K5">
        <f>IF(Table76[[#This Row],[Deep Subprime]]&gt;0,1,0)</f>
        <v>0</v>
      </c>
      <c r="L5">
        <f>IF(Table76[[#This Row],[Sub Prime]]&gt;0,1,0)</f>
        <v>1</v>
      </c>
      <c r="M5">
        <f>IF(Table76[[#This Row],[Near Prime]]&gt;0,1,0)</f>
        <v>1</v>
      </c>
      <c r="N5">
        <f>IF(Table76[[#This Row],[Prime]]&gt;0,1,0)</f>
        <v>1</v>
      </c>
      <c r="O5">
        <f>IF(Table76[[#This Row],[Super Prime]]&gt;0,1,0)</f>
        <v>1</v>
      </c>
    </row>
    <row r="6" spans="1:15" x14ac:dyDescent="0.2">
      <c r="A6" s="88" t="s">
        <v>30</v>
      </c>
      <c r="B6" s="88" t="s">
        <v>35</v>
      </c>
      <c r="C6" s="99" cm="1">
        <f t="array" ref="C6">'Support Tables'!K36-'Support Tables'!K21-Table5673[[#This Row],[Deep Subprime]]-Table70[[Fixed Cost]:[Fixed Cost]]</f>
        <v>-2.4132031250000003</v>
      </c>
      <c r="D6" s="99" cm="1">
        <f t="array" ref="D6">'Support Tables'!L36-'Support Tables'!L21-Table5673[[#This Row],[Sub Prime]]-Table70[[Fixed Cost]:[Fixed Cost]]</f>
        <v>-1.2070976562500002</v>
      </c>
      <c r="E6" s="99" cm="1">
        <f t="array" ref="E6">'Support Tables'!M36-'Support Tables'!M21-Table5673[[#This Row],[Near Prime]]-Table70[[Fixed Cost]:[Fixed Cost]]</f>
        <v>0.11353515624999977</v>
      </c>
      <c r="F6" s="99" cm="1">
        <f t="array" ref="F6">'Support Tables'!N36-'Support Tables'!N21-Table5673[[#This Row],[Prime]]-Table70[[Fixed Cost]:[Fixed Cost]]</f>
        <v>1.1732812499999996</v>
      </c>
      <c r="G6" s="99" cm="1">
        <f t="array" ref="G6">'Support Tables'!O36-'Support Tables'!O21-Table5673[[#This Row],[Super Prime]]-Table70[[Fixed Cost]:[Fixed Cost]]</f>
        <v>2.4282109374999994</v>
      </c>
      <c r="I6" s="70" t="s">
        <v>30</v>
      </c>
      <c r="J6" s="74" t="s">
        <v>35</v>
      </c>
      <c r="K6">
        <f>IF(Table76[[#This Row],[Deep Subprime]]&gt;0,1,0)</f>
        <v>0</v>
      </c>
      <c r="L6">
        <f>IF(Table76[[#This Row],[Sub Prime]]&gt;0,1,0)</f>
        <v>0</v>
      </c>
      <c r="M6">
        <f>IF(Table76[[#This Row],[Near Prime]]&gt;0,1,0)</f>
        <v>1</v>
      </c>
      <c r="N6">
        <f>IF(Table76[[#This Row],[Prime]]&gt;0,1,0)</f>
        <v>1</v>
      </c>
      <c r="O6">
        <f>IF(Table76[[#This Row],[Super Prime]]&gt;0,1,0)</f>
        <v>1</v>
      </c>
    </row>
    <row r="7" spans="1:15" x14ac:dyDescent="0.2">
      <c r="A7" s="85" t="s">
        <v>30</v>
      </c>
      <c r="B7" s="85" t="s">
        <v>36</v>
      </c>
      <c r="C7" s="99" cm="1">
        <f t="array" ref="C7">'Support Tables'!K37-'Support Tables'!K22-Table5673[[#This Row],[Deep Subprime]]-Table70[[Fixed Cost]:[Fixed Cost]]</f>
        <v>-2.0680351562500001</v>
      </c>
      <c r="D7" s="99" cm="1">
        <f t="array" ref="D7">'Support Tables'!L37-'Support Tables'!L22-Table5673[[#This Row],[Sub Prime]]-Table70[[Fixed Cost]:[Fixed Cost]]</f>
        <v>-0.27162109374999988</v>
      </c>
      <c r="E7" s="99" cm="1">
        <f t="array" ref="E7">'Support Tables'!M37-'Support Tables'!M22-Table5673[[#This Row],[Near Prime]]-Table70[[Fixed Cost]:[Fixed Cost]]</f>
        <v>1.9467656249999994</v>
      </c>
      <c r="F7" s="99" cm="1">
        <f t="array" ref="F7">'Support Tables'!N37-'Support Tables'!N22-Table5673[[#This Row],[Prime]]-Table70[[Fixed Cost]:[Fixed Cost]]</f>
        <v>3.90628203125</v>
      </c>
      <c r="G7" s="99" cm="1">
        <f t="array" ref="G7">'Support Tables'!O37-'Support Tables'!O22-Table5673[[#This Row],[Super Prime]]-Table70[[Fixed Cost]:[Fixed Cost]]</f>
        <v>6.5356078125000003</v>
      </c>
      <c r="I7" s="69" t="s">
        <v>30</v>
      </c>
      <c r="J7" s="73" t="s">
        <v>36</v>
      </c>
      <c r="K7">
        <f>IF(Table76[[#This Row],[Deep Subprime]]&gt;0,1,0)</f>
        <v>0</v>
      </c>
      <c r="L7">
        <f>IF(Table76[[#This Row],[Sub Prime]]&gt;0,1,0)</f>
        <v>0</v>
      </c>
      <c r="M7">
        <f>IF(Table76[[#This Row],[Near Prime]]&gt;0,1,0)</f>
        <v>1</v>
      </c>
      <c r="N7">
        <f>IF(Table76[[#This Row],[Prime]]&gt;0,1,0)</f>
        <v>1</v>
      </c>
      <c r="O7">
        <f>IF(Table76[[#This Row],[Super Prime]]&gt;0,1,0)</f>
        <v>1</v>
      </c>
    </row>
    <row r="8" spans="1:15" x14ac:dyDescent="0.2">
      <c r="A8" s="88" t="s">
        <v>30</v>
      </c>
      <c r="B8" s="88" t="s">
        <v>37</v>
      </c>
      <c r="C8" s="99" cm="1">
        <f t="array" ref="C8">'Support Tables'!K38-'Support Tables'!K23-Table5673[[#This Row],[Deep Subprime]]-Table70[[Fixed Cost]:[Fixed Cost]]</f>
        <v>-1.3857421875000009</v>
      </c>
      <c r="D8" s="99" cm="1">
        <f t="array" ref="D8">'Support Tables'!L38-'Support Tables'!L23-Table5673[[#This Row],[Sub Prime]]-Table70[[Fixed Cost]:[Fixed Cost]]</f>
        <v>1.6864453125000001</v>
      </c>
      <c r="E8" s="99" cm="1">
        <f t="array" ref="E8">'Support Tables'!M38-'Support Tables'!M23-Table5673[[#This Row],[Near Prime]]-Table70[[Fixed Cost]:[Fixed Cost]]</f>
        <v>5.7424804687499993</v>
      </c>
      <c r="F8" s="99" cm="1">
        <f t="array" ref="F8">'Support Tables'!N38-'Support Tables'!N23-Table5673[[#This Row],[Prime]]-Table70[[Fixed Cost]:[Fixed Cost]]</f>
        <v>10.648125000000002</v>
      </c>
      <c r="G8" s="99" cm="1">
        <f t="array" ref="G8">'Support Tables'!O38-'Support Tables'!O23-Table5673[[#This Row],[Super Prime]]-Table70[[Fixed Cost]:[Fixed Cost]]</f>
        <v>17.961562499999999</v>
      </c>
      <c r="I8" s="70" t="s">
        <v>30</v>
      </c>
      <c r="J8" s="74" t="s">
        <v>37</v>
      </c>
      <c r="K8">
        <f>IF(Table76[[#This Row],[Deep Subprime]]&gt;0,1,0)</f>
        <v>0</v>
      </c>
      <c r="L8">
        <f>IF(Table76[[#This Row],[Sub Prime]]&gt;0,1,0)</f>
        <v>1</v>
      </c>
      <c r="M8">
        <f>IF(Table76[[#This Row],[Near Prime]]&gt;0,1,0)</f>
        <v>1</v>
      </c>
      <c r="N8">
        <f>IF(Table76[[#This Row],[Prime]]&gt;0,1,0)</f>
        <v>1</v>
      </c>
      <c r="O8">
        <f>IF(Table76[[#This Row],[Super Prime]]&gt;0,1,0)</f>
        <v>1</v>
      </c>
    </row>
    <row r="9" spans="1:15" x14ac:dyDescent="0.2">
      <c r="A9" s="85" t="s">
        <v>32</v>
      </c>
      <c r="B9" s="85" t="s">
        <v>35</v>
      </c>
      <c r="C9" s="99" cm="1">
        <f t="array" ref="C9">'Support Tables'!K39-'Support Tables'!K24-Table5673[[#This Row],[Deep Subprime]]-Table70[[Fixed Cost]:[Fixed Cost]]</f>
        <v>-2.1928710937500004</v>
      </c>
      <c r="D9" s="99" cm="1">
        <f t="array" ref="D9">'Support Tables'!L39-'Support Tables'!L24-Table5673[[#This Row],[Sub Prime]]-Table70[[Fixed Cost]:[Fixed Cost]]</f>
        <v>-0.99152343750000016</v>
      </c>
      <c r="E9" s="99" cm="1">
        <f t="array" ref="E9">'Support Tables'!M39-'Support Tables'!M24-Table5673[[#This Row],[Near Prime]]-Table70[[Fixed Cost]:[Fixed Cost]]</f>
        <v>0.33046875000000053</v>
      </c>
      <c r="F9" s="99" cm="1">
        <f t="array" ref="F9">'Support Tables'!N39-'Support Tables'!N24-Table5673[[#This Row],[Prime]]-Table70[[Fixed Cost]:[Fixed Cost]]</f>
        <v>1.4072070312500005</v>
      </c>
      <c r="G9" s="99" cm="1">
        <f t="array" ref="G9">'Support Tables'!O39-'Support Tables'!O24-Table5673[[#This Row],[Super Prime]]-Table70[[Fixed Cost]:[Fixed Cost]]</f>
        <v>2.3859570312500002</v>
      </c>
      <c r="I9" s="69" t="s">
        <v>32</v>
      </c>
      <c r="J9" s="73" t="s">
        <v>35</v>
      </c>
      <c r="K9">
        <f>IF(Table76[[#This Row],[Deep Subprime]]&gt;0,1,0)</f>
        <v>0</v>
      </c>
      <c r="L9">
        <f>IF(Table76[[#This Row],[Sub Prime]]&gt;0,1,0)</f>
        <v>0</v>
      </c>
      <c r="M9">
        <f>IF(Table76[[#This Row],[Near Prime]]&gt;0,1,0)</f>
        <v>1</v>
      </c>
      <c r="N9">
        <f>IF(Table76[[#This Row],[Prime]]&gt;0,1,0)</f>
        <v>1</v>
      </c>
      <c r="O9">
        <f>IF(Table76[[#This Row],[Super Prime]]&gt;0,1,0)</f>
        <v>1</v>
      </c>
    </row>
    <row r="10" spans="1:15" x14ac:dyDescent="0.2">
      <c r="A10" s="88" t="s">
        <v>32</v>
      </c>
      <c r="B10" s="88" t="s">
        <v>36</v>
      </c>
      <c r="C10" s="99" cm="1">
        <f t="array" ref="C10">'Support Tables'!K40-'Support Tables'!K25-Table5673[[#This Row],[Deep Subprime]]-Table70[[Fixed Cost]:[Fixed Cost]]</f>
        <v>-1.8162109375000002</v>
      </c>
      <c r="D10" s="99" cm="1">
        <f t="array" ref="D10">'Support Tables'!L40-'Support Tables'!L25-Table5673[[#This Row],[Sub Prime]]-Table70[[Fixed Cost]:[Fixed Cost]]</f>
        <v>0.34746093750000018</v>
      </c>
      <c r="E10" s="99" cm="1">
        <f t="array" ref="E10">'Support Tables'!M40-'Support Tables'!M25-Table5673[[#This Row],[Near Prime]]-Table70[[Fixed Cost]:[Fixed Cost]]</f>
        <v>3.1058593750000005</v>
      </c>
      <c r="F10" s="99" cm="1">
        <f t="array" ref="F10">'Support Tables'!N40-'Support Tables'!N25-Table5673[[#This Row],[Prime]]-Table70[[Fixed Cost]:[Fixed Cost]]</f>
        <v>5.8144140625000009</v>
      </c>
      <c r="G10" s="99" cm="1">
        <f t="array" ref="G10">'Support Tables'!O40-'Support Tables'!O25-Table5673[[#This Row],[Super Prime]]-Table70[[Fixed Cost]:[Fixed Cost]]</f>
        <v>9.8098437500000006</v>
      </c>
      <c r="I10" s="70" t="s">
        <v>32</v>
      </c>
      <c r="J10" s="74" t="s">
        <v>36</v>
      </c>
      <c r="K10">
        <f>IF(Table76[[#This Row],[Deep Subprime]]&gt;0,1,0)</f>
        <v>0</v>
      </c>
      <c r="L10">
        <f>IF(Table76[[#This Row],[Sub Prime]]&gt;0,1,0)</f>
        <v>1</v>
      </c>
      <c r="M10">
        <f>IF(Table76[[#This Row],[Near Prime]]&gt;0,1,0)</f>
        <v>1</v>
      </c>
      <c r="N10">
        <f>IF(Table76[[#This Row],[Prime]]&gt;0,1,0)</f>
        <v>1</v>
      </c>
      <c r="O10">
        <f>IF(Table76[[#This Row],[Super Prime]]&gt;0,1,0)</f>
        <v>1</v>
      </c>
    </row>
    <row r="11" spans="1:15" x14ac:dyDescent="0.2">
      <c r="A11" s="85" t="s">
        <v>32</v>
      </c>
      <c r="B11" s="85" t="s">
        <v>37</v>
      </c>
      <c r="C11" s="99" cm="1">
        <f t="array" ref="C11">'Support Tables'!K41-'Support Tables'!K26-Table5673[[#This Row],[Deep Subprime]]-Table70[[Fixed Cost]:[Fixed Cost]]</f>
        <v>-1.0628906250000005</v>
      </c>
      <c r="D11" s="99" cm="1">
        <f t="array" ref="D11">'Support Tables'!L41-'Support Tables'!L26-Table5673[[#This Row],[Sub Prime]]-Table70[[Fixed Cost]:[Fixed Cost]]</f>
        <v>2.8022656250000013</v>
      </c>
      <c r="E11" s="99" cm="1">
        <f t="array" ref="E11">'Support Tables'!M41-'Support Tables'!M26-Table5673[[#This Row],[Near Prime]]-Table70[[Fixed Cost]:[Fixed Cost]]</f>
        <v>7.8240234375000011</v>
      </c>
      <c r="F11" s="99" cm="1">
        <f t="array" ref="F11">'Support Tables'!N41-'Support Tables'!N26-Table5673[[#This Row],[Prime]]-Table70[[Fixed Cost]:[Fixed Cost]]</f>
        <v>12.638476562499999</v>
      </c>
      <c r="G11" s="99" cm="1">
        <f t="array" ref="G11">'Support Tables'!O41-'Support Tables'!O26-Table5673[[#This Row],[Super Prime]]-Table70[[Fixed Cost]:[Fixed Cost]]</f>
        <v>20.727324218749999</v>
      </c>
      <c r="I11" s="69" t="s">
        <v>32</v>
      </c>
      <c r="J11" s="73" t="s">
        <v>37</v>
      </c>
      <c r="K11">
        <f>IF(Table76[[#This Row],[Deep Subprime]]&gt;0,1,0)</f>
        <v>0</v>
      </c>
      <c r="L11">
        <f>IF(Table76[[#This Row],[Sub Prime]]&gt;0,1,0)</f>
        <v>1</v>
      </c>
      <c r="M11">
        <f>IF(Table76[[#This Row],[Near Prime]]&gt;0,1,0)</f>
        <v>1</v>
      </c>
      <c r="N11">
        <f>IF(Table76[[#This Row],[Prime]]&gt;0,1,0)</f>
        <v>1</v>
      </c>
      <c r="O11">
        <f>IF(Table76[[#This Row],[Super Prime]]&gt;0,1,0)</f>
        <v>1</v>
      </c>
    </row>
    <row r="12" spans="1:15" x14ac:dyDescent="0.2">
      <c r="A12" s="88" t="s">
        <v>51</v>
      </c>
      <c r="B12" s="88" t="s">
        <v>35</v>
      </c>
      <c r="C12" s="99" cm="1">
        <f t="array" ref="C12">'Support Tables'!K42-'Support Tables'!K27-Table5673[[#This Row],[Deep Subprime]]-Table70[[Fixed Cost]:[Fixed Cost]]</f>
        <v>-2.4256640625000001</v>
      </c>
      <c r="D12" s="99" cm="1">
        <f t="array" ref="D12">'Support Tables'!L42-'Support Tables'!L27-Table5673[[#This Row],[Sub Prime]]-Table70[[Fixed Cost]:[Fixed Cost]]</f>
        <v>-1.3721484374999999</v>
      </c>
      <c r="E12" s="99" cm="1">
        <f t="array" ref="E12">'Support Tables'!M42-'Support Tables'!M27-Table5673[[#This Row],[Near Prime]]-Table70[[Fixed Cost]:[Fixed Cost]]</f>
        <v>-0.39566406249999986</v>
      </c>
      <c r="F12" s="99" cm="1">
        <f t="array" ref="F12">'Support Tables'!N42-'Support Tables'!N27-Table5673[[#This Row],[Prime]]-Table70[[Fixed Cost]:[Fixed Cost]]</f>
        <v>0.37532812500000023</v>
      </c>
      <c r="G12" s="99" cm="1">
        <f t="array" ref="G12">'Support Tables'!O42-'Support Tables'!O27-Table5673[[#This Row],[Super Prime]]-Table70[[Fixed Cost]:[Fixed Cost]]</f>
        <v>1.3262109375</v>
      </c>
      <c r="I12" s="70" t="s">
        <v>51</v>
      </c>
      <c r="J12" s="74" t="s">
        <v>35</v>
      </c>
      <c r="K12">
        <f>IF(Table76[[#This Row],[Deep Subprime]]&gt;0,1,0)</f>
        <v>0</v>
      </c>
      <c r="L12">
        <f>IF(Table76[[#This Row],[Sub Prime]]&gt;0,1,0)</f>
        <v>0</v>
      </c>
      <c r="M12">
        <f>IF(Table76[[#This Row],[Near Prime]]&gt;0,1,0)</f>
        <v>0</v>
      </c>
      <c r="N12">
        <f>IF(Table76[[#This Row],[Prime]]&gt;0,1,0)</f>
        <v>1</v>
      </c>
      <c r="O12">
        <f>IF(Table76[[#This Row],[Super Prime]]&gt;0,1,0)</f>
        <v>1</v>
      </c>
    </row>
    <row r="13" spans="1:15" x14ac:dyDescent="0.2">
      <c r="A13" s="85" t="s">
        <v>51</v>
      </c>
      <c r="B13" s="85" t="s">
        <v>36</v>
      </c>
      <c r="C13" s="99" cm="1">
        <f t="array" ref="C13">'Support Tables'!K43-'Support Tables'!K28-Table5673[[#This Row],[Deep Subprime]]-Table70[[Fixed Cost]:[Fixed Cost]]</f>
        <v>-2.0314453125000003</v>
      </c>
      <c r="D13" s="99" cm="1">
        <f t="array" ref="D13">'Support Tables'!L43-'Support Tables'!L28-Table5673[[#This Row],[Sub Prime]]-Table70[[Fixed Cost]:[Fixed Cost]]</f>
        <v>-0.43361328124999998</v>
      </c>
      <c r="E13" s="99" cm="1">
        <f t="array" ref="E13">'Support Tables'!M43-'Support Tables'!M28-Table5673[[#This Row],[Near Prime]]-Table70[[Fixed Cost]:[Fixed Cost]]</f>
        <v>1.4406250000000007</v>
      </c>
      <c r="F13" s="99" cm="1">
        <f t="array" ref="F13">'Support Tables'!N43-'Support Tables'!N28-Table5673[[#This Row],[Prime]]-Table70[[Fixed Cost]:[Fixed Cost]]</f>
        <v>3.1132226562500005</v>
      </c>
      <c r="G13" s="99" cm="1">
        <f t="array" ref="G13">'Support Tables'!O43-'Support Tables'!O28-Table5673[[#This Row],[Super Prime]]-Table70[[Fixed Cost]:[Fixed Cost]]</f>
        <v>5.4428515624999996</v>
      </c>
      <c r="I13" s="69" t="s">
        <v>51</v>
      </c>
      <c r="J13" s="73" t="s">
        <v>36</v>
      </c>
      <c r="K13">
        <f>IF(Table76[[#This Row],[Deep Subprime]]&gt;0,1,0)</f>
        <v>0</v>
      </c>
      <c r="L13">
        <f>IF(Table76[[#This Row],[Sub Prime]]&gt;0,1,0)</f>
        <v>0</v>
      </c>
      <c r="M13">
        <f>IF(Table76[[#This Row],[Near Prime]]&gt;0,1,0)</f>
        <v>1</v>
      </c>
      <c r="N13">
        <f>IF(Table76[[#This Row],[Prime]]&gt;0,1,0)</f>
        <v>1</v>
      </c>
      <c r="O13">
        <f>IF(Table76[[#This Row],[Super Prime]]&gt;0,1,0)</f>
        <v>1</v>
      </c>
    </row>
    <row r="14" spans="1:15" ht="17" customHeight="1" x14ac:dyDescent="0.2">
      <c r="A14" s="90" t="s">
        <v>51</v>
      </c>
      <c r="B14" s="88" t="s">
        <v>37</v>
      </c>
      <c r="C14" s="99" cm="1">
        <f t="array" ref="C14">'Support Tables'!K44-'Support Tables'!K29-Table5673[[#This Row],[Deep Subprime]]-Table70[[Fixed Cost]:[Fixed Cost]]</f>
        <v>-1.4933593750000007</v>
      </c>
      <c r="D14" s="99" cm="1">
        <f t="array" ref="D14">'Support Tables'!L44-'Support Tables'!L29-Table5673[[#This Row],[Sub Prime]]-Table70[[Fixed Cost]:[Fixed Cost]]</f>
        <v>1.2401171875000001</v>
      </c>
      <c r="E14" s="99" cm="1">
        <f t="array" ref="E14">'Support Tables'!M44-'Support Tables'!M29-Table5673[[#This Row],[Near Prime]]-Table70[[Fixed Cost]:[Fixed Cost]]</f>
        <v>4.9098632812500007</v>
      </c>
      <c r="F14" s="99" cm="1">
        <f t="array" ref="F14">'Support Tables'!N44-'Support Tables'!N29-Table5673[[#This Row],[Prime]]-Table70[[Fixed Cost]:[Fixed Cost]]</f>
        <v>8.6577734374999995</v>
      </c>
      <c r="G14" s="99" cm="1">
        <f t="array" ref="G14">'Support Tables'!O44-'Support Tables'!O29-Table5673[[#This Row],[Super Prime]]-Table70[[Fixed Cost]:[Fixed Cost]]</f>
        <v>15.6325</v>
      </c>
      <c r="I14" s="80" t="s">
        <v>51</v>
      </c>
      <c r="J14" s="74" t="s">
        <v>37</v>
      </c>
      <c r="K14">
        <f>IF(Table76[[#This Row],[Deep Subprime]]&gt;0,1,0)</f>
        <v>0</v>
      </c>
      <c r="L14">
        <f>IF(Table76[[#This Row],[Sub Prime]]&gt;0,1,0)</f>
        <v>1</v>
      </c>
      <c r="M14">
        <f>IF(Table76[[#This Row],[Near Prime]]&gt;0,1,0)</f>
        <v>1</v>
      </c>
      <c r="N14">
        <f>IF(Table76[[#This Row],[Prime]]&gt;0,1,0)</f>
        <v>1</v>
      </c>
      <c r="O14">
        <f>IF(Table76[[#This Row],[Super Prime]]&gt;0,1,0)</f>
        <v>1</v>
      </c>
    </row>
    <row r="16" spans="1:15" x14ac:dyDescent="0.2">
      <c r="A16" t="s">
        <v>130</v>
      </c>
      <c r="I16" t="s">
        <v>146</v>
      </c>
    </row>
    <row r="17" spans="1:15" x14ac:dyDescent="0.2">
      <c r="A17" s="75" t="s">
        <v>0</v>
      </c>
      <c r="B17" s="75" t="s">
        <v>34</v>
      </c>
      <c r="C17" s="75" t="s">
        <v>58</v>
      </c>
      <c r="D17" s="75" t="s">
        <v>83</v>
      </c>
      <c r="E17" s="75" t="s">
        <v>60</v>
      </c>
      <c r="F17" s="75" t="s">
        <v>61</v>
      </c>
      <c r="G17" s="76" t="s">
        <v>62</v>
      </c>
      <c r="I17" s="67" t="s">
        <v>0</v>
      </c>
      <c r="J17" s="71" t="s">
        <v>34</v>
      </c>
      <c r="K17" s="71" t="s">
        <v>58</v>
      </c>
      <c r="L17" s="71" t="s">
        <v>83</v>
      </c>
      <c r="M17" s="71" t="s">
        <v>60</v>
      </c>
      <c r="N17" s="71" t="s">
        <v>61</v>
      </c>
      <c r="O17" s="68" t="s">
        <v>62</v>
      </c>
    </row>
    <row r="18" spans="1:15" x14ac:dyDescent="0.2">
      <c r="A18" s="85" t="s">
        <v>29</v>
      </c>
      <c r="B18" s="85" t="s">
        <v>35</v>
      </c>
      <c r="C18" s="99">
        <f>C3*'Portfolio x PD x Loan Count'!C131/'Portfolio x PD x Loan Count'!C64</f>
        <v>-33.390851252088559</v>
      </c>
      <c r="D18" s="99">
        <f>D3*'Portfolio x PD x Loan Count'!D131/'Portfolio x PD x Loan Count'!D64</f>
        <v>-7.6626494656578226</v>
      </c>
      <c r="E18" s="99">
        <f>E3*'Portfolio x PD x Loan Count'!E131/'Portfolio x PD x Loan Count'!E64</f>
        <v>-3.377617189242724</v>
      </c>
      <c r="F18" s="99">
        <f>F3*'Portfolio x PD x Loan Count'!F131/'Portfolio x PD x Loan Count'!F64</f>
        <v>0.27237378692627057</v>
      </c>
      <c r="G18" s="99">
        <f>G3*'Portfolio x PD x Loan Count'!G131/'Portfolio x PD x Loan Count'!G64</f>
        <v>4.4088210387499966</v>
      </c>
      <c r="I18" s="69" t="s">
        <v>29</v>
      </c>
      <c r="J18" s="73" t="s">
        <v>35</v>
      </c>
      <c r="K18" s="10">
        <f>K3*'Portfolio x PD x Loan Count'!C131</f>
        <v>0</v>
      </c>
      <c r="L18" s="10">
        <f>L3*'Portfolio x PD x Loan Count'!D131</f>
        <v>0</v>
      </c>
      <c r="M18" s="10">
        <f>M3*'Portfolio x PD x Loan Count'!E131</f>
        <v>0</v>
      </c>
      <c r="N18" s="10">
        <f>N3*'Portfolio x PD x Loan Count'!F131</f>
        <v>6.1589147902727532</v>
      </c>
      <c r="O18" s="10">
        <f>O3*'Portfolio x PD x Loan Count'!G131</f>
        <v>1.8644106439018384</v>
      </c>
    </row>
    <row r="19" spans="1:15" x14ac:dyDescent="0.2">
      <c r="A19" s="88" t="s">
        <v>29</v>
      </c>
      <c r="B19" s="88" t="s">
        <v>36</v>
      </c>
      <c r="C19" s="99">
        <f>C4*'Portfolio x PD x Loan Count'!C132/'Portfolio x PD x Loan Count'!C65</f>
        <v>-30.134116903926486</v>
      </c>
      <c r="D19" s="99">
        <f>D4*'Portfolio x PD x Loan Count'!D132/'Portfolio x PD x Loan Count'!D65</f>
        <v>-4.5766494321336637</v>
      </c>
      <c r="E19" s="99">
        <f>E4*'Portfolio x PD x Loan Count'!E132/'Portfolio x PD x Loan Count'!E65</f>
        <v>1.2821216933487503</v>
      </c>
      <c r="F19" s="99">
        <f>F4*'Portfolio x PD x Loan Count'!F132/'Portfolio x PD x Loan Count'!F65</f>
        <v>7.2631330701828034</v>
      </c>
      <c r="G19" s="99">
        <f>G4*'Portfolio x PD x Loan Count'!G132/'Portfolio x PD x Loan Count'!G65</f>
        <v>11.662526245500002</v>
      </c>
      <c r="I19" s="70" t="s">
        <v>29</v>
      </c>
      <c r="J19" s="74" t="s">
        <v>36</v>
      </c>
      <c r="K19" s="10">
        <f>K4*'Portfolio x PD x Loan Count'!C132</f>
        <v>0</v>
      </c>
      <c r="L19" s="10">
        <f>L4*'Portfolio x PD x Loan Count'!D132</f>
        <v>0</v>
      </c>
      <c r="M19" s="10">
        <f>M4*'Portfolio x PD x Loan Count'!E132</f>
        <v>3.2117807929145901</v>
      </c>
      <c r="N19" s="10">
        <f>N4*'Portfolio x PD x Loan Count'!F132</f>
        <v>3.4011157319753655</v>
      </c>
      <c r="O19" s="10">
        <f>O4*'Portfolio x PD x Loan Count'!G132</f>
        <v>1.8550135451860448</v>
      </c>
    </row>
    <row r="20" spans="1:15" x14ac:dyDescent="0.2">
      <c r="A20" s="85" t="s">
        <v>29</v>
      </c>
      <c r="B20" s="85" t="s">
        <v>37</v>
      </c>
      <c r="C20" s="99">
        <f>C5*'Portfolio x PD x Loan Count'!C133/'Portfolio x PD x Loan Count'!C66</f>
        <v>-23.885835176482882</v>
      </c>
      <c r="D20" s="99">
        <f>D5*'Portfolio x PD x Loan Count'!D133/'Portfolio x PD x Loan Count'!D66</f>
        <v>0.58469521573004068</v>
      </c>
      <c r="E20" s="99">
        <f>E5*'Portfolio x PD x Loan Count'!E133/'Portfolio x PD x Loan Count'!E66</f>
        <v>11.660158074120991</v>
      </c>
      <c r="F20" s="99">
        <f>F5*'Portfolio x PD x Loan Count'!F133/'Portfolio x PD x Loan Count'!F66</f>
        <v>23.653225698471072</v>
      </c>
      <c r="G20" s="99">
        <f>G5*'Portfolio x PD x Loan Count'!G133/'Portfolio x PD x Loan Count'!G66</f>
        <v>31.674143250568182</v>
      </c>
      <c r="I20" s="69" t="s">
        <v>29</v>
      </c>
      <c r="J20" s="73" t="s">
        <v>37</v>
      </c>
      <c r="K20" s="10">
        <f>K5*'Portfolio x PD x Loan Count'!C133</f>
        <v>0</v>
      </c>
      <c r="L20" s="10">
        <f>L5*'Portfolio x PD x Loan Count'!D133</f>
        <v>0.22337291809402113</v>
      </c>
      <c r="M20" s="10">
        <f>M5*'Portfolio x PD x Loan Count'!E133</f>
        <v>0.44448035380641343</v>
      </c>
      <c r="N20" s="10">
        <f>N5*'Portfolio x PD x Loan Count'!F133</f>
        <v>0.86948744058888916</v>
      </c>
      <c r="O20" s="10">
        <f>O5*'Portfolio x PD x Loan Count'!G133</f>
        <v>1.0857370151190291</v>
      </c>
    </row>
    <row r="21" spans="1:15" x14ac:dyDescent="0.2">
      <c r="A21" s="88" t="s">
        <v>30</v>
      </c>
      <c r="B21" s="88" t="s">
        <v>35</v>
      </c>
      <c r="C21" s="99">
        <f>C6*'Portfolio x PD x Loan Count'!C134/'Portfolio x PD x Loan Count'!C67</f>
        <v>-31.737157232665005</v>
      </c>
      <c r="D21" s="99">
        <f>D6*'Portfolio x PD x Loan Count'!D134/'Portfolio x PD x Loan Count'!D67</f>
        <v>-5.6782137485622366</v>
      </c>
      <c r="E21" s="99">
        <f>E6*'Portfolio x PD x Loan Count'!E134/'Portfolio x PD x Loan Count'!E67</f>
        <v>0.54885217122041507</v>
      </c>
      <c r="F21" s="99">
        <f>F6*'Portfolio x PD x Loan Count'!F134/'Portfolio x PD x Loan Count'!F67</f>
        <v>5.2903641128540029</v>
      </c>
      <c r="G21" s="99">
        <f>G6*'Portfolio x PD x Loan Count'!G134/'Portfolio x PD x Loan Count'!G67</f>
        <v>9.369609511590907</v>
      </c>
      <c r="I21" s="70" t="s">
        <v>30</v>
      </c>
      <c r="J21" s="74" t="s">
        <v>35</v>
      </c>
      <c r="K21" s="10">
        <f>K6*'Portfolio x PD x Loan Count'!C134</f>
        <v>0</v>
      </c>
      <c r="L21" s="10">
        <f>L6*'Portfolio x PD x Loan Count'!D134</f>
        <v>0</v>
      </c>
      <c r="M21" s="10">
        <f>M6*'Portfolio x PD x Loan Count'!E134</f>
        <v>5.3345872524973661</v>
      </c>
      <c r="N21" s="10">
        <f>N6*'Portfolio x PD x Loan Count'!F134</f>
        <v>3.5712460522883402</v>
      </c>
      <c r="O21" s="10">
        <f>O6*'Portfolio x PD x Loan Count'!G134</f>
        <v>1.0810783033392051</v>
      </c>
    </row>
    <row r="22" spans="1:15" x14ac:dyDescent="0.2">
      <c r="A22" s="85" t="s">
        <v>30</v>
      </c>
      <c r="B22" s="85" t="s">
        <v>36</v>
      </c>
      <c r="C22" s="99">
        <f>C7*'Portfolio x PD x Loan Count'!C135/'Portfolio x PD x Loan Count'!C68</f>
        <v>-27.197692658625741</v>
      </c>
      <c r="D22" s="99">
        <f>D7*'Portfolio x PD x Loan Count'!D135/'Portfolio x PD x Loan Count'!D68</f>
        <v>-1.277711559578518</v>
      </c>
      <c r="E22" s="99">
        <f>E7*'Portfolio x PD x Loan Count'!E135/'Portfolio x PD x Loan Count'!E68</f>
        <v>9.4110632814540249</v>
      </c>
      <c r="F22" s="99">
        <f>F7*'Portfolio x PD x Loan Count'!F135/'Portfolio x PD x Loan Count'!F68</f>
        <v>17.613555379676821</v>
      </c>
      <c r="G22" s="99">
        <f>G7*'Portfolio x PD x Loan Count'!G135/'Portfolio x PD x Loan Count'!G68</f>
        <v>25.218605261318185</v>
      </c>
      <c r="I22" s="69" t="s">
        <v>30</v>
      </c>
      <c r="J22" s="73" t="s">
        <v>36</v>
      </c>
      <c r="K22" s="10">
        <f>K7*'Portfolio x PD x Loan Count'!C135</f>
        <v>0</v>
      </c>
      <c r="L22" s="10">
        <f>L7*'Portfolio x PD x Loan Count'!D135</f>
        <v>0</v>
      </c>
      <c r="M22" s="10">
        <f>M7*'Portfolio x PD x Loan Count'!E135</f>
        <v>8.0701865120326506</v>
      </c>
      <c r="N22" s="10">
        <f>N7*'Portfolio x PD x Loan Count'!F135</f>
        <v>8.5459251660639612</v>
      </c>
      <c r="O22" s="10">
        <f>O7*'Portfolio x PD x Loan Count'!G135</f>
        <v>4.6610607190328226</v>
      </c>
    </row>
    <row r="23" spans="1:15" x14ac:dyDescent="0.2">
      <c r="A23" s="88" t="s">
        <v>30</v>
      </c>
      <c r="B23" s="88" t="s">
        <v>37</v>
      </c>
      <c r="C23" s="99">
        <f>C8*'Portfolio x PD x Loan Count'!C136/'Portfolio x PD x Loan Count'!C69</f>
        <v>-18.22454033521305</v>
      </c>
      <c r="D23" s="99">
        <f>D8*'Portfolio x PD x Loan Count'!D136/'Portfolio x PD x Loan Count'!D69</f>
        <v>7.9330755967043061</v>
      </c>
      <c r="E23" s="99">
        <f>E8*'Portfolio x PD x Loan Count'!E136/'Portfolio x PD x Loan Count'!E69</f>
        <v>27.76032532622926</v>
      </c>
      <c r="F23" s="99">
        <f>F8*'Portfolio x PD x Loan Count'!F136/'Portfolio x PD x Loan Count'!F69</f>
        <v>48.012749176025409</v>
      </c>
      <c r="G23" s="99">
        <f>G8*'Portfolio x PD x Loan Count'!G136/'Portfolio x PD x Loan Count'!G69</f>
        <v>69.307334154545458</v>
      </c>
      <c r="I23" s="70" t="s">
        <v>30</v>
      </c>
      <c r="J23" s="74" t="s">
        <v>37</v>
      </c>
      <c r="K23" s="10">
        <f>K8*'Portfolio x PD x Loan Count'!C136</f>
        <v>0</v>
      </c>
      <c r="L23" s="10">
        <f>L8*'Portfolio x PD x Loan Count'!D136</f>
        <v>1.683795900454232</v>
      </c>
      <c r="M23" s="10">
        <f>M8*'Portfolio x PD x Loan Count'!E136</f>
        <v>3.3505144847356401</v>
      </c>
      <c r="N23" s="10">
        <f>N8*'Portfolio x PD x Loan Count'!F136</f>
        <v>6.5542385372956318</v>
      </c>
      <c r="O23" s="10">
        <f>O8*'Portfolio x PD x Loan Count'!G136</f>
        <v>8.1843383281554996</v>
      </c>
    </row>
    <row r="24" spans="1:15" x14ac:dyDescent="0.2">
      <c r="A24" s="85" t="s">
        <v>32</v>
      </c>
      <c r="B24" s="85" t="s">
        <v>35</v>
      </c>
      <c r="C24" s="99">
        <f>C9*'Portfolio x PD x Loan Count'!C137/'Portfolio x PD x Loan Count'!C70</f>
        <v>-28.839468162593995</v>
      </c>
      <c r="D24" s="99">
        <f>D9*'Portfolio x PD x Loan Count'!D137/'Portfolio x PD x Loan Count'!D70</f>
        <v>-4.6641479135372892</v>
      </c>
      <c r="E24" s="99">
        <f>E9*'Portfolio x PD x Loan Count'!E137/'Portfolio x PD x Loan Count'!E70</f>
        <v>1.5975535415533215</v>
      </c>
      <c r="F24" s="99">
        <f>F9*'Portfolio x PD x Loan Count'!F137/'Portfolio x PD x Loan Count'!F70</f>
        <v>6.3451432275772124</v>
      </c>
      <c r="G24" s="99">
        <f>G9*'Portfolio x PD x Loan Count'!G137/'Portfolio x PD x Loan Count'!G70</f>
        <v>9.2065665914772747</v>
      </c>
      <c r="I24" s="69" t="s">
        <v>32</v>
      </c>
      <c r="J24" s="73" t="s">
        <v>35</v>
      </c>
      <c r="K24" s="10">
        <f>K9*'Portfolio x PD x Loan Count'!C137</f>
        <v>0</v>
      </c>
      <c r="L24" s="10">
        <f>L9*'Portfolio x PD x Loan Count'!D137</f>
        <v>0</v>
      </c>
      <c r="M24" s="10">
        <f>M9*'Portfolio x PD x Loan Count'!E137</f>
        <v>1.9095389362469646</v>
      </c>
      <c r="N24" s="10">
        <f>N9*'Portfolio x PD x Loan Count'!F137</f>
        <v>1.2783432091340075</v>
      </c>
      <c r="O24" s="10">
        <f>O9*'Portfolio x PD x Loan Count'!G137</f>
        <v>0.38697672671706634</v>
      </c>
    </row>
    <row r="25" spans="1:15" x14ac:dyDescent="0.2">
      <c r="A25" s="88" t="s">
        <v>32</v>
      </c>
      <c r="B25" s="88" t="s">
        <v>36</v>
      </c>
      <c r="C25" s="99">
        <f>C10*'Portfolio x PD x Loan Count'!C138/'Portfolio x PD x Loan Count'!C71</f>
        <v>-23.885835176482878</v>
      </c>
      <c r="D25" s="99">
        <f>D10*'Portfolio x PD x Loan Count'!D138/'Portfolio x PD x Loan Count'!D71</f>
        <v>1.6344638415835087</v>
      </c>
      <c r="E25" s="99">
        <f>E10*'Portfolio x PD x Loan Count'!E138/'Portfolio x PD x Loan Count'!E71</f>
        <v>15.014359584976884</v>
      </c>
      <c r="F25" s="99">
        <f>F10*'Portfolio x PD x Loan Count'!F138/'Portfolio x PD x Loan Count'!F71</f>
        <v>26.217386064529425</v>
      </c>
      <c r="G25" s="99">
        <f>G10*'Portfolio x PD x Loan Count'!G138/'Portfolio x PD x Loan Count'!G71</f>
        <v>37.852726831818188</v>
      </c>
      <c r="I25" s="70" t="s">
        <v>32</v>
      </c>
      <c r="J25" s="74" t="s">
        <v>36</v>
      </c>
      <c r="K25" s="10">
        <f>K10*'Portfolio x PD x Loan Count'!C138</f>
        <v>0</v>
      </c>
      <c r="L25" s="10">
        <f>L10*'Portfolio x PD x Loan Count'!D138</f>
        <v>3.6196748351273382</v>
      </c>
      <c r="M25" s="10">
        <f>M10*'Portfolio x PD x Loan Count'!E138</f>
        <v>5.2960576272999873</v>
      </c>
      <c r="N25" s="10">
        <f>N10*'Portfolio x PD x Loan Count'!F138</f>
        <v>5.6082609851192018</v>
      </c>
      <c r="O25" s="10">
        <f>O10*'Portfolio x PD x Loan Count'!G138</f>
        <v>3.0588197850863095</v>
      </c>
    </row>
    <row r="26" spans="1:15" x14ac:dyDescent="0.2">
      <c r="A26" s="85" t="s">
        <v>32</v>
      </c>
      <c r="B26" s="85" t="s">
        <v>37</v>
      </c>
      <c r="C26" s="99">
        <f>C11*'Portfolio x PD x Loan Count'!C139/'Portfolio x PD x Loan Count'!C72</f>
        <v>-13.97856920426066</v>
      </c>
      <c r="D26" s="99">
        <f>D11*'Portfolio x PD x Loan Count'!D139/'Portfolio x PD x Loan Count'!D72</f>
        <v>13.18191872597164</v>
      </c>
      <c r="E26" s="99">
        <f>E11*'Portfolio x PD x Loan Count'!E139/'Portfolio x PD x Loan Count'!E72</f>
        <v>37.822929858796932</v>
      </c>
      <c r="F26" s="99">
        <f>F11*'Portfolio x PD x Loan Count'!F139/'Portfolio x PD x Loan Count'!F72</f>
        <v>56.987310457229626</v>
      </c>
      <c r="G26" s="99">
        <f>G11*'Portfolio x PD x Loan Count'!G139/'Portfolio x PD x Loan Count'!G72</f>
        <v>79.979433067613641</v>
      </c>
      <c r="I26" s="69" t="s">
        <v>32</v>
      </c>
      <c r="J26" s="73" t="s">
        <v>37</v>
      </c>
      <c r="K26" s="10">
        <f>K11*'Portfolio x PD x Loan Count'!C139</f>
        <v>0</v>
      </c>
      <c r="L26" s="10">
        <f>L11*'Portfolio x PD x Loan Count'!D139</f>
        <v>1.2054442754142438</v>
      </c>
      <c r="M26" s="10">
        <f>M11*'Portfolio x PD x Loan Count'!E139</f>
        <v>2.3986627501750855</v>
      </c>
      <c r="N26" s="10">
        <f>N11*'Portfolio x PD x Loan Count'!F139</f>
        <v>4.692236940564519</v>
      </c>
      <c r="O26" s="10">
        <f>O11*'Portfolio x PD x Loan Count'!G139</f>
        <v>5.859239699459402</v>
      </c>
    </row>
    <row r="27" spans="1:15" x14ac:dyDescent="0.2">
      <c r="A27" s="88" t="s">
        <v>51</v>
      </c>
      <c r="B27" s="88" t="s">
        <v>35</v>
      </c>
      <c r="C27" s="99">
        <f>C12*'Portfolio x PD x Loan Count'!C140/'Portfolio x PD x Loan Count'!C73</f>
        <v>-31.901036820175449</v>
      </c>
      <c r="D27" s="99">
        <f>D12*'Portfolio x PD x Loan Count'!D140/'Portfolio x PD x Loan Count'!D73</f>
        <v>-6.4546162297137588</v>
      </c>
      <c r="E27" s="99">
        <f>E12*'Portfolio x PD x Loan Count'!E140/'Portfolio x PD x Loan Count'!E73</f>
        <v>-1.9127210191954565</v>
      </c>
      <c r="F27" s="99">
        <f>F12*'Portfolio x PD x Loan Count'!F140/'Portfolio x PD x Loan Count'!F73</f>
        <v>1.6923669776916517</v>
      </c>
      <c r="G27" s="99">
        <f>G12*'Portfolio x PD x Loan Count'!G140/'Portfolio x PD x Loan Count'!G73</f>
        <v>5.1173802170454543</v>
      </c>
      <c r="I27" s="70" t="s">
        <v>51</v>
      </c>
      <c r="J27" s="74" t="s">
        <v>35</v>
      </c>
      <c r="K27" s="10">
        <f>K12*'Portfolio x PD x Loan Count'!C140</f>
        <v>0</v>
      </c>
      <c r="L27" s="10">
        <f>L12*'Portfolio x PD x Loan Count'!D140</f>
        <v>0</v>
      </c>
      <c r="M27" s="10">
        <f>M12*'Portfolio x PD x Loan Count'!E140</f>
        <v>0</v>
      </c>
      <c r="N27" s="10">
        <f>N12*'Portfolio x PD x Loan Count'!F140</f>
        <v>1.3041923671994922</v>
      </c>
      <c r="O27" s="10">
        <f>O12*'Portfolio x PD x Loan Count'!G140</f>
        <v>0.39480171652035212</v>
      </c>
    </row>
    <row r="28" spans="1:15" x14ac:dyDescent="0.2">
      <c r="A28" s="85" t="s">
        <v>51</v>
      </c>
      <c r="B28" s="85" t="s">
        <v>36</v>
      </c>
      <c r="C28" s="99">
        <f>C13*'Portfolio x PD x Loan Count'!C141/'Portfolio x PD x Loan Count'!C74</f>
        <v>-26.716482597117803</v>
      </c>
      <c r="D28" s="99">
        <f>D13*'Portfolio x PD x Loan Count'!D141/'Portfolio x PD x Loan Count'!D74</f>
        <v>-2.0397263489036233</v>
      </c>
      <c r="E28" s="99">
        <f>E13*'Portfolio x PD x Loan Count'!E141/'Portfolio x PD x Loan Count'!E74</f>
        <v>6.9642759589227463</v>
      </c>
      <c r="F28" s="99">
        <f>F13*'Portfolio x PD x Loan Count'!F141/'Portfolio x PD x Loan Count'!F74</f>
        <v>14.037624325752262</v>
      </c>
      <c r="G28" s="99">
        <f>G13*'Portfolio x PD x Loan Count'!G141/'Portfolio x PD x Loan Count'!G74</f>
        <v>21.002044337499999</v>
      </c>
      <c r="I28" s="69" t="s">
        <v>51</v>
      </c>
      <c r="J28" s="73" t="s">
        <v>36</v>
      </c>
      <c r="K28" s="10">
        <f>K13*'Portfolio x PD x Loan Count'!C141</f>
        <v>0</v>
      </c>
      <c r="L28" s="10">
        <f>L13*'Portfolio x PD x Loan Count'!D141</f>
        <v>0</v>
      </c>
      <c r="M28" s="10">
        <f>M13*'Portfolio x PD x Loan Count'!E141</f>
        <v>2.4559764987641453</v>
      </c>
      <c r="N28" s="10">
        <f>N13*'Portfolio x PD x Loan Count'!F141</f>
        <v>2.600756666126137</v>
      </c>
      <c r="O28" s="10">
        <f>O13*'Portfolio x PD x Loan Count'!G141</f>
        <v>1.4184871152840344</v>
      </c>
    </row>
    <row r="29" spans="1:15" ht="16" customHeight="1" x14ac:dyDescent="0.2">
      <c r="A29" s="90" t="s">
        <v>51</v>
      </c>
      <c r="B29" s="88" t="s">
        <v>37</v>
      </c>
      <c r="C29" s="99">
        <f>C14*'Portfolio x PD x Loan Count'!C142/'Portfolio x PD x Loan Count'!C75</f>
        <v>-19.639864045530508</v>
      </c>
      <c r="D29" s="99">
        <f>D14*'Portfolio x PD x Loan Count'!D142/'Portfolio x PD x Loan Count'!D75</f>
        <v>5.8335383449973728</v>
      </c>
      <c r="E29" s="99">
        <f>E14*'Portfolio x PD x Loan Count'!E142/'Portfolio x PD x Loan Count'!E75</f>
        <v>23.735283513202194</v>
      </c>
      <c r="F29" s="99">
        <f>F14*'Portfolio x PD x Loan Count'!F142/'Portfolio x PD x Loan Count'!F75</f>
        <v>39.038187894821178</v>
      </c>
      <c r="G29" s="99">
        <f>G14*'Portfolio x PD x Loan Count'!G142/'Portfolio x PD x Loan Count'!G75</f>
        <v>60.32030349090909</v>
      </c>
      <c r="I29" s="80" t="s">
        <v>51</v>
      </c>
      <c r="J29" s="74" t="s">
        <v>37</v>
      </c>
      <c r="K29" s="10">
        <f>K14*'Portfolio x PD x Loan Count'!C142</f>
        <v>0</v>
      </c>
      <c r="L29" s="10">
        <f>L14*'Portfolio x PD x Loan Count'!D142</f>
        <v>0.40993978556160288</v>
      </c>
      <c r="M29" s="10">
        <f>M14*'Portfolio x PD x Loan Count'!E142</f>
        <v>0.81572189896830472</v>
      </c>
      <c r="N29" s="10">
        <f>N14*'Portfolio x PD x Loan Count'!F142</f>
        <v>1.5957059521131658</v>
      </c>
      <c r="O29" s="10">
        <f>O14*'Portfolio x PD x Loan Count'!G142</f>
        <v>1.9925727924046983</v>
      </c>
    </row>
    <row r="31" spans="1:15" x14ac:dyDescent="0.2">
      <c r="A31" t="s">
        <v>147</v>
      </c>
      <c r="B31" t="s">
        <v>148</v>
      </c>
    </row>
    <row r="32" spans="1:15" x14ac:dyDescent="0.2">
      <c r="A32" s="64">
        <f>SUM(K18:K29,L18:L29,M18:M29,N18:N29,O18:O29)/'User Segmentation'!$I$47</f>
        <v>0.35274775178987594</v>
      </c>
      <c r="B32" s="64">
        <f>1-Table6[[#This Row],[%Profitable Loans ]]</f>
        <v>0.64725224821012406</v>
      </c>
      <c r="I32" s="10"/>
      <c r="J32" s="10"/>
    </row>
    <row r="33" spans="9:10" x14ac:dyDescent="0.2">
      <c r="I33" s="10"/>
      <c r="J33" s="10"/>
    </row>
  </sheetData>
  <sheetProtection algorithmName="SHA-512" hashValue="ny4EazC+T/V5KaRxGcoLdbjshuGO23CmeM3eQLpoUQJhaztS8uxsVSi3zFz7kKtShZcZMCkbita1a4eWx1F+cg==" saltValue="/5P9coRZi81+qMo7N3Qw6Q==" spinCount="100000" sheet="1" objects="1" scenarios="1"/>
  <conditionalFormatting sqref="C3:G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G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729E-EE22-F840-B1EA-E0E7FC212099}">
  <sheetPr codeName="Sheet7">
    <tabColor theme="2" tint="-9.9978637043366805E-2"/>
  </sheetPr>
  <dimension ref="A1:Y168"/>
  <sheetViews>
    <sheetView zoomScale="90" workbookViewId="0">
      <selection activeCell="I27" sqref="I27"/>
    </sheetView>
  </sheetViews>
  <sheetFormatPr baseColWidth="10" defaultRowHeight="16" x14ac:dyDescent="0.2"/>
  <cols>
    <col min="1" max="1" width="12.6640625" bestFit="1" customWidth="1"/>
    <col min="2" max="2" width="14.83203125" bestFit="1" customWidth="1"/>
    <col min="3" max="3" width="17.6640625" bestFit="1" customWidth="1"/>
    <col min="4" max="4" width="18.1640625" bestFit="1" customWidth="1"/>
    <col min="5" max="5" width="16.1640625" bestFit="1" customWidth="1"/>
    <col min="6" max="6" width="12.83203125" customWidth="1"/>
    <col min="17" max="17" width="9.5" hidden="1" customWidth="1"/>
    <col min="18" max="18" width="16.5" hidden="1" customWidth="1"/>
    <col min="19" max="19" width="19.5" hidden="1" customWidth="1"/>
    <col min="20" max="20" width="19.83203125" hidden="1" customWidth="1"/>
    <col min="21" max="21" width="17.83203125" hidden="1" customWidth="1"/>
  </cols>
  <sheetData>
    <row r="1" spans="1:25" ht="29" customHeight="1" x14ac:dyDescent="0.2">
      <c r="A1" t="s">
        <v>132</v>
      </c>
    </row>
    <row r="2" spans="1:25" ht="15" customHeight="1" x14ac:dyDescent="0.2">
      <c r="A2" t="s">
        <v>136</v>
      </c>
      <c r="B2" t="s">
        <v>0</v>
      </c>
      <c r="C2" t="s">
        <v>34</v>
      </c>
      <c r="D2" t="s">
        <v>57</v>
      </c>
      <c r="E2" t="s">
        <v>139</v>
      </c>
      <c r="F2" t="s">
        <v>121</v>
      </c>
      <c r="G2" t="s">
        <v>120</v>
      </c>
      <c r="H2" t="s">
        <v>137</v>
      </c>
    </row>
    <row r="3" spans="1:25" x14ac:dyDescent="0.2">
      <c r="A3" t="s">
        <v>133</v>
      </c>
      <c r="B3" t="s">
        <v>29</v>
      </c>
      <c r="C3" t="s">
        <v>35</v>
      </c>
      <c r="D3" t="s">
        <v>58</v>
      </c>
      <c r="E3" s="65" cm="1">
        <f t="array" ref="E3">INDEX(Table41[[Deep Subprime]:[Super Prime]], MATCH(1,(Table41[Generation]=Table78[[#This Row],[Generation]:[Generation]])*(Table41[Income Bracket]=Table78[[#This Row],[Income Bracket]:[Income Bracket]]),0), MATCH(Table78[[#This Row],[Credit Category]:[Credit Category]],Table41[[#Headers],[Deep Subprime]:[Super Prime]],0))</f>
        <v>9.8055592603861694E-2</v>
      </c>
      <c r="F3" s="99" cm="1">
        <f t="array" ref="F3">INDEX(
    Table56[[Deep Subprime]:[Super Prime]],
    MATCH(1,
        (Table56[Generation]=Table78[[#This Row],[Generation]])*
        (Table56[Income Bracket]=Table78[[#This Row],[Income Bracket]]),
    0),
    MATCH(Table78[[#This Row],[Credit Category]],
        Table56[[#Headers],[Deep Subprime]:[Super Prime]],
    0)
)</f>
        <v>49.84375</v>
      </c>
      <c r="G3" s="61" cm="1">
        <f t="array" ref="G3">INDEX('Dynamic PD'!$N$3:$R$14, MATCH(1,('Dynamic PD'!$L$3:$L$14=Table78[[#This Row],[Generation]])*('Dynamic PD'!$M$3:$M$14=Table78[[#This Row],[Income Bracket]]),0),MATCH(Table78[[#This Row],[Credit Category]],'Dynamic PD'!$N$2:$R$2,0))</f>
        <v>3.8500000000000006E-2</v>
      </c>
      <c r="H3">
        <f>(VLOOKUP(Table78[[#This Row],[Income Bracket]],Table65[],2,FALSE))*(VLOOKUP(Table78[[#This Row],[Credit Category]],Table67[],2,FALSE))</f>
        <v>1.89</v>
      </c>
    </row>
    <row r="4" spans="1:25" x14ac:dyDescent="0.2">
      <c r="A4" t="s">
        <v>134</v>
      </c>
      <c r="B4" t="s">
        <v>30</v>
      </c>
      <c r="C4" t="s">
        <v>36</v>
      </c>
      <c r="D4" t="s">
        <v>60</v>
      </c>
      <c r="E4" s="65" cm="1">
        <f t="array" ref="E4">INDEX(Table41[[Deep Subprime]:[Super Prime]], MATCH(1,(Table41[Generation]=Table78[[#This Row],[Generation]:[Generation]])*(Table41[Income Bracket]=Table78[[#This Row],[Income Bracket]:[Income Bracket]]),0), MATCH(Table78[[#This Row],[Credit Category]:[Credit Category]],Table41[[#Headers],[Deep Subprime]:[Super Prime]],0))</f>
        <v>3.237769204840811E-2</v>
      </c>
      <c r="F4" s="99" cm="1">
        <f t="array" ref="F4">INDEX(
    Table56[[Deep Subprime]:[Super Prime]],
    MATCH(1,
        (Table56[Generation]=Table78[[#This Row],[Generation]])*
        (Table56[Income Bracket]=Table78[[#This Row],[Income Bracket]]),
    0),
    MATCH(Table78[[#This Row],[Credit Category]],
        Table56[[#Headers],[Deep Subprime]:[Super Prime]],
    0)
)</f>
        <v>163.125</v>
      </c>
      <c r="G4" s="61" cm="1">
        <f t="array" ref="G4">INDEX('Dynamic PD'!$N$3:$R$14, MATCH(1,('Dynamic PD'!$L$3:$L$14=Table78[[#This Row],[Generation]])*('Dynamic PD'!$M$3:$M$14=Table78[[#This Row],[Income Bracket]]),0),MATCH(Table78[[#This Row],[Credit Category]],'Dynamic PD'!$N$2:$R$2,0))</f>
        <v>1.0400000000000001E-2</v>
      </c>
      <c r="H4">
        <f>(VLOOKUP(Table78[[#This Row],[Income Bracket]],Table65[],2,FALSE))*(VLOOKUP(Table78[[#This Row],[Credit Category]],Table67[],2,FALSE))</f>
        <v>1.32</v>
      </c>
    </row>
    <row r="5" spans="1:25" x14ac:dyDescent="0.2">
      <c r="A5" t="s">
        <v>135</v>
      </c>
      <c r="B5" t="s">
        <v>32</v>
      </c>
      <c r="C5" t="s">
        <v>37</v>
      </c>
      <c r="D5" t="s">
        <v>62</v>
      </c>
      <c r="E5" s="65" cm="1">
        <f t="array" ref="E5">INDEX(Table41[[Deep Subprime]:[Super Prime]], MATCH(1,(Table41[Generation]=Table78[[#This Row],[Generation]:[Generation]])*(Table41[Income Bracket]=Table78[[#This Row],[Income Bracket]:[Income Bracket]]),0), MATCH(Table78[[#This Row],[Credit Category]:[Credit Category]],Table41[[#Headers],[Deep Subprime]:[Super Prime]],0))</f>
        <v>2.9450557836566933E-2</v>
      </c>
      <c r="F5" s="99" cm="1">
        <f t="array" ref="F5">INDEX(
    Table56[[Deep Subprime]:[Super Prime]],
    MATCH(1,
        (Table56[Generation]=Table78[[#This Row],[Generation]])*
        (Table56[Income Bracket]=Table78[[#This Row],[Income Bracket]]),
    0),
    MATCH(Table78[[#This Row],[Credit Category]],
        Table56[[#Headers],[Deep Subprime]:[Super Prime]],
    0)
)</f>
        <v>738.59375</v>
      </c>
      <c r="G5" s="61" cm="1">
        <f t="array" ref="G5">INDEX('Dynamic PD'!$N$3:$R$14, MATCH(1,('Dynamic PD'!$L$3:$L$14=Table78[[#This Row],[Generation]])*('Dynamic PD'!$M$3:$M$14=Table78[[#This Row],[Income Bracket]]),0),MATCH(Table78[[#This Row],[Credit Category]],'Dynamic PD'!$N$2:$R$2,0))</f>
        <v>8.0000000000000002E-3</v>
      </c>
      <c r="H5">
        <f>(VLOOKUP(Table78[[#This Row],[Income Bracket]],Table65[],2,FALSE))*(VLOOKUP(Table78[[#This Row],[Credit Category]],Table67[],2,FALSE))</f>
        <v>1.0710000000000002</v>
      </c>
    </row>
    <row r="6" spans="1:25" x14ac:dyDescent="0.2">
      <c r="A6" t="s">
        <v>149</v>
      </c>
      <c r="B6" t="str">
        <f>Dashboard!$H$15</f>
        <v>Gen Z</v>
      </c>
      <c r="C6" t="str">
        <f>Dashboard!$M$15</f>
        <v>50,000-1,00,000</v>
      </c>
      <c r="D6" t="str">
        <f>Dashboard!$R$15</f>
        <v>Near Prime</v>
      </c>
      <c r="E6" s="65" cm="1">
        <f t="array" ref="E6">INDEX(Table41[[Deep Subprime]:[Super Prime]], MATCH(1,(Table41[Generation]=Table78[[#This Row],[Generation]:[Generation]])*(Table41[Income Bracket]=Table78[[#This Row],[Income Bracket]:[Income Bracket]]),0), MATCH(Table78[[#This Row],[Credit Category]:[Credit Category]],Table41[[#Headers],[Deep Subprime]:[Super Prime]],0))</f>
        <v>1.2885705836529482E-2</v>
      </c>
      <c r="F6" s="99" cm="1">
        <f t="array" ref="F6">INDEX(
    Table56[[Deep Subprime]:[Super Prime]],
    MATCH(1,
        (Table56[Generation]=Table78[[#This Row],[Generation]])*
        (Table56[Income Bracket]=Table78[[#This Row],[Income Bracket]]),
    0),
    MATCH(Table78[[#This Row],[Credit Category]],
        Table56[[#Headers],[Deep Subprime]:[Super Prime]],
    0)
)</f>
        <v>108.75</v>
      </c>
      <c r="G6" s="61" cm="1">
        <f t="array" ref="G6">INDEX('Dynamic PD'!$N$3:$R$14, MATCH(1,('Dynamic PD'!$L$3:$L$14=Table78[[#This Row],[Generation]])*('Dynamic PD'!$M$3:$M$14=Table78[[#This Row],[Income Bracket]]),0),MATCH(Table78[[#This Row],[Credit Category]],'Dynamic PD'!$N$2:$R$2,0))</f>
        <v>1.0800000000000001E-2</v>
      </c>
      <c r="H6">
        <f>(VLOOKUP(Table78[[#This Row],[Income Bracket]],Table65[],2,FALSE))*(VLOOKUP(Table78[[#This Row],[Credit Category]],Table67[],2,FALSE))</f>
        <v>1.32</v>
      </c>
    </row>
    <row r="8" spans="1:25" ht="51" x14ac:dyDescent="0.2">
      <c r="A8" s="111" t="s">
        <v>131</v>
      </c>
      <c r="B8" s="116" t="str">
        <f>$B$3 &amp; "," &amp; CHAR(10) &amp;
$C$3 &amp; "," &amp; CHAR(10) &amp;
$D$3</f>
        <v>Gen Z,
&lt;50,000,
Deep Subprime</v>
      </c>
      <c r="C8" s="116" t="str">
        <f>$B$4 &amp; "," &amp; CHAR(10) &amp;
$C$4 &amp; "," &amp; CHAR(10) &amp;
$D$4</f>
        <v>Millenial,
50,000-1,00,000,
Near Prime</v>
      </c>
      <c r="D8" s="116" t="str">
        <f>$B$5 &amp; "," &amp; CHAR(10) &amp;
$C$5 &amp; "," &amp; CHAR(10) &amp;
$D$5</f>
        <v>Gen X,
&gt;1,00,000,
Super Prime</v>
      </c>
      <c r="E8" s="116" t="str">
        <f>$B$6 &amp; "," &amp; CHAR(10) &amp;
$C$6 &amp; "," &amp; CHAR(10) &amp;
$D$6</f>
        <v>Gen Z,
50,000-1,00,000,
Near Prime</v>
      </c>
      <c r="Q8" t="s">
        <v>131</v>
      </c>
      <c r="R8" s="62" t="s">
        <v>156</v>
      </c>
      <c r="S8" s="62" t="s">
        <v>157</v>
      </c>
      <c r="T8" s="62" t="s">
        <v>158</v>
      </c>
      <c r="U8" s="62" t="s">
        <v>159</v>
      </c>
      <c r="V8" s="62"/>
    </row>
    <row r="9" spans="1:25" x14ac:dyDescent="0.2">
      <c r="A9" s="112">
        <v>-0.75</v>
      </c>
      <c r="B9" s="113" cm="1">
        <f t="array" ref="B9">($F$3*(1+$A9)*'User Segmentation'!$I$49)
- Table70[[Fixed Cost]:[Fixed Cost]]
- (Table70[[Funding Rate]:[Funding Rate]]
   *Table70[[Tenure (in months)]:[Tenure (in months)]]
   *$F$3*(1+$A9)/12)
- (
   IF($A9&lt;0,
      'Dynamic CM'!$G$3,
      'Dynamic CM'!$G$3*(( $F$3*(1+$A9) / $F$3 )^'Dynamic CM'!$H$3)
     )
   *Table70[[LGD]:[LGD]]
   *$F$3*(1+$A9)
 )</f>
        <v>-2.8847363281250002</v>
      </c>
      <c r="C9" s="113" cm="1">
        <f t="array" ref="C9">($F$4*(1+$A9)*'User Segmentation'!$I$49)
- Table70[[Fixed Cost]:[Fixed Cost]]
- (Table70[[Funding Rate]:[Funding Rate]]
   *Table70[[Tenure (in months)]:[Tenure (in months)]]
   *$F$4*(1+$A9)/12)
- (
   IF($A9&lt;0,
      'Dynamic CM'!$G$4,
      'Dynamic CM'!$G$4*(( $F$4*(1+$A9) / $F$4 )^'Dynamic CM'!$H$4)
     )
   *Table70[[LGD]:[LGD]]
   *$F$4*(1+$A9)
 )</f>
        <v>-1.7633085937500002</v>
      </c>
      <c r="D9" s="113" cm="1">
        <f t="array" ref="D9">($F$5*(1+$A9)*'User Segmentation'!$I$49)
- Table70[[Fixed Cost]:[Fixed Cost]]
- (Table70[[Funding Rate]:[Funding Rate]]
   *Table70[[Tenure (in months)]:[Tenure (in months)]]
   *$F$5*(1+$A9)/12)
- (
   IF($A9&lt;0,
      'Dynamic CM'!$G$5,
      'Dynamic CM'!$G$5*(( $F$5*(1+$A9) / $F$5 )^'Dynamic CM'!$H$5)
     )
   *Table70[[LGD]:[LGD]]
   *$F$5*(1+$A9)
 )</f>
        <v>2.9318310546874993</v>
      </c>
      <c r="E9" s="113" cm="1">
        <f t="array" ref="E9">($F$6*(1+$A9)*'User Segmentation'!$I$49)
- Table70[[Fixed Cost]:[Fixed Cost]]
- (Table70[[Funding Rate]:[Funding Rate]]
   *Table70[[Tenure (in months)]:[Tenure (in months)]]
   *$F$6*(1+$A9)/12)
- (
   IF($A9&lt;0,
      'Dynamic CM'!$G$6,
      'Dynamic CM'!$G$6*(( $F$6*(1+$A9) / $F$6)^'Dynamic CM'!$H$6)
     )
   *Table70[[LGD]:[LGD]]
   *$F$6*(1+$A9)
 )</f>
        <v>-2.1836953124999998</v>
      </c>
      <c r="Q9" s="64">
        <v>-0.9</v>
      </c>
      <c r="R9" s="99" cm="1">
        <f t="array" ref="R9">($F$3*(1+$Q9)*'User Segmentation'!$I$49)
- Table70[[Fixed Cost]:[Fixed Cost]]
- (Table70[[Funding Rate]:[Funding Rate]]
   *Table70[[Tenure (in months)]:[Tenure (in months)]]
   *$F$3*(1+$Q9)/12)
- (
   IF($Q9&lt;0,
      'Dynamic CM'!$G$3,
      'Dynamic CM'!$G$3*(( $F$3*(1+$Q9) / $F$3 )^'Dynamic CM'!$H$3)
     )
   *Table70[[LGD]:[LGD]]
   *$F$3*(1+$Q9)
 )</f>
        <v>-2.9538945312500005</v>
      </c>
      <c r="S9" s="99" cm="1">
        <f t="array" ref="S9">($F$4*(1+$Q9)*'User Segmentation'!$I$49)
- Table70[[Fixed Cost]:[Fixed Cost]]
- (Table70[[Funding Rate]:[Funding Rate]]
   *Table70[[Tenure (in months)]:[Tenure (in months)]]
   *$F$4*(1+$Q9)/12)
- (
   IF($Q9&lt;0,
      'Dynamic CM'!$G$4,
      'Dynamic CM'!$G$4*(( $F$4*(1+$Q9) / $F$4 )^'Dynamic CM'!$H$4)
     )
   *Table70[[LGD]:[LGD]]
   *$F$4*(1+$Q9)
 )</f>
        <v>-2.5053234375000004</v>
      </c>
      <c r="T9" s="99" cm="1">
        <f t="array" ref="T9">($F$5*(1+$Q9)*'User Segmentation'!$I$49)
- Table70[[Fixed Cost]:[Fixed Cost]]
- (Table70[[Funding Rate]:[Funding Rate]]
   *Table70[[Tenure (in months)]:[Tenure (in months)]]
   *$F$5*(1+$Q9)/12)
- (
   IF($Q9&lt;0,
      'Dynamic CM'!$G$5,
      'Dynamic CM'!$G$5*(( $F$5*(1+$Q9) / $F$5 )^'Dynamic CM'!$H$5)
     )
   *Table70[[LGD]:[LGD]]
   *$F$5*(1+$Q9)
 )</f>
        <v>-0.62726757812500022</v>
      </c>
      <c r="U9" s="99" cm="1">
        <f t="array" ref="U9">($F$6*(1+$Q9)*'User Segmentation'!$I$49)
- Table70[[Fixed Cost]:[Fixed Cost]]
- (Table70[[Funding Rate]:[Funding Rate]]
   *Table70[[Tenure (in months)]:[Tenure (in months)]]
   *$F$6*(1+$Q9)/12)
- (
   IF($Q9&lt;0,
      'Dynamic CM'!$G$6,
      'Dynamic CM'!$G$6*(( $F$6*(1+$Q9) / $F$6)^'Dynamic CM'!$H$6)
     )
   *Table70[[LGD]:[LGD]]
   *$F$6*(1+$Q9)
 )</f>
        <v>-2.6734781249999995</v>
      </c>
    </row>
    <row r="10" spans="1:25" x14ac:dyDescent="0.2">
      <c r="A10" s="114">
        <v>-0.5</v>
      </c>
      <c r="B10" s="115" cm="1">
        <f t="array" ref="B10">($F$3*(1+$A10)*'User Segmentation'!$I$49)
- Table70[[Fixed Cost]:[Fixed Cost]]
- (Table70[[Funding Rate]:[Funding Rate]]
   *Table70[[Tenure (in months)]:[Tenure (in months)]]
   *$F$3*(1+$A10)/12)
- (
   IF($A10&lt;0,
      'Dynamic CM'!$G$3,
      'Dynamic CM'!$G$3*(( $F$3*(1+$A10) / $F$3 )^'Dynamic CM'!$H$3)
     )
   *Table70[[LGD]:[LGD]]
   *$F$3*(1+$A10)
 )</f>
        <v>-2.7694726562500005</v>
      </c>
      <c r="C10" s="115" cm="1">
        <f t="array" ref="C10">($F$4*(1+$A10)*'User Segmentation'!$I$49)
- Table70[[Fixed Cost]:[Fixed Cost]]
- (Table70[[Funding Rate]:[Funding Rate]]
   *Table70[[Tenure (in months)]:[Tenure (in months)]]
   *$F$4*(1+$A10)/12)
- (
   IF($A10&lt;0,
      'Dynamic CM'!$G$4,
      'Dynamic CM'!$G$4*(( $F$4*(1+$A10) / $F$4 )^'Dynamic CM'!$H$4)
     )
   *Table70[[LGD]:[LGD]]
   *$F$4*(1+$A10)
 )</f>
        <v>-0.52661718750000031</v>
      </c>
      <c r="D10" s="115" cm="1">
        <f t="array" ref="D10">($F$5*(1+$A10)*'User Segmentation'!$I$49)
- Table70[[Fixed Cost]:[Fixed Cost]]
- (Table70[[Funding Rate]:[Funding Rate]]
   *Table70[[Tenure (in months)]:[Tenure (in months)]]
   *$F$5*(1+$A10)/12)
- (
   IF($A10&lt;0,
      'Dynamic CM'!$G$5,
      'Dynamic CM'!$G$5*(( $F$5*(1+$A10) / $F$5 )^'Dynamic CM'!$H$5)
     )
   *Table70[[LGD]:[LGD]]
   *$F$5*(1+$A10)
 )</f>
        <v>8.8636621093749994</v>
      </c>
      <c r="E10" s="115" cm="1">
        <f t="array" ref="E10">($F$6*(1+$A10)*'User Segmentation'!$I$49)
- Table70[[Fixed Cost]:[Fixed Cost]]
- (Table70[[Funding Rate]:[Funding Rate]]
   *Table70[[Tenure (in months)]:[Tenure (in months)]]
   *$F$6*(1+$A10)/12)
- (
   IF($A10&lt;0,
      'Dynamic CM'!$G$6,
      'Dynamic CM'!$G$6*(( $F$6*(1+$A10) / $F$6)^'Dynamic CM'!$H$6)
     )
   *Table70[[LGD]:[LGD]]
   *$F$6*(1+$A10)
 )</f>
        <v>-1.3673906250000001</v>
      </c>
      <c r="Q10" s="64">
        <v>-0.8</v>
      </c>
      <c r="R10" s="99" cm="1">
        <f t="array" ref="R10">($F$3*(1+$Q10)*'User Segmentation'!$I$49)
- Table70[[Fixed Cost]:[Fixed Cost]]
- (Table70[[Funding Rate]:[Funding Rate]]
   *Table70[[Tenure (in months)]:[Tenure (in months)]]
   *$F$3*(1+$Q10)/12)
- (
   IF($Q10&lt;0,
      'Dynamic CM'!$G$3,
      'Dynamic CM'!$G$3*(( $F$3*(1+$Q10) / $F$3 )^'Dynamic CM'!$H$3)
     )
   *Table70[[LGD]:[LGD]]
   *$F$3*(1+$Q10)
 )</f>
        <v>-2.9077890624999996</v>
      </c>
      <c r="S10" s="99" cm="1">
        <f t="array" ref="S10">($F$4*(1+$Q10)*'User Segmentation'!$I$49)
- Table70[[Fixed Cost]:[Fixed Cost]]
- (Table70[[Funding Rate]:[Funding Rate]]
   *Table70[[Tenure (in months)]:[Tenure (in months)]]
   *$F$4*(1+$Q10)/12)
- (
   IF($Q10&lt;0,
      'Dynamic CM'!$G$4,
      'Dynamic CM'!$G$4*(( $F$4*(1+$Q10) / $F$4 )^'Dynamic CM'!$H$4)
     )
   *Table70[[LGD]:[LGD]]
   *$F$4*(1+$Q10)
 )</f>
        <v>-2.0106468750000004</v>
      </c>
      <c r="T10" s="99" cm="1">
        <f t="array" ref="T10">($F$5*(1+$Q10)*'User Segmentation'!$I$49)
- Table70[[Fixed Cost]:[Fixed Cost]]
- (Table70[[Funding Rate]:[Funding Rate]]
   *Table70[[Tenure (in months)]:[Tenure (in months)]]
   *$F$5*(1+$Q10)/12)
- (
   IF($Q10&lt;0,
      'Dynamic CM'!$G$5,
      'Dynamic CM'!$G$5*(( $F$5*(1+$Q10) / $F$5 )^'Dynamic CM'!$H$5)
     )
   *Table70[[LGD]:[LGD]]
   *$F$5*(1+$Q10)
 )</f>
        <v>1.7454648437499998</v>
      </c>
      <c r="U10" s="99" cm="1">
        <f t="array" ref="U10">($F$6*(1+$Q10)*'User Segmentation'!$I$49)
- Table70[[Fixed Cost]:[Fixed Cost]]
- (Table70[[Funding Rate]:[Funding Rate]]
   *Table70[[Tenure (in months)]:[Tenure (in months)]]
   *$F$6*(1+$Q10)/12)
- (
   IF($Q10&lt;0,
      'Dynamic CM'!$G$6,
      'Dynamic CM'!$G$6*(( $F$6*(1+$Q10) / $F$6)^'Dynamic CM'!$H$6)
     )
   *Table70[[LGD]:[LGD]]
   *$F$6*(1+$Q10)
 )</f>
        <v>-2.3469562499999999</v>
      </c>
    </row>
    <row r="11" spans="1:25" x14ac:dyDescent="0.2">
      <c r="A11" s="112">
        <v>-0.25</v>
      </c>
      <c r="B11" s="113" cm="1">
        <f t="array" ref="B11">($F$3*(1+$A11)*'User Segmentation'!$I$49)
- Table70[[Fixed Cost]:[Fixed Cost]]
- (Table70[[Funding Rate]:[Funding Rate]]
   *Table70[[Tenure (in months)]:[Tenure (in months)]]
   *$F$3*(1+$A11)/12)
- (
   IF($A11&lt;0,
      'Dynamic CM'!$G$3,
      'Dynamic CM'!$G$3*(( $F$3*(1+$A11) / $F$3 )^'Dynamic CM'!$H$3)
     )
   *Table70[[LGD]:[LGD]]
   *$F$3*(1+$A11)
 )</f>
        <v>-2.6542089843749999</v>
      </c>
      <c r="C11" s="113" cm="1">
        <f t="array" ref="C11">($F$4*(1+$A11)*'User Segmentation'!$I$49)
- Table70[[Fixed Cost]:[Fixed Cost]]
- (Table70[[Funding Rate]:[Funding Rate]]
   *Table70[[Tenure (in months)]:[Tenure (in months)]]
   *$F$4*(1+$A11)/12)
- (
   IF($A11&lt;0,
      'Dynamic CM'!$G$4,
      'Dynamic CM'!$G$4*(( $F$4*(1+$A11) / $F$4 )^'Dynamic CM'!$H$4)
     )
   *Table70[[LGD]:[LGD]]
   *$F$4*(1+$A11)
 )</f>
        <v>0.71007421874999976</v>
      </c>
      <c r="D11" s="113" cm="1">
        <f t="array" ref="D11">($F$5*(1+$A11)*'User Segmentation'!$I$49)
- Table70[[Fixed Cost]:[Fixed Cost]]
- (Table70[[Funding Rate]:[Funding Rate]]
   *Table70[[Tenure (in months)]:[Tenure (in months)]]
   *$F$5*(1+$A11)/12)
- (
   IF($A11&lt;0,
      'Dynamic CM'!$G$5,
      'Dynamic CM'!$G$5*(( $F$5*(1+$A11) / $F$5 )^'Dynamic CM'!$H$5)
     )
   *Table70[[LGD]:[LGD]]
   *$F$5*(1+$A11)
 )</f>
        <v>14.795493164062497</v>
      </c>
      <c r="E11" s="113" cm="1">
        <f t="array" ref="E11">($F$6*(1+$A11)*'User Segmentation'!$I$49)
- Table70[[Fixed Cost]:[Fixed Cost]]
- (Table70[[Funding Rate]:[Funding Rate]]
   *Table70[[Tenure (in months)]:[Tenure (in months)]]
   *$F$6*(1+$A11)/12)
- (
   IF($A11&lt;0,
      'Dynamic CM'!$G$6,
      'Dynamic CM'!$G$6*(( $F$6*(1+$A11) / $F$6)^'Dynamic CM'!$H$6)
     )
   *Table70[[LGD]:[LGD]]
   *$F$6*(1+$A11)
 )</f>
        <v>-0.55108593750000001</v>
      </c>
      <c r="Q11" s="64">
        <v>-0.7</v>
      </c>
      <c r="R11" s="99" cm="1">
        <f t="array" ref="R11">($F$3*(1+$Q11)*'User Segmentation'!$I$49)
- Table70[[Fixed Cost]:[Fixed Cost]]
- (Table70[[Funding Rate]:[Funding Rate]]
   *Table70[[Tenure (in months)]:[Tenure (in months)]]
   *$F$3*(1+$Q11)/12)
- (
   IF($Q11&lt;0,
      'Dynamic CM'!$G$3,
      'Dynamic CM'!$G$3*(( $F$3*(1+$Q11) / $F$3 )^'Dynamic CM'!$H$3)
     )
   *Table70[[LGD]:[LGD]]
   *$F$3*(1+$Q11)
 )</f>
        <v>-2.8616835937499996</v>
      </c>
      <c r="S11" s="99" cm="1">
        <f t="array" ref="S11">($F$4*(1+$Q11)*'User Segmentation'!$I$49)
- Table70[[Fixed Cost]:[Fixed Cost]]
- (Table70[[Funding Rate]:[Funding Rate]]
   *Table70[[Tenure (in months)]:[Tenure (in months)]]
   *$F$4*(1+$Q11)/12)
- (
   IF($Q11&lt;0,
      'Dynamic CM'!$G$4,
      'Dynamic CM'!$G$4*(( $F$4*(1+$Q11) / $F$4 )^'Dynamic CM'!$H$4)
     )
   *Table70[[LGD]:[LGD]]
   *$F$4*(1+$Q11)
 )</f>
        <v>-1.5159703125000001</v>
      </c>
      <c r="T11" s="99" cm="1">
        <f t="array" ref="T11">($F$5*(1+$Q11)*'User Segmentation'!$I$49)
- Table70[[Fixed Cost]:[Fixed Cost]]
- (Table70[[Funding Rate]:[Funding Rate]]
   *Table70[[Tenure (in months)]:[Tenure (in months)]]
   *$F$5*(1+$Q11)/12)
- (
   IF($Q11&lt;0,
      'Dynamic CM'!$G$5,
      'Dynamic CM'!$G$5*(( $F$5*(1+$Q11) / $F$5 )^'Dynamic CM'!$H$5)
     )
   *Table70[[LGD]:[LGD]]
   *$F$5*(1+$Q11)
 )</f>
        <v>4.1181972656250014</v>
      </c>
      <c r="U11" s="99" cm="1">
        <f t="array" ref="U11">($F$6*(1+$Q11)*'User Segmentation'!$I$49)
- Table70[[Fixed Cost]:[Fixed Cost]]
- (Table70[[Funding Rate]:[Funding Rate]]
   *Table70[[Tenure (in months)]:[Tenure (in months)]]
   *$F$6*(1+$Q11)/12)
- (
   IF($Q11&lt;0,
      'Dynamic CM'!$G$6,
      'Dynamic CM'!$G$6*(( $F$6*(1+$Q11) / $F$6)^'Dynamic CM'!$H$6)
     )
   *Table70[[LGD]:[LGD]]
   *$F$6*(1+$Q11)
 )</f>
        <v>-2.0204343749999993</v>
      </c>
    </row>
    <row r="12" spans="1:25" x14ac:dyDescent="0.2">
      <c r="A12" s="114">
        <v>0</v>
      </c>
      <c r="B12" s="115" cm="1">
        <f t="array" ref="B12">($F$3*(1+$A12)*'User Segmentation'!$I$49)
- Table70[[Fixed Cost]:[Fixed Cost]]
- (Table70[[Funding Rate]:[Funding Rate]]
   *Table70[[Tenure (in months)]:[Tenure (in months)]]
   *$F$3*(1+$A12)/12)
- (
   IF($A12&lt;0,
      'Dynamic CM'!$G$3,
      'Dynamic CM'!$G$3*(( $F$3*(1+$A12) / $F$3 )^'Dynamic CM'!$H$3)
     )
   *Table70[[LGD]:[LGD]]
   *$F$3*(1+$A12)
 )</f>
        <v>-2.5389453125000001</v>
      </c>
      <c r="C12" s="115" cm="1">
        <f t="array" ref="C12">($F$4*(1+$A12)*'User Segmentation'!$I$49)
- Table70[[Fixed Cost]:[Fixed Cost]]
- (Table70[[Funding Rate]:[Funding Rate]]
   *Table70[[Tenure (in months)]:[Tenure (in months)]]
   *$F$4*(1+$A12)/12)
- (
   IF($A12&lt;0,
      'Dynamic CM'!$G$4,
      'Dynamic CM'!$G$4*(( $F$4*(1+$A12) / $F$4 )^'Dynamic CM'!$H$4)
     )
   *Table70[[LGD]:[LGD]]
   *$F$4*(1+$A12)
 )</f>
        <v>1.9467656249999994</v>
      </c>
      <c r="D12" s="115" cm="1">
        <f t="array" ref="D12">($F$5*(1+$A12)*'User Segmentation'!$I$49)
- Table70[[Fixed Cost]:[Fixed Cost]]
- (Table70[[Funding Rate]:[Funding Rate]]
   *Table70[[Tenure (in months)]:[Tenure (in months)]]
   *$F$5*(1+$A12)/12)
- (
   IF($A12&lt;0,
      'Dynamic CM'!$G$5,
      'Dynamic CM'!$G$5*(( $F$5*(1+$A12) / $F$5 )^'Dynamic CM'!$H$5)
     )
   *Table70[[LGD]:[LGD]]
   *$F$5*(1+$A12)
 )</f>
        <v>20.727324218749999</v>
      </c>
      <c r="E12" s="115" cm="1">
        <f t="array" ref="E12">($F$6*(1+$A12)*'User Segmentation'!$I$49)
- Table70[[Fixed Cost]:[Fixed Cost]]
- (Table70[[Funding Rate]:[Funding Rate]]
   *Table70[[Tenure (in months)]:[Tenure (in months)]]
   *$F$6*(1+$A12)/12)
- (
   IF($A12&lt;0,
      'Dynamic CM'!$G$6,
      'Dynamic CM'!$G$6*(( $F$6*(1+$A12) / $F$6)^'Dynamic CM'!$H$6)
     )
   *Table70[[LGD]:[LGD]]
   *$F$6*(1+$A12)
 )</f>
        <v>0.26521874999999995</v>
      </c>
      <c r="Q12" s="64">
        <v>-0.6</v>
      </c>
      <c r="R12" s="99" cm="1">
        <f t="array" ref="R12">($F$3*(1+$Q12)*'User Segmentation'!$I$49)
- Table70[[Fixed Cost]:[Fixed Cost]]
- (Table70[[Funding Rate]:[Funding Rate]]
   *Table70[[Tenure (in months)]:[Tenure (in months)]]
   *$F$3*(1+$Q12)/12)
- (
   IF($Q12&lt;0,
      'Dynamic CM'!$G$3,
      'Dynamic CM'!$G$3*(( $F$3*(1+$Q12) / $F$3 )^'Dynamic CM'!$H$3)
     )
   *Table70[[LGD]:[LGD]]
   *$F$3*(1+$Q12)
 )</f>
        <v>-2.815578125</v>
      </c>
      <c r="S12" s="99" cm="1">
        <f t="array" ref="S12">($F$4*(1+$Q12)*'User Segmentation'!$I$49)
- Table70[[Fixed Cost]:[Fixed Cost]]
- (Table70[[Funding Rate]:[Funding Rate]]
   *Table70[[Tenure (in months)]:[Tenure (in months)]]
   *$F$4*(1+$Q12)/12)
- (
   IF($Q12&lt;0,
      'Dynamic CM'!$G$4,
      'Dynamic CM'!$G$4*(( $F$4*(1+$Q12) / $F$4 )^'Dynamic CM'!$H$4)
     )
   *Table70[[LGD]:[LGD]]
   *$F$4*(1+$Q12)
 )</f>
        <v>-1.0212937500000001</v>
      </c>
      <c r="T12" s="99" cm="1">
        <f t="array" ref="T12">($F$5*(1+$Q12)*'User Segmentation'!$I$49)
- Table70[[Fixed Cost]:[Fixed Cost]]
- (Table70[[Funding Rate]:[Funding Rate]]
   *Table70[[Tenure (in months)]:[Tenure (in months)]]
   *$F$5*(1+$Q12)/12)
- (
   IF($Q12&lt;0,
      'Dynamic CM'!$G$5,
      'Dynamic CM'!$G$5*(( $F$5*(1+$Q12) / $F$5 )^'Dynamic CM'!$H$5)
     )
   *Table70[[LGD]:[LGD]]
   *$F$5*(1+$Q12)
 )</f>
        <v>6.4909296875000013</v>
      </c>
      <c r="U12" s="99" cm="1">
        <f t="array" ref="U12">($F$6*(1+$Q12)*'User Segmentation'!$I$49)
- Table70[[Fixed Cost]:[Fixed Cost]]
- (Table70[[Funding Rate]:[Funding Rate]]
   *Table70[[Tenure (in months)]:[Tenure (in months)]]
   *$F$6*(1+$Q12)/12)
- (
   IF($Q12&lt;0,
      'Dynamic CM'!$G$6,
      'Dynamic CM'!$G$6*(( $F$6*(1+$Q12) / $F$6)^'Dynamic CM'!$H$6)
     )
   *Table70[[LGD]:[LGD]]
   *$F$6*(1+$Q12)
 )</f>
        <v>-1.6939124999999997</v>
      </c>
    </row>
    <row r="13" spans="1:25" x14ac:dyDescent="0.2">
      <c r="A13" s="112">
        <v>0.25</v>
      </c>
      <c r="B13" s="113" cm="1">
        <f t="array" ref="B13">($F$3*(1+$A13)*'User Segmentation'!$I$49)
- Table70[[Fixed Cost]:[Fixed Cost]]
- (Table70[[Funding Rate]:[Funding Rate]]
   *Table70[[Tenure (in months)]:[Tenure (in months)]]
   *$F$3*(1+$A13)/12)
- (
   IF($A13&lt;0,
      'Dynamic CM'!$G$3,
      'Dynamic CM'!$G$3*(( $F$3*(1+$A13) / $F$3 )^'Dynamic CM'!$H$3)
     )
   *Table70[[LGD]:[LGD]]
   *$F$3*(1+$A13)
 )</f>
        <v>-3.3674874638496513</v>
      </c>
      <c r="C13" s="113" cm="1">
        <f t="array" ref="C13">($F$4*(1+$A13)*'User Segmentation'!$I$49)
- Table70[[Fixed Cost]:[Fixed Cost]]
- (Table70[[Funding Rate]:[Funding Rate]]
   *Table70[[Tenure (in months)]:[Tenure (in months)]]
   *$F$4*(1+$A13)/12)
- (
   IF($A13&lt;0,
      'Dynamic CM'!$G$4,
      'Dynamic CM'!$G$4*(( $F$4*(1+$A13) / $F$4 )^'Dynamic CM'!$H$4)
     )
   *Table70[[LGD]:[LGD]]
   *$F$4*(1+$A13)
 )</f>
        <v>2.6386874482343452</v>
      </c>
      <c r="D13" s="113" cm="1">
        <f t="array" ref="D13">($F$5*(1+$A13)*'User Segmentation'!$I$49)
- Table70[[Fixed Cost]:[Fixed Cost]]
- (Table70[[Funding Rate]:[Funding Rate]]
   *Table70[[Tenure (in months)]:[Tenure (in months)]]
   *$F$5*(1+$A13)/12)
- (
   IF($A13&lt;0,
      'Dynamic CM'!$G$5,
      'Dynamic CM'!$G$5*(( $F$5*(1+$A13) / $F$5 )^'Dynamic CM'!$H$5)
     )
   *Table70[[LGD]:[LGD]]
   *$F$5*(1+$A13)
 )</f>
        <v>25.163715084255458</v>
      </c>
      <c r="E13" s="113" cm="1">
        <f t="array" ref="E13">($F$6*(1+$A13)*'User Segmentation'!$I$49)
- Table70[[Fixed Cost]:[Fixed Cost]]
- (Table70[[Funding Rate]:[Funding Rate]]
   *Table70[[Tenure (in months)]:[Tenure (in months)]]
   *$F$6*(1+$A13)/12)
- (
   IF($A13&lt;0,
      'Dynamic CM'!$G$6,
      'Dynamic CM'!$G$6*(( $F$6*(1+$A13) / $F$6)^'Dynamic CM'!$H$6)
     )
   *Table70[[LGD]:[LGD]]
   *$F$6*(1+$A13)
 )</f>
        <v>0.70437526464300815</v>
      </c>
      <c r="G13" s="9"/>
      <c r="Q13" s="64">
        <v>-0.5</v>
      </c>
      <c r="R13" s="99" cm="1">
        <f t="array" ref="R13">($F$3*(1+$Q13)*'User Segmentation'!$I$49)
- Table70[[Fixed Cost]:[Fixed Cost]]
- (Table70[[Funding Rate]:[Funding Rate]]
   *Table70[[Tenure (in months)]:[Tenure (in months)]]
   *$F$3*(1+$Q13)/12)
- (
   IF($Q13&lt;0,
      'Dynamic CM'!$G$3,
      'Dynamic CM'!$G$3*(( $F$3*(1+$Q13) / $F$3 )^'Dynamic CM'!$H$3)
     )
   *Table70[[LGD]:[LGD]]
   *$F$3*(1+$Q13)
 )</f>
        <v>-2.7694726562500005</v>
      </c>
      <c r="S13" s="99" cm="1">
        <f t="array" ref="S13">($F$4*(1+$Q13)*'User Segmentation'!$I$49)
- Table70[[Fixed Cost]:[Fixed Cost]]
- (Table70[[Funding Rate]:[Funding Rate]]
   *Table70[[Tenure (in months)]:[Tenure (in months)]]
   *$F$4*(1+$Q13)/12)
- (
   IF($Q13&lt;0,
      'Dynamic CM'!$G$4,
      'Dynamic CM'!$G$4*(( $F$4*(1+$Q13) / $F$4 )^'Dynamic CM'!$H$4)
     )
   *Table70[[LGD]:[LGD]]
   *$F$4*(1+$Q13)
 )</f>
        <v>-0.52661718750000031</v>
      </c>
      <c r="T13" s="99" cm="1">
        <f t="array" ref="T13">($F$5*(1+$Q13)*'User Segmentation'!$I$49)
- Table70[[Fixed Cost]:[Fixed Cost]]
- (Table70[[Funding Rate]:[Funding Rate]]
   *Table70[[Tenure (in months)]:[Tenure (in months)]]
   *$F$5*(1+$Q13)/12)
- (
   IF($Q13&lt;0,
      'Dynamic CM'!$G$5,
      'Dynamic CM'!$G$5*(( $F$5*(1+$Q13) / $F$5 )^'Dynamic CM'!$H$5)
     )
   *Table70[[LGD]:[LGD]]
   *$F$5*(1+$Q13)
 )</f>
        <v>8.8636621093749994</v>
      </c>
      <c r="U13" s="99" cm="1">
        <f t="array" ref="U13">($F$6*(1+$Q13)*'User Segmentation'!$I$49)
- Table70[[Fixed Cost]:[Fixed Cost]]
- (Table70[[Funding Rate]:[Funding Rate]]
   *Table70[[Tenure (in months)]:[Tenure (in months)]]
   *$F$6*(1+$Q13)/12)
- (
   IF($Q13&lt;0,
      'Dynamic CM'!$G$6,
      'Dynamic CM'!$G$6*(( $F$6*(1+$Q13) / $F$6)^'Dynamic CM'!$H$6)
     )
   *Table70[[LGD]:[LGD]]
   *$F$6*(1+$Q13)
 )</f>
        <v>-1.3673906250000001</v>
      </c>
    </row>
    <row r="14" spans="1:25" x14ac:dyDescent="0.2">
      <c r="A14" s="114">
        <v>0.5</v>
      </c>
      <c r="B14" s="115" cm="1">
        <f t="array" ref="B14">($F$3*(1+$A14)*'User Segmentation'!$I$49)
- Table70[[Fixed Cost]:[Fixed Cost]]
- (Table70[[Funding Rate]:[Funding Rate]]
   *Table70[[Tenure (in months)]:[Tenure (in months)]]
   *$F$3*(1+$A14)/12)
- (
   IF($A14&lt;0,
      'Dynamic CM'!$G$3,
      'Dynamic CM'!$G$3*(( $F$3*(1+$A14) / $F$3 )^'Dynamic CM'!$H$3)
     )
   *Table70[[LGD]:[LGD]]
   *$F$3*(1+$A14)
 )</f>
        <v>-4.795103079467129</v>
      </c>
      <c r="C14" s="115" cm="1">
        <f t="array" ref="C14">($F$4*(1+$A14)*'User Segmentation'!$I$49)
- Table70[[Fixed Cost]:[Fixed Cost]]
- (Table70[[Funding Rate]:[Funding Rate]]
   *Table70[[Tenure (in months)]:[Tenure (in months)]]
   *$F$4*(1+$A14)/12)
- (
   IF($A14&lt;0,
      'Dynamic CM'!$G$4,
      'Dynamic CM'!$G$4*(( $F$4*(1+$A14) / $F$4 )^'Dynamic CM'!$H$4)
     )
   *Table70[[LGD]:[LGD]]
   *$F$4*(1+$A14)
 )</f>
        <v>3.0692419866357707</v>
      </c>
      <c r="D14" s="115" cm="1">
        <f t="array" ref="D14">($F$5*(1+$A14)*'User Segmentation'!$I$49)
- Table70[[Fixed Cost]:[Fixed Cost]]
- (Table70[[Funding Rate]:[Funding Rate]]
   *Table70[[Tenure (in months)]:[Tenure (in months)]]
   *$F$5*(1+$A14)/12)
- (
   IF($A14&lt;0,
      'Dynamic CM'!$G$5,
      'Dynamic CM'!$G$5*(( $F$5*(1+$A14) / $F$5 )^'Dynamic CM'!$H$5)
     )
   *Table70[[LGD]:[LGD]]
   *$F$5*(1+$A14)
 )</f>
        <v>28.976096953153423</v>
      </c>
      <c r="E14" s="115" cm="1">
        <f t="array" ref="E14">($F$6*(1+$A14)*'User Segmentation'!$I$49)
- Table70[[Fixed Cost]:[Fixed Cost]]
- (Table70[[Funding Rate]:[Funding Rate]]
   *Table70[[Tenure (in months)]:[Tenure (in months)]]
   *$F$6*(1+$A14)/12)
- (
   IF($A14&lt;0,
      'Dynamic CM'!$G$6,
      'Dynamic CM'!$G$6*(( $F$6*(1+$A14) / $F$6)^'Dynamic CM'!$H$6)
     )
   *Table70[[LGD]:[LGD]]
   *$F$6*(1+$A14)
 )</f>
        <v>0.96258519747861016</v>
      </c>
      <c r="F14" s="9"/>
      <c r="G14" s="9"/>
      <c r="Q14" s="64">
        <v>-0.4</v>
      </c>
      <c r="R14" s="99" cm="1">
        <f t="array" ref="R14">($F$3*(1+$Q14)*'User Segmentation'!$I$49)
- Table70[[Fixed Cost]:[Fixed Cost]]
- (Table70[[Funding Rate]:[Funding Rate]]
   *Table70[[Tenure (in months)]:[Tenure (in months)]]
   *$F$3*(1+$Q14)/12)
- (
   IF($Q14&lt;0,
      'Dynamic CM'!$G$3,
      'Dynamic CM'!$G$3*(( $F$3*(1+$Q14) / $F$3 )^'Dynamic CM'!$H$3)
     )
   *Table70[[LGD]:[LGD]]
   *$F$3*(1+$Q14)
 )</f>
        <v>-2.7233671875000001</v>
      </c>
      <c r="S14" s="99" cm="1">
        <f t="array" ref="S14">($F$4*(1+$Q14)*'User Segmentation'!$I$49)
- Table70[[Fixed Cost]:[Fixed Cost]]
- (Table70[[Funding Rate]:[Funding Rate]]
   *Table70[[Tenure (in months)]:[Tenure (in months)]]
   *$F$4*(1+$Q14)/12)
- (
   IF($Q14&lt;0,
      'Dynamic CM'!$G$4,
      'Dynamic CM'!$G$4*(( $F$4*(1+$Q14) / $F$4 )^'Dynamic CM'!$H$4)
     )
   *Table70[[LGD]:[LGD]]
   *$F$4*(1+$Q14)
 )</f>
        <v>-3.1940624999999501E-2</v>
      </c>
      <c r="T14" s="99" cm="1">
        <f t="array" ref="T14">($F$5*(1+$Q14)*'User Segmentation'!$I$49)
- Table70[[Fixed Cost]:[Fixed Cost]]
- (Table70[[Funding Rate]:[Funding Rate]]
   *Table70[[Tenure (in months)]:[Tenure (in months)]]
   *$F$5*(1+$Q14)/12)
- (
   IF($Q14&lt;0,
      'Dynamic CM'!$G$5,
      'Dynamic CM'!$G$5*(( $F$5*(1+$Q14) / $F$5 )^'Dynamic CM'!$H$5)
     )
   *Table70[[LGD]:[LGD]]
   *$F$5*(1+$Q14)
 )</f>
        <v>11.236394531250003</v>
      </c>
      <c r="U14" s="99" cm="1">
        <f t="array" ref="U14">($F$6*(1+$Q14)*'User Segmentation'!$I$49)
- Table70[[Fixed Cost]:[Fixed Cost]]
- (Table70[[Funding Rate]:[Funding Rate]]
   *Table70[[Tenure (in months)]:[Tenure (in months)]]
   *$F$6*(1+$Q14)/12)
- (
   IF($Q14&lt;0,
      'Dynamic CM'!$G$6,
      'Dynamic CM'!$G$6*(( $F$6*(1+$Q14) / $F$6)^'Dynamic CM'!$H$6)
     )
   *Table70[[LGD]:[LGD]]
   *$F$6*(1+$Q14)
 )</f>
        <v>-1.0408687499999998</v>
      </c>
      <c r="Y14" t="s">
        <v>160</v>
      </c>
    </row>
    <row r="15" spans="1:25" x14ac:dyDescent="0.2">
      <c r="A15" s="112">
        <v>0.75</v>
      </c>
      <c r="B15" s="113" cm="1">
        <f t="array" ref="B15">($F$3*(1+$A15)*'User Segmentation'!$I$49)
- Table70[[Fixed Cost]:[Fixed Cost]]
- (Table70[[Funding Rate]:[Funding Rate]]
   *Table70[[Tenure (in months)]:[Tenure (in months)]]
   *$F$3*(1+$A15)/12)
- (
   IF($A15&lt;0,
      'Dynamic CM'!$G$3,
      'Dynamic CM'!$G$3*(( $F$3*(1+$A15) / $F$3 )^'Dynamic CM'!$H$3)
     )
   *Table70[[LGD]:[LGD]]
   *$F$3*(1+$A15)
 )</f>
        <v>-6.9274035550058519</v>
      </c>
      <c r="C15" s="113" cm="1">
        <f t="array" ref="C15">($F$4*(1+$A15)*'User Segmentation'!$I$49)
- Table70[[Fixed Cost]:[Fixed Cost]]
- (Table70[[Funding Rate]:[Funding Rate]]
   *Table70[[Tenure (in months)]:[Tenure (in months)]]
   *$F$4*(1+$A15)/12)
- (
   IF($A15&lt;0,
      'Dynamic CM'!$G$4,
      'Dynamic CM'!$G$4*(( $F$4*(1+$A15) / $F$4 )^'Dynamic CM'!$H$4)
     )
   *Table70[[LGD]:[LGD]]
   *$F$4*(1+$A15)
 )</f>
        <v>3.2226646165696264</v>
      </c>
      <c r="D15" s="113" cm="1">
        <f t="array" ref="D15">($F$5*(1+$A15)*'User Segmentation'!$I$49)
- Table70[[Fixed Cost]:[Fixed Cost]]
- (Table70[[Funding Rate]:[Funding Rate]]
   *Table70[[Tenure (in months)]:[Tenure (in months)]]
   *$F$5*(1+$A15)/12)
- (
   IF($A15&lt;0,
      'Dynamic CM'!$G$5,
      'Dynamic CM'!$G$5*(( $F$5*(1+$A15) / $F$5 )^'Dynamic CM'!$H$5)
     )
   *Table70[[LGD]:[LGD]]
   *$F$5*(1+$A15)
 )</f>
        <v>32.156296597367138</v>
      </c>
      <c r="E15" s="113" cm="1">
        <f t="array" ref="E15">($F$6*(1+$A15)*'User Segmentation'!$I$49)
- Table70[[Fixed Cost]:[Fixed Cost]]
- (Table70[[Funding Rate]:[Funding Rate]]
   *Table70[[Tenure (in months)]:[Tenure (in months)]]
   *$F$6*(1+$A15)/12)
- (
   IF($A15&lt;0,
      'Dynamic CM'!$G$6,
      'Dynamic CM'!$G$6*(( $F$6*(1+$A15) / $F$6)^'Dynamic CM'!$H$6)
     )
   *Table70[[LGD]:[LGD]]
   *$F$6*(1+$A15)
 )</f>
        <v>1.0289345782982036</v>
      </c>
      <c r="F15" s="9"/>
      <c r="G15" s="9"/>
      <c r="Q15" s="64">
        <v>-0.3</v>
      </c>
      <c r="R15" s="99" cm="1">
        <f t="array" ref="R15">($F$3*(1+$Q15)*'User Segmentation'!$I$49)
- Table70[[Fixed Cost]:[Fixed Cost]]
- (Table70[[Funding Rate]:[Funding Rate]]
   *Table70[[Tenure (in months)]:[Tenure (in months)]]
   *$F$3*(1+$Q15)/12)
- (
   IF($Q15&lt;0,
      'Dynamic CM'!$G$3,
      'Dynamic CM'!$G$3*(( $F$3*(1+$Q15) / $F$3 )^'Dynamic CM'!$H$3)
     )
   *Table70[[LGD]:[LGD]]
   *$F$3*(1+$Q15)
 )</f>
        <v>-2.6772617187500001</v>
      </c>
      <c r="S15" s="99" cm="1">
        <f t="array" ref="S15">($F$4*(1+$Q15)*'User Segmentation'!$I$49)
- Table70[[Fixed Cost]:[Fixed Cost]]
- (Table70[[Funding Rate]:[Funding Rate]]
   *Table70[[Tenure (in months)]:[Tenure (in months)]]
   *$F$4*(1+$Q15)/12)
- (
   IF($Q15&lt;0,
      'Dynamic CM'!$G$4,
      'Dynamic CM'!$G$4*(( $F$4*(1+$Q15) / $F$4 )^'Dynamic CM'!$H$4)
     )
   *Table70[[LGD]:[LGD]]
   *$F$4*(1+$Q15)
 )</f>
        <v>0.46273593749999931</v>
      </c>
      <c r="T15" s="99" cm="1">
        <f t="array" ref="T15">($F$5*(1+$Q15)*'User Segmentation'!$I$49)
- Table70[[Fixed Cost]:[Fixed Cost]]
- (Table70[[Funding Rate]:[Funding Rate]]
   *Table70[[Tenure (in months)]:[Tenure (in months)]]
   *$F$5*(1+$Q15)/12)
- (
   IF($Q15&lt;0,
      'Dynamic CM'!$G$5,
      'Dynamic CM'!$G$5*(( $F$5*(1+$Q15) / $F$5 )^'Dynamic CM'!$H$5)
     )
   *Table70[[LGD]:[LGD]]
   *$F$5*(1+$Q15)
 )</f>
        <v>13.609126953125001</v>
      </c>
      <c r="U15" s="99" cm="1">
        <f t="array" ref="U15">($F$6*(1+$Q15)*'User Segmentation'!$I$49)
- Table70[[Fixed Cost]:[Fixed Cost]]
- (Table70[[Funding Rate]:[Funding Rate]]
   *Table70[[Tenure (in months)]:[Tenure (in months)]]
   *$F$6*(1+$Q15)/12)
- (
   IF($Q15&lt;0,
      'Dynamic CM'!$G$6,
      'Dynamic CM'!$G$6*(( $F$6*(1+$Q15) / $F$6)^'Dynamic CM'!$H$6)
     )
   *Table70[[LGD]:[LGD]]
   *$F$6*(1+$Q15)
 )</f>
        <v>-0.71434687499999949</v>
      </c>
    </row>
    <row r="16" spans="1:25" x14ac:dyDescent="0.2">
      <c r="A16" s="114">
        <v>1</v>
      </c>
      <c r="B16" s="115" cm="1">
        <f t="array" ref="B16">($F$3*(1+$A16)*'User Segmentation'!$I$49)
- Table70[[Fixed Cost]:[Fixed Cost]]
- (Table70[[Funding Rate]:[Funding Rate]]
   *Table70[[Tenure (in months)]:[Tenure (in months)]]
   *$F$3*(1+$A16)/12)
- (
   IF($A16&lt;0,
      'Dynamic CM'!$G$3,
      'Dynamic CM'!$G$3*(( $F$3*(1+$A16) / $F$3 )^'Dynamic CM'!$H$3)
     )
   *Table70[[LGD]:[LGD]]
   *$F$3*(1+$A16)
 )</f>
        <v>-9.8680621394749277</v>
      </c>
      <c r="C16" s="115" cm="1">
        <f t="array" ref="C16">($F$4*(1+$A16)*'User Segmentation'!$I$49)
- Table70[[Fixed Cost]:[Fixed Cost]]
- (Table70[[Funding Rate]:[Funding Rate]]
   *Table70[[Tenure (in months)]:[Tenure (in months)]]
   *$F$4*(1+$A16)/12)
- (
   IF($A16&lt;0,
      'Dynamic CM'!$G$4,
      'Dynamic CM'!$G$4*(( $F$4*(1+$A16) / $F$4 )^'Dynamic CM'!$H$4)
     )
   *Table70[[LGD]:[LGD]]
   *$F$4*(1+$A16)
 )</f>
        <v>3.084902921365245</v>
      </c>
      <c r="D16" s="115" cm="1">
        <f t="array" ref="D16">($F$5*(1+$A16)*'User Segmentation'!$I$49)
- Table70[[Fixed Cost]:[Fixed Cost]]
- (Table70[[Funding Rate]:[Funding Rate]]
   *Table70[[Tenure (in months)]:[Tenure (in months)]]
   *$F$5*(1+$A16)/12)
- (
   IF($A16&lt;0,
      'Dynamic CM'!$G$5,
      'Dynamic CM'!$G$5*(( $F$5*(1+$A16) / $F$5 )^'Dynamic CM'!$H$5)
     )
   *Table70[[LGD]:[LGD]]
   *$F$5*(1+$A16)
 )</f>
        <v>34.69733083922938</v>
      </c>
      <c r="E16" s="115" cm="1">
        <f t="array" ref="E16">($F$6*(1+$A16)*'User Segmentation'!$I$49)
- Table70[[Fixed Cost]:[Fixed Cost]]
- (Table70[[Funding Rate]:[Funding Rate]]
   *Table70[[Tenure (in months)]:[Tenure (in months)]]
   *$F$6*(1+$A16)/12)
- (
   IF($A16&lt;0,
      'Dynamic CM'!$G$6,
      'Dynamic CM'!$G$6*(( $F$6*(1+$A16) / $F$6)^'Dynamic CM'!$H$6)
     )
   *Table70[[LGD]:[LGD]]
   *$F$6*(1+$A16)
 )</f>
        <v>0.89369481094517056</v>
      </c>
      <c r="F16" s="9"/>
      <c r="G16" s="81"/>
      <c r="Q16" s="64">
        <v>-0.2</v>
      </c>
      <c r="R16" s="99" cm="1">
        <f t="array" ref="R16">($F$3*(1+$Q16)*'User Segmentation'!$I$49)
- Table70[[Fixed Cost]:[Fixed Cost]]
- (Table70[[Funding Rate]:[Funding Rate]]
   *Table70[[Tenure (in months)]:[Tenure (in months)]]
   *$F$3*(1+$Q16)/12)
- (
   IF($Q16&lt;0,
      'Dynamic CM'!$G$3,
      'Dynamic CM'!$G$3*(( $F$3*(1+$Q16) / $F$3 )^'Dynamic CM'!$H$3)
     )
   *Table70[[LGD]:[LGD]]
   *$F$3*(1+$Q16)
 )</f>
        <v>-2.6311562500000001</v>
      </c>
      <c r="S16" s="99" cm="1">
        <f t="array" ref="S16">($F$4*(1+$Q16)*'User Segmentation'!$I$49)
- Table70[[Fixed Cost]:[Fixed Cost]]
- (Table70[[Funding Rate]:[Funding Rate]]
   *Table70[[Tenure (in months)]:[Tenure (in months)]]
   *$F$4*(1+$Q16)/12)
- (
   IF($Q16&lt;0,
      'Dynamic CM'!$G$4,
      'Dynamic CM'!$G$4*(( $F$4*(1+$Q16) / $F$4 )^'Dynamic CM'!$H$4)
     )
   *Table70[[LGD]:[LGD]]
   *$F$4*(1+$Q16)
 )</f>
        <v>0.95741249999999978</v>
      </c>
      <c r="T16" s="99" cm="1">
        <f t="array" ref="T16">($F$5*(1+$Q16)*'User Segmentation'!$I$49)
- Table70[[Fixed Cost]:[Fixed Cost]]
- (Table70[[Funding Rate]:[Funding Rate]]
   *Table70[[Tenure (in months)]:[Tenure (in months)]]
   *$F$5*(1+$Q16)/12)
- (
   IF($Q16&lt;0,
      'Dynamic CM'!$G$5,
      'Dynamic CM'!$G$5*(( $F$5*(1+$Q16) / $F$5 )^'Dynamic CM'!$H$5)
     )
   *Table70[[LGD]:[LGD]]
   *$F$5*(1+$Q16)
 )</f>
        <v>15.981859375000003</v>
      </c>
      <c r="U16" s="99" cm="1">
        <f t="array" ref="U16">($F$6*(1+$Q16)*'User Segmentation'!$I$49)
- Table70[[Fixed Cost]:[Fixed Cost]]
- (Table70[[Funding Rate]:[Funding Rate]]
   *Table70[[Tenure (in months)]:[Tenure (in months)]]
   *$F$6*(1+$Q16)/12)
- (
   IF($Q16&lt;0,
      'Dynamic CM'!$G$6,
      'Dynamic CM'!$G$6*(( $F$6*(1+$Q16) / $F$6)^'Dynamic CM'!$H$6)
     )
   *Table70[[LGD]:[LGD]]
   *$F$6*(1+$Q16)
 )</f>
        <v>-0.38782499999999953</v>
      </c>
    </row>
    <row r="17" spans="1:21" x14ac:dyDescent="0.2">
      <c r="A17" s="112">
        <v>1.25</v>
      </c>
      <c r="B17" s="113" cm="1">
        <f t="array" ref="B17">($F$3*(1+$A17)*'User Segmentation'!$I$49)
- Table70[[Fixed Cost]:[Fixed Cost]]
- (Table70[[Funding Rate]:[Funding Rate]]
   *Table70[[Tenure (in months)]:[Tenure (in months)]]
   *$F$3*(1+$A17)/12)
- (
   IF($A17&lt;0,
      'Dynamic CM'!$G$3,
      'Dynamic CM'!$G$3*(( $F$3*(1+$A17) / $F$3 )^'Dynamic CM'!$H$3)
     )
   *Table70[[LGD]:[LGD]]
   *$F$3*(1+$A17)
 )</f>
        <v>-13.719123618459729</v>
      </c>
      <c r="C17" s="113" cm="1">
        <f t="array" ref="C17">($F$4*(1+$A17)*'User Segmentation'!$I$49)
- Table70[[Fixed Cost]:[Fixed Cost]]
- (Table70[[Funding Rate]:[Funding Rate]]
   *Table70[[Tenure (in months)]:[Tenure (in months)]]
   *$F$4*(1+$A17)/12)
- (
   IF($A17&lt;0,
      'Dynamic CM'!$G$4,
      'Dynamic CM'!$G$4*(( $F$4*(1+$A17) / $F$4 )^'Dynamic CM'!$H$4)
     )
   *Table70[[LGD]:[LGD]]
   *$F$4*(1+$A17)
 )</f>
        <v>2.6432184120281974</v>
      </c>
      <c r="D17" s="113" cm="1">
        <f t="array" ref="D17">($F$5*(1+$A17)*'User Segmentation'!$I$49)
- Table70[[Fixed Cost]:[Fixed Cost]]
- (Table70[[Funding Rate]:[Funding Rate]]
   *Table70[[Tenure (in months)]:[Tenure (in months)]]
   *$F$5*(1+$A17)/12)
- (
   IF($A17&lt;0,
      'Dynamic CM'!$G$5,
      'Dynamic CM'!$G$5*(( $F$5*(1+$A17) / $F$5 )^'Dynamic CM'!$H$5)
     )
   *Table70[[LGD]:[LGD]]
   *$F$5*(1+$A17)
 )</f>
        <v>36.593094025865014</v>
      </c>
      <c r="E17" s="113" cm="1">
        <f t="array" ref="E17">($F$6*(1+$A17)*'User Segmentation'!$I$49)
- Table70[[Fixed Cost]:[Fixed Cost]]
- (Table70[[Funding Rate]:[Funding Rate]]
   *Table70[[Tenure (in months)]:[Tenure (in months)]]
   *$F$6*(1+$A17)/12)
- (
   IF($A17&lt;0,
      'Dynamic CM'!$G$6,
      'Dynamic CM'!$G$6*(( $F$6*(1+$A17) / $F$6)^'Dynamic CM'!$H$6)
     )
   *Table70[[LGD]:[LGD]]
   *$F$6*(1+$A17)
 )</f>
        <v>0.54804694150029221</v>
      </c>
      <c r="F17" s="9"/>
      <c r="G17" s="9"/>
      <c r="Q17" s="64">
        <v>-0.1</v>
      </c>
      <c r="R17" s="99" cm="1">
        <f t="array" ref="R17">($F$3*(1+$Q17)*'User Segmentation'!$I$49)
- Table70[[Fixed Cost]:[Fixed Cost]]
- (Table70[[Funding Rate]:[Funding Rate]]
   *Table70[[Tenure (in months)]:[Tenure (in months)]]
   *$F$3*(1+$Q17)/12)
- (
   IF($Q17&lt;0,
      'Dynamic CM'!$G$3,
      'Dynamic CM'!$G$3*(( $F$3*(1+$Q17) / $F$3 )^'Dynamic CM'!$H$3)
     )
   *Table70[[LGD]:[LGD]]
   *$F$3*(1+$Q17)
 )</f>
        <v>-2.5850507812500005</v>
      </c>
      <c r="S17" s="99" cm="1">
        <f t="array" ref="S17">($F$4*(1+$Q17)*'User Segmentation'!$I$49)
- Table70[[Fixed Cost]:[Fixed Cost]]
- (Table70[[Funding Rate]:[Funding Rate]]
   *Table70[[Tenure (in months)]:[Tenure (in months)]]
   *$F$4*(1+$Q17)/12)
- (
   IF($Q17&lt;0,
      'Dynamic CM'!$G$4,
      'Dynamic CM'!$G$4*(( $F$4*(1+$Q17) / $F$4 )^'Dynamic CM'!$H$4)
     )
   *Table70[[LGD]:[LGD]]
   *$F$4*(1+$Q17)
 )</f>
        <v>1.4520890624999991</v>
      </c>
      <c r="T17" s="99" cm="1">
        <f t="array" ref="T17">($F$5*(1+$Q17)*'User Segmentation'!$I$49)
- Table70[[Fixed Cost]:[Fixed Cost]]
- (Table70[[Funding Rate]:[Funding Rate]]
   *Table70[[Tenure (in months)]:[Tenure (in months)]]
   *$F$5*(1+$Q17)/12)
- (
   IF($Q17&lt;0,
      'Dynamic CM'!$G$5,
      'Dynamic CM'!$G$5*(( $F$5*(1+$Q17) / $F$5 )^'Dynamic CM'!$H$5)
     )
   *Table70[[LGD]:[LGD]]
   *$F$5*(1+$Q17)
 )</f>
        <v>18.354591796874999</v>
      </c>
      <c r="U17" s="99" cm="1">
        <f t="array" ref="U17">($F$6*(1+$Q17)*'User Segmentation'!$I$49)
- Table70[[Fixed Cost]:[Fixed Cost]]
- (Table70[[Funding Rate]:[Funding Rate]]
   *Table70[[Tenure (in months)]:[Tenure (in months)]]
   *$F$6*(1+$Q17)/12)
- (
   IF($Q17&lt;0,
      'Dynamic CM'!$G$6,
      'Dynamic CM'!$G$6*(( $F$6*(1+$Q17) / $F$6)^'Dynamic CM'!$H$6)
     )
   *Table70[[LGD]:[LGD]]
   *$F$6*(1+$Q17)
 )</f>
        <v>-6.1303124999999348E-2</v>
      </c>
    </row>
    <row r="18" spans="1:21" x14ac:dyDescent="0.2">
      <c r="A18" s="114">
        <v>1.5</v>
      </c>
      <c r="B18" s="115" cm="1">
        <f t="array" ref="B18">($F$3*(1+$A18)*'User Segmentation'!$I$49)
- Table70[[Fixed Cost]:[Fixed Cost]]
- (Table70[[Funding Rate]:[Funding Rate]]
   *Table70[[Tenure (in months)]:[Tenure (in months)]]
   *$F$3*(1+$A18)/12)
- (
   IF($A18&lt;0,
      'Dynamic CM'!$G$3,
      'Dynamic CM'!$G$3*(( $F$3*(1+$A18) / $F$3 )^'Dynamic CM'!$H$3)
     )
   *Table70[[LGD]:[LGD]]
   *$F$3*(1+$A18)
 )</f>
        <v>-18.581231342684262</v>
      </c>
      <c r="C18" s="115" cm="1">
        <f t="array" ref="C18">($F$4*(1+$A18)*'User Segmentation'!$I$49)
- Table70[[Fixed Cost]:[Fixed Cost]]
- (Table70[[Funding Rate]:[Funding Rate]]
   *Table70[[Tenure (in months)]:[Tenure (in months)]]
   *$F$4*(1+$A18)/12)
- (
   IF($A18&lt;0,
      'Dynamic CM'!$G$4,
      'Dynamic CM'!$G$4*(( $F$4*(1+$A18) / $F$4 )^'Dynamic CM'!$H$4)
     )
   *Table70[[LGD]:[LGD]]
   *$F$4*(1+$A18)
 )</f>
        <v>1.8859186013432172</v>
      </c>
      <c r="D18" s="115" cm="1">
        <f t="array" ref="D18">($F$5*(1+$A18)*'User Segmentation'!$I$49)
- Table70[[Fixed Cost]:[Fixed Cost]]
- (Table70[[Funding Rate]:[Funding Rate]]
   *Table70[[Tenure (in months)]:[Tenure (in months)]]
   *$F$5*(1+$A18)/12)
- (
   IF($A18&lt;0,
      'Dynamic CM'!$G$5,
      'Dynamic CM'!$G$5*(( $F$5*(1+$A18) / $F$5 )^'Dynamic CM'!$H$5)
     )
   *Table70[[LGD]:[LGD]]
   *$F$5*(1+$A18)
 )</f>
        <v>37.838155598553982</v>
      </c>
      <c r="E18" s="115" cm="1">
        <f t="array" ref="E18">($F$6*(1+$A18)*'User Segmentation'!$I$49)
- Table70[[Fixed Cost]:[Fixed Cost]]
- (Table70[[Funding Rate]:[Funding Rate]]
   *Table70[[Tenure (in months)]:[Tenure (in months)]]
   *$F$6*(1+$A18)/12)
- (
   IF($A18&lt;0,
      'Dynamic CM'!$G$6,
      'Dynamic CM'!$G$6*(( $F$6*(1+$A18) / $F$6)^'Dynamic CM'!$H$6)
     )
   *Table70[[LGD]:[LGD]]
   *$F$6*(1+$A18)
 )</f>
        <v>-1.6103828877771953E-2</v>
      </c>
      <c r="Q18" s="64">
        <v>0</v>
      </c>
      <c r="R18" s="99" cm="1">
        <f t="array" ref="R18">($F$3*(1+$Q18)*'User Segmentation'!$I$49)
- Table70[[Fixed Cost]:[Fixed Cost]]
- (Table70[[Funding Rate]:[Funding Rate]]
   *Table70[[Tenure (in months)]:[Tenure (in months)]]
   *$F$3*(1+$Q18)/12)
- (
   IF($Q18&lt;0,
      'Dynamic CM'!$G$3,
      'Dynamic CM'!$G$3*(( $F$3*(1+$Q18) / $F$3 )^'Dynamic CM'!$H$3)
     )
   *Table70[[LGD]:[LGD]]
   *$F$3*(1+$Q18)
 )</f>
        <v>-2.5389453125000001</v>
      </c>
      <c r="S18" s="99" cm="1">
        <f t="array" ref="S18">($F$4*(1+$Q18)*'User Segmentation'!$I$49)
- Table70[[Fixed Cost]:[Fixed Cost]]
- (Table70[[Funding Rate]:[Funding Rate]]
   *Table70[[Tenure (in months)]:[Tenure (in months)]]
   *$F$4*(1+$Q18)/12)
- (
   IF($Q18&lt;0,
      'Dynamic CM'!$G$4,
      'Dynamic CM'!$G$4*(( $F$4*(1+$Q18) / $F$4 )^'Dynamic CM'!$H$4)
     )
   *Table70[[LGD]:[LGD]]
   *$F$4*(1+$Q18)
 )</f>
        <v>1.9467656249999994</v>
      </c>
      <c r="T18" s="99" cm="1">
        <f t="array" ref="T18">($F$5*(1+$Q18)*'User Segmentation'!$I$49)
- Table70[[Fixed Cost]:[Fixed Cost]]
- (Table70[[Funding Rate]:[Funding Rate]]
   *Table70[[Tenure (in months)]:[Tenure (in months)]]
   *$F$5*(1+$Q18)/12)
- (
   IF($Q18&lt;0,
      'Dynamic CM'!$G$5,
      'Dynamic CM'!$G$5*(( $F$5*(1+$Q18) / $F$5 )^'Dynamic CM'!$H$5)
     )
   *Table70[[LGD]:[LGD]]
   *$F$5*(1+$Q18)
 )</f>
        <v>20.727324218749999</v>
      </c>
      <c r="U18" s="99" cm="1">
        <f t="array" ref="U18">($F$6*(1+$Q18)*'User Segmentation'!$I$49)
- Table70[[Fixed Cost]:[Fixed Cost]]
- (Table70[[Funding Rate]:[Funding Rate]]
   *Table70[[Tenure (in months)]:[Tenure (in months)]]
   *$F$6*(1+$Q18)/12)
- (
   IF($Q18&lt;0,
      'Dynamic CM'!$G$6,
      'Dynamic CM'!$G$6*(( $F$6*(1+$Q18) / $F$6)^'Dynamic CM'!$H$6)
     )
   *Table70[[LGD]:[LGD]]
   *$F$6*(1+$Q18)
 )</f>
        <v>0.26521874999999995</v>
      </c>
    </row>
    <row r="19" spans="1:21" x14ac:dyDescent="0.2">
      <c r="A19" s="112">
        <v>1.75</v>
      </c>
      <c r="B19" s="113" cm="1">
        <f t="array" ref="B19">($F$3*(1+$A19)*'User Segmentation'!$I$49)
- Table70[[Fixed Cost]:[Fixed Cost]]
- (Table70[[Funding Rate]:[Funding Rate]]
   *Table70[[Tenure (in months)]:[Tenure (in months)]]
   *$F$3*(1+$A19)/12)
- (
   IF($A19&lt;0,
      'Dynamic CM'!$G$3,
      'Dynamic CM'!$G$3*(( $F$3*(1+$A19) / $F$3 )^'Dynamic CM'!$H$3)
     )
   *Table70[[LGD]:[LGD]]
   *$F$3*(1+$A19)
 )</f>
        <v>-24.553800586247633</v>
      </c>
      <c r="C19" s="113" cm="1">
        <f t="array" ref="C19">($F$4*(1+$A19)*'User Segmentation'!$I$49)
- Table70[[Fixed Cost]:[Fixed Cost]]
- (Table70[[Funding Rate]:[Funding Rate]]
   *Table70[[Tenure (in months)]:[Tenure (in months)]]
   *$F$4*(1+$A19)/12)
- (
   IF($A19&lt;0,
      'Dynamic CM'!$G$4,
      'Dynamic CM'!$G$4*(( $F$4*(1+$A19) / $F$4 )^'Dynamic CM'!$H$4)
     )
   *Table70[[LGD]:[LGD]]
   *$F$4*(1+$A19)
 )</f>
        <v>0.80216705212291828</v>
      </c>
      <c r="D19" s="113" cm="1">
        <f t="array" ref="D19">($F$5*(1+$A19)*'User Segmentation'!$I$49)
- Table70[[Fixed Cost]:[Fixed Cost]]
- (Table70[[Funding Rate]:[Funding Rate]]
   *Table70[[Tenure (in months)]:[Tenure (in months)]]
   *$F$5*(1+$A19)/12)
- (
   IF($A19&lt;0,
      'Dynamic CM'!$G$5,
      'Dynamic CM'!$G$5*(( $F$5*(1+$A19) / $F$5 )^'Dynamic CM'!$H$5)
     )
   *Table70[[LGD]:[LGD]]
   *$F$5*(1+$A19)
 )</f>
        <v>38.42762118012029</v>
      </c>
      <c r="E19" s="113" cm="1">
        <f t="array" ref="E19">($F$6*(1+$A19)*'User Segmentation'!$I$49)
- Table70[[Fixed Cost]:[Fixed Cost]]
- (Table70[[Funding Rate]:[Funding Rate]]
   *Table70[[Tenure (in months)]:[Tenure (in months)]]
   *$F$6*(1+$A19)/12)
- (
   IF($A19&lt;0,
      'Dynamic CM'!$G$6,
      'Dynamic CM'!$G$6*(( $F$6*(1+$A19) / $F$6)^'Dynamic CM'!$H$6)
     )
   *Table70[[LGD]:[LGD]]
   *$F$6*(1+$A19)
 )</f>
        <v>-0.8062596490110554</v>
      </c>
      <c r="Q19" s="64">
        <v>0.1</v>
      </c>
      <c r="R19" s="99" cm="1">
        <f t="array" ref="R19">($F$3*(1+$Q19)*'User Segmentation'!$I$49)
- Table70[[Fixed Cost]:[Fixed Cost]]
- (Table70[[Funding Rate]:[Funding Rate]]
   *Table70[[Tenure (in months)]:[Tenure (in months)]]
   *$F$3*(1+$Q19)/12)
- (
   IF($Q19&lt;0,
      'Dynamic CM'!$G$3,
      'Dynamic CM'!$G$3*(( $F$3*(1+$Q19) / $F$3 )^'Dynamic CM'!$H$3)
     )
   *Table70[[LGD]:[LGD]]
   *$F$3*(1+$Q19)
 )</f>
        <v>-2.8053251454446215</v>
      </c>
      <c r="S19" s="99" cm="1">
        <f t="array" ref="S19">($F$4*(1+$Q19)*'User Segmentation'!$I$49)
- Table70[[Fixed Cost]:[Fixed Cost]]
- (Table70[[Funding Rate]:[Funding Rate]]
   *Table70[[Tenure (in months)]:[Tenure (in months)]]
   *$F$4*(1+$Q19)/12)
- (
   IF($Q19&lt;0,
      'Dynamic CM'!$G$4,
      'Dynamic CM'!$G$4*(( $F$4*(1+$Q19) / $F$4 )^'Dynamic CM'!$H$4)
     )
   *Table70[[LGD]:[LGD]]
   *$F$4*(1+$Q19)
 )</f>
        <v>2.2538016862169656</v>
      </c>
      <c r="T19" s="99" cm="1">
        <f t="array" ref="T19">($F$5*(1+$Q19)*'User Segmentation'!$I$49)
- Table70[[Fixed Cost]:[Fixed Cost]]
- (Table70[[Funding Rate]:[Funding Rate]]
   *Table70[[Tenure (in months)]:[Tenure (in months)]]
   *$F$5*(1+$Q19)/12)
- (
   IF($Q19&lt;0,
      'Dynamic CM'!$G$5,
      'Dynamic CM'!$G$5*(( $F$5*(1+$Q19) / $F$5 )^'Dynamic CM'!$H$5)
     )
   *Table70[[LGD]:[LGD]]
   *$F$5*(1+$Q19)
 )</f>
        <v>22.576175647863931</v>
      </c>
      <c r="U19" s="99" cm="1">
        <f t="array" ref="U19">($F$6*(1+$Q19)*'User Segmentation'!$I$49)
- Table70[[Fixed Cost]:[Fixed Cost]]
- (Table70[[Funding Rate]:[Funding Rate]]
   *Table70[[Tenure (in months)]:[Tenure (in months)]]
   *$F$6*(1+$Q19)/12)
- (
   IF($Q19&lt;0,
      'Dynamic CM'!$G$6,
      'Dynamic CM'!$G$6*(( $F$6*(1+$Q19) / $F$6)^'Dynamic CM'!$H$6)
     )
   *Table70[[LGD]:[LGD]]
   *$F$6*(1+$Q19)
 )</f>
        <v>0.46183566257328335</v>
      </c>
    </row>
    <row r="20" spans="1:21" x14ac:dyDescent="0.2">
      <c r="A20" s="114">
        <v>2</v>
      </c>
      <c r="B20" s="115" cm="1">
        <f t="array" ref="B20">($F$3*(1+$A20)*'User Segmentation'!$I$49)
- Table70[[Fixed Cost]:[Fixed Cost]]
- (Table70[[Funding Rate]:[Funding Rate]]
   *Table70[[Tenure (in months)]:[Tenure (in months)]]
   *$F$3*(1+$A20)/12)
- (
   IF($A20&lt;0,
      'Dynamic CM'!$G$3,
      'Dynamic CM'!$G$3*(( $F$3*(1+$A20) / $F$3 )^'Dynamic CM'!$H$3)
     )
   *Table70[[LGD]:[LGD]]
   *$F$3*(1+$A20)
 )</f>
        <v>-31.73515510738061</v>
      </c>
      <c r="C20" s="115" cm="1">
        <f t="array" ref="C20">($F$4*(1+$A20)*'User Segmentation'!$I$49)
- Table70[[Fixed Cost]:[Fixed Cost]]
- (Table70[[Funding Rate]:[Funding Rate]]
   *Table70[[Tenure (in months)]:[Tenure (in months)]]
   *$F$4*(1+$A20)/12)
- (
   IF($A20&lt;0,
      'Dynamic CM'!$G$4,
      'Dynamic CM'!$G$4*(( $F$4*(1+$A20) / $F$4 )^'Dynamic CM'!$H$4)
     )
   *Table70[[LGD]:[LGD]]
   *$F$4*(1+$A20)
 )</f>
        <v>-0.61815678324042267</v>
      </c>
      <c r="D20" s="115" cm="1">
        <f t="array" ref="D20">($F$5*(1+$A20)*'User Segmentation'!$I$49)
- Table70[[Fixed Cost]:[Fixed Cost]]
- (Table70[[Funding Rate]:[Funding Rate]]
   *Table70[[Tenure (in months)]:[Tenure (in months)]]
   *$F$5*(1+$A20)/12)
- (
   IF($A20&lt;0,
      'Dynamic CM'!$G$5,
      'Dynamic CM'!$G$5*(( $F$5*(1+$A20) / $F$5 )^'Dynamic CM'!$H$5)
     )
   *Table70[[LGD]:[LGD]]
   *$F$5*(1+$A20)
 )</f>
        <v>38.357032974278752</v>
      </c>
      <c r="E20" s="115" cm="1">
        <f t="array" ref="E20">($F$6*(1+$A20)*'User Segmentation'!$I$49)
- Table70[[Fixed Cost]:[Fixed Cost]]
- (Table70[[Funding Rate]:[Funding Rate]]
   *Table70[[Tenure (in months)]:[Tenure (in months)]]
   *$F$6*(1+$A20)/12)
- (
   IF($A20&lt;0,
      'Dynamic CM'!$G$6,
      'Dynamic CM'!$G$6*(( $F$6*(1+$A20) / $F$6)^'Dynamic CM'!$H$6)
     )
   *Table70[[LGD]:[LGD]]
   *$F$6*(1+$A20)
 )</f>
        <v>-1.8294270518587545</v>
      </c>
      <c r="Q20" s="64">
        <v>0.2</v>
      </c>
      <c r="R20" s="99" cm="1">
        <f t="array" ref="R20">($F$3*(1+$Q20)*'User Segmentation'!$I$49)
- Table70[[Fixed Cost]:[Fixed Cost]]
- (Table70[[Funding Rate]:[Funding Rate]]
   *Table70[[Tenure (in months)]:[Tenure (in months)]]
   *$F$3*(1+$Q20)/12)
- (
   IF($Q20&lt;0,
      'Dynamic CM'!$G$3,
      'Dynamic CM'!$G$3*(( $F$3*(1+$Q20) / $F$3 )^'Dynamic CM'!$H$3)
     )
   *Table70[[LGD]:[LGD]]
   *$F$3*(1+$Q20)
 )</f>
        <v>-3.1572712358071366</v>
      </c>
      <c r="S20" s="99" cm="1">
        <f t="array" ref="S20">($F$4*(1+$Q20)*'User Segmentation'!$I$49)
- Table70[[Fixed Cost]:[Fixed Cost]]
- (Table70[[Funding Rate]:[Funding Rate]]
   *Table70[[Tenure (in months)]:[Tenure (in months)]]
   *$F$4*(1+$Q20)/12)
- (
   IF($Q20&lt;0,
      'Dynamic CM'!$G$4,
      'Dynamic CM'!$G$4*(( $F$4*(1+$Q20) / $F$4 )^'Dynamic CM'!$H$4)
     )
   *Table70[[LGD]:[LGD]]
   *$F$4*(1+$Q20)
 )</f>
        <v>2.5206718446711354</v>
      </c>
      <c r="T20" s="99" cm="1">
        <f t="array" ref="T20">($F$5*(1+$Q20)*'User Segmentation'!$I$49)
- Table70[[Fixed Cost]:[Fixed Cost]]
- (Table70[[Funding Rate]:[Funding Rate]]
   *Table70[[Tenure (in months)]:[Tenure (in months)]]
   *$F$5*(1+$Q20)/12)
- (
   IF($Q20&lt;0,
      'Dynamic CM'!$G$5,
      'Dynamic CM'!$G$5*(( $F$5*(1+$Q20) / $F$5 )^'Dynamic CM'!$H$5)
     )
   *Table70[[LGD]:[LGD]]
   *$F$5*(1+$Q20)
 )</f>
        <v>24.326070293721642</v>
      </c>
      <c r="U20" s="99" cm="1">
        <f t="array" ref="U20">($F$6*(1+$Q20)*'User Segmentation'!$I$49)
- Table70[[Fixed Cost]:[Fixed Cost]]
- (Table70[[Funding Rate]:[Funding Rate]]
   *Table70[[Tenure (in months)]:[Tenure (in months)]]
   *$F$6*(1+$Q20)/12)
- (
   IF($Q20&lt;0,
      'Dynamic CM'!$G$6,
      'Dynamic CM'!$G$6*(( $F$6*(1+$Q20) / $F$6)^'Dynamic CM'!$H$6)
     )
   *Table70[[LGD]:[LGD]]
   *$F$6*(1+$Q20)
 )</f>
        <v>0.63064541169540034</v>
      </c>
    </row>
    <row r="21" spans="1:21" x14ac:dyDescent="0.2">
      <c r="A21" s="112">
        <v>2.25</v>
      </c>
      <c r="B21" s="113" cm="1">
        <f t="array" ref="B21">($F$3*(1+$A21)*'User Segmentation'!$I$49)
- Table70[[Fixed Cost]:[Fixed Cost]]
- (Table70[[Funding Rate]:[Funding Rate]]
   *Table70[[Tenure (in months)]:[Tenure (in months)]]
   *$F$3*(1+$A21)/12)
- (
   IF($A21&lt;0,
      'Dynamic CM'!$G$3,
      'Dynamic CM'!$G$3*(( $F$3*(1+$A21) / $F$3 )^'Dynamic CM'!$H$3)
     )
   *Table70[[LGD]:[LGD]]
   *$F$3*(1+$A21)
 )</f>
        <v>-40.222637400523638</v>
      </c>
      <c r="C21" s="113" cm="1">
        <f t="array" ref="C21">($F$4*(1+$A21)*'User Segmentation'!$I$49)
- Table70[[Fixed Cost]:[Fixed Cost]]
- (Table70[[Funding Rate]:[Funding Rate]]
   *Table70[[Tenure (in months)]:[Tenure (in months)]]
   *$F$4*(1+$A21)/12)
- (
   IF($A21&lt;0,
      'Dynamic CM'!$G$4,
      'Dynamic CM'!$G$4*(( $F$4*(1+$A21) / $F$4 )^'Dynamic CM'!$H$4)
     )
   *Table70[[LGD]:[LGD]]
   *$F$4*(1+$A21)
 )</f>
        <v>-2.3845642928101469</v>
      </c>
      <c r="D21" s="113" cm="1">
        <f t="array" ref="D21">($F$5*(1+$A21)*'User Segmentation'!$I$49)
- Table70[[Fixed Cost]:[Fixed Cost]]
- (Table70[[Funding Rate]:[Funding Rate]]
   *Table70[[Tenure (in months)]:[Tenure (in months)]]
   *$F$5*(1+$A21)/12)
- (
   IF($A21&lt;0,
      'Dynamic CM'!$G$5,
      'Dynamic CM'!$G$5*(( $F$5*(1+$A21) / $F$5 )^'Dynamic CM'!$H$5)
     )
   *Table70[[LGD]:[LGD]]
   *$F$5*(1+$A21)
 )</f>
        <v>37.622295841224002</v>
      </c>
      <c r="E21" s="113" cm="1">
        <f t="array" ref="E21">($F$6*(1+$A21)*'User Segmentation'!$I$49)
- Table70[[Fixed Cost]:[Fixed Cost]]
- (Table70[[Funding Rate]:[Funding Rate]]
   *Table70[[Tenure (in months)]:[Tenure (in months)]]
   *$F$6*(1+$A21)/12)
- (
   IF($A21&lt;0,
      'Dynamic CM'!$G$6,
      'Dynamic CM'!$G$6*(( $F$6*(1+$A21) / $F$6)^'Dynamic CM'!$H$6)
     )
   *Table70[[LGD]:[LGD]]
   *$F$6*(1+$A21)
 )</f>
        <v>-3.0921908445416406</v>
      </c>
      <c r="Q21" s="64">
        <v>0.3</v>
      </c>
      <c r="R21" s="99" cm="1">
        <f t="array" ref="R21">($F$3*(1+$Q21)*'User Segmentation'!$I$49)
- Table70[[Fixed Cost]:[Fixed Cost]]
- (Table70[[Funding Rate]:[Funding Rate]]
   *Table70[[Tenure (in months)]:[Tenure (in months)]]
   *$F$3*(1+$Q21)/12)
- (
   IF($Q21&lt;0,
      'Dynamic CM'!$G$3,
      'Dynamic CM'!$G$3*(( $F$3*(1+$Q21) / $F$3 )^'Dynamic CM'!$H$3)
     )
   *Table70[[LGD]:[LGD]]
   *$F$3*(1+$Q21)
 )</f>
        <v>-3.601674164645698</v>
      </c>
      <c r="S21" s="99" cm="1">
        <f t="array" ref="S21">($F$4*(1+$Q21)*'User Segmentation'!$I$49)
- Table70[[Fixed Cost]:[Fixed Cost]]
- (Table70[[Funding Rate]:[Funding Rate]]
   *Table70[[Tenure (in months)]:[Tenure (in months)]]
   *$F$4*(1+$Q21)/12)
- (
   IF($Q21&lt;0,
      'Dynamic CM'!$G$4,
      'Dynamic CM'!$G$4*(( $F$4*(1+$Q21) / $F$4 )^'Dynamic CM'!$H$4)
     )
   *Table70[[LGD]:[LGD]]
   *$F$4*(1+$Q21)
 )</f>
        <v>2.7462410292237966</v>
      </c>
      <c r="T21" s="99" cm="1">
        <f t="array" ref="T21">($F$5*(1+$Q21)*'User Segmentation'!$I$49)
- Table70[[Fixed Cost]:[Fixed Cost]]
- (Table70[[Funding Rate]:[Funding Rate]]
   *Table70[[Tenure (in months)]:[Tenure (in months)]]
   *$F$5*(1+$Q21)/12)
- (
   IF($Q21&lt;0,
      'Dynamic CM'!$G$5,
      'Dynamic CM'!$G$5*(( $F$5*(1+$Q21) / $F$5 )^'Dynamic CM'!$H$5)
     )
   *Table70[[LGD]:[LGD]]
   *$F$5*(1+$Q21)
 )</f>
        <v>25.976394203536465</v>
      </c>
      <c r="U21" s="99" cm="1">
        <f t="array" ref="U21">($F$6*(1+$Q21)*'User Segmentation'!$I$49)
- Table70[[Fixed Cost]:[Fixed Cost]]
- (Table70[[Funding Rate]:[Funding Rate]]
   *Table70[[Tenure (in months)]:[Tenure (in months)]]
   *$F$6*(1+$Q21)/12)
- (
   IF($Q21&lt;0,
      'Dynamic CM'!$G$6,
      'Dynamic CM'!$G$6*(( $F$6*(1+$Q21) / $F$6)^'Dynamic CM'!$H$6)
     )
   *Table70[[LGD]:[LGD]]
   *$F$6*(1+$Q21)
 )</f>
        <v>0.77086217888570596</v>
      </c>
    </row>
    <row r="22" spans="1:21" x14ac:dyDescent="0.2">
      <c r="A22" s="114">
        <v>2.5</v>
      </c>
      <c r="B22" s="115" cm="1">
        <f t="array" ref="B22">($F$3*(1+$A22)*'User Segmentation'!$I$49)
- Table70[[Fixed Cost]:[Fixed Cost]]
- (Table70[[Funding Rate]:[Funding Rate]]
   *Table70[[Tenure (in months)]:[Tenure (in months)]]
   *$F$3*(1+$A22)/12)
- (
   IF($A22&lt;0,
      'Dynamic CM'!$G$3,
      'Dynamic CM'!$G$3*(( $F$3*(1+$A22) / $F$3 )^'Dynamic CM'!$H$3)
     )
   *Table70[[LGD]:[LGD]]
   *$F$3*(1+$A22)
 )</f>
        <v>-50.112699500860252</v>
      </c>
      <c r="C22" s="115" cm="1">
        <f t="array" ref="C22">($F$4*(1+$A22)*'User Segmentation'!$I$49)
- Table70[[Fixed Cost]:[Fixed Cost]]
- (Table70[[Funding Rate]:[Funding Rate]]
   *Table70[[Tenure (in months)]:[Tenure (in months)]]
   *$F$4*(1+$A22)/12)
- (
   IF($A22&lt;0,
      'Dynamic CM'!$G$4,
      'Dynamic CM'!$G$4*(( $F$4*(1+$A22) / $F$4 )^'Dynamic CM'!$H$4)
     )
   *Table70[[LGD]:[LGD]]
   *$F$4*(1+$A22)
 )</f>
        <v>-4.5060410774859392</v>
      </c>
      <c r="D22" s="115" cm="1">
        <f t="array" ref="D22">($F$5*(1+$A22)*'User Segmentation'!$I$49)
- Table70[[Fixed Cost]:[Fixed Cost]]
- (Table70[[Funding Rate]:[Funding Rate]]
   *Table70[[Tenure (in months)]:[Tenure (in months)]]
   *$F$5*(1+$A22)/12)
- (
   IF($A22&lt;0,
      'Dynamic CM'!$G$5,
      'Dynamic CM'!$G$5*(( $F$5*(1+$A22) / $F$5 )^'Dynamic CM'!$H$5)
     )
   *Table70[[LGD]:[LGD]]
   *$F$5*(1+$A22)
 )</f>
        <v>36.219620875042864</v>
      </c>
      <c r="E22" s="115" cm="1">
        <f t="array" ref="E22">($F$6*(1+$A22)*'User Segmentation'!$I$49)
- Table70[[Fixed Cost]:[Fixed Cost]]
- (Table70[[Funding Rate]:[Funding Rate]]
   *Table70[[Tenure (in months)]:[Tenure (in months)]]
   *$F$6*(1+$A22)/12)
- (
   IF($A22&lt;0,
      'Dynamic CM'!$G$6,
      'Dynamic CM'!$G$6*(( $F$6*(1+$A22) / $F$6)^'Dynamic CM'!$H$6)
     )
   *Table70[[LGD]:[LGD]]
   *$F$6*(1+$A22)
 )</f>
        <v>-4.6007718276825749</v>
      </c>
      <c r="Q22" s="64">
        <v>0.4</v>
      </c>
      <c r="R22" s="99" cm="1">
        <f t="array" ref="R22">($F$3*(1+$Q22)*'User Segmentation'!$I$49)
- Table70[[Fixed Cost]:[Fixed Cost]]
- (Table70[[Funding Rate]:[Funding Rate]]
   *Table70[[Tenure (in months)]:[Tenure (in months)]]
   *$F$3*(1+$Q22)/12)
- (
   IF($Q22&lt;0,
      'Dynamic CM'!$G$3,
      'Dynamic CM'!$G$3*(( $F$3*(1+$Q22) / $F$3 )^'Dynamic CM'!$H$3)
     )
   *Table70[[LGD]:[LGD]]
   *$F$3*(1+$Q22)
 )</f>
        <v>-4.1453614800982042</v>
      </c>
      <c r="S22" s="99" cm="1">
        <f t="array" ref="S22">($F$4*(1+$Q22)*'User Segmentation'!$I$49)
- Table70[[Fixed Cost]:[Fixed Cost]]
- (Table70[[Funding Rate]:[Funding Rate]]
   *Table70[[Tenure (in months)]:[Tenure (in months)]]
   *$F$4*(1+$Q22)/12)
- (
   IF($Q22&lt;0,
      'Dynamic CM'!$G$4,
      'Dynamic CM'!$G$4*(( $F$4*(1+$Q22) / $F$4 )^'Dynamic CM'!$H$4)
     )
   *Table70[[LGD]:[LGD]]
   *$F$4*(1+$Q22)
 )</f>
        <v>2.9294369151861375</v>
      </c>
      <c r="T22" s="99" cm="1">
        <f t="array" ref="T22">($F$5*(1+$Q22)*'User Segmentation'!$I$49)
- Table70[[Fixed Cost]:[Fixed Cost]]
- (Table70[[Funding Rate]:[Funding Rate]]
   *Table70[[Tenure (in months)]:[Tenure (in months)]]
   *$F$5*(1+$Q22)/12)
- (
   IF($Q22&lt;0,
      'Dynamic CM'!$G$5,
      'Dynamic CM'!$G$5*(( $F$5*(1+$Q22) / $F$5 )^'Dynamic CM'!$H$5)
     )
   *Table70[[LGD]:[LGD]]
   *$F$5*(1+$Q22)
 )</f>
        <v>27.526579335811824</v>
      </c>
      <c r="U22" s="99" cm="1">
        <f t="array" ref="U22">($F$6*(1+$Q22)*'User Segmentation'!$I$49)
- Table70[[Fixed Cost]:[Fixed Cost]]
- (Table70[[Funding Rate]:[Funding Rate]]
   *Table70[[Tenure (in months)]:[Tenure (in months)]]
   *$F$6*(1+$Q22)/12)
- (
   IF($Q22&lt;0,
      'Dynamic CM'!$G$6,
      'Dynamic CM'!$G$6*(( $F$6*(1+$Q22) / $F$6)^'Dynamic CM'!$H$6)
     )
   *Table70[[LGD]:[LGD]]
   *$F$6*(1+$Q22)
 )</f>
        <v>0.88174358551348186</v>
      </c>
    </row>
    <row r="23" spans="1:21" x14ac:dyDescent="0.2">
      <c r="A23" s="112">
        <v>2.75</v>
      </c>
      <c r="B23" s="113" cm="1">
        <f t="array" ref="B23">($F$3*(1+$A23)*'User Segmentation'!$I$49)
- Table70[[Fixed Cost]:[Fixed Cost]]
- (Table70[[Funding Rate]:[Funding Rate]]
   *Table70[[Tenure (in months)]:[Tenure (in months)]]
   *$F$3*(1+$A23)/12)
- (
   IF($A23&lt;0,
      'Dynamic CM'!$G$3,
      'Dynamic CM'!$G$3*(( $F$3*(1+$A23) / $F$3 )^'Dynamic CM'!$H$3)
     )
   *Table70[[LGD]:[LGD]]
   *$F$3*(1+$A23)
 )</f>
        <v>-61.500979016448014</v>
      </c>
      <c r="C23" s="113" cm="1">
        <f t="array" ref="C23">($F$4*(1+$A23)*'User Segmentation'!$I$49)
- Table70[[Fixed Cost]:[Fixed Cost]]
- (Table70[[Funding Rate]:[Funding Rate]]
   *Table70[[Tenure (in months)]:[Tenure (in months)]]
   *$F$4*(1+$A23)/12)
- (
   IF($A23&lt;0,
      'Dynamic CM'!$G$4,
      'Dynamic CM'!$G$4*(( $F$4*(1+$A23) / $F$4 )^'Dynamic CM'!$H$4)
     )
   *Table70[[LGD]:[LGD]]
   *$F$4*(1+$A23)
 )</f>
        <v>-6.9911134652382714</v>
      </c>
      <c r="D23" s="113" cm="1">
        <f t="array" ref="D23">($F$5*(1+$A23)*'User Segmentation'!$I$49)
- Table70[[Fixed Cost]:[Fixed Cost]]
- (Table70[[Funding Rate]:[Funding Rate]]
   *Table70[[Tenure (in months)]:[Tenure (in months)]]
   *$F$5*(1+$A23)/12)
- (
   IF($A23&lt;0,
      'Dynamic CM'!$G$5,
      'Dynamic CM'!$G$5*(( $F$5*(1+$A23) / $F$5 )^'Dynamic CM'!$H$5)
     )
   *Table70[[LGD]:[LGD]]
   *$F$5*(1+$A23)
 )</f>
        <v>34.145481332967819</v>
      </c>
      <c r="E23" s="113" cm="1">
        <f t="array" ref="E23">($F$6*(1+$A23)*'User Segmentation'!$I$49)
- Table70[[Fixed Cost]:[Fixed Cost]]
- (Table70[[Funding Rate]:[Funding Rate]]
   *Table70[[Tenure (in months)]:[Tenure (in months)]]
   *$F$6*(1+$A23)/12)
- (
   IF($A23&lt;0,
      'Dynamic CM'!$G$6,
      'Dynamic CM'!$G$6*(( $F$6*(1+$A23) / $F$6)^'Dynamic CM'!$H$6)
     )
   *Table70[[LGD]:[LGD]]
   *$F$6*(1+$A23)
 )</f>
        <v>-6.3610728437226491</v>
      </c>
      <c r="Q23" s="64">
        <v>0.5</v>
      </c>
      <c r="R23" s="99" cm="1">
        <f t="array" ref="R23">($F$3*(1+$Q23)*'User Segmentation'!$I$49)
- Table70[[Fixed Cost]:[Fixed Cost]]
- (Table70[[Funding Rate]:[Funding Rate]]
   *Table70[[Tenure (in months)]:[Tenure (in months)]]
   *$F$3*(1+$Q23)/12)
- (
   IF($Q23&lt;0,
      'Dynamic CM'!$G$3,
      'Dynamic CM'!$G$3*(( $F$3*(1+$Q23) / $F$3 )^'Dynamic CM'!$H$3)
     )
   *Table70[[LGD]:[LGD]]
   *$F$3*(1+$Q23)
 )</f>
        <v>-4.795103079467129</v>
      </c>
      <c r="S23" s="99" cm="1">
        <f t="array" ref="S23">($F$4*(1+$Q23)*'User Segmentation'!$I$49)
- Table70[[Fixed Cost]:[Fixed Cost]]
- (Table70[[Funding Rate]:[Funding Rate]]
   *Table70[[Tenure (in months)]:[Tenure (in months)]]
   *$F$4*(1+$Q23)/12)
- (
   IF($Q23&lt;0,
      'Dynamic CM'!$G$4,
      'Dynamic CM'!$G$4*(( $F$4*(1+$Q23) / $F$4 )^'Dynamic CM'!$H$4)
     )
   *Table70[[LGD]:[LGD]]
   *$F$4*(1+$Q23)
 )</f>
        <v>3.0692419866357707</v>
      </c>
      <c r="T23" s="99" cm="1">
        <f t="array" ref="T23">($F$5*(1+$Q23)*'User Segmentation'!$I$49)
- Table70[[Fixed Cost]:[Fixed Cost]]
- (Table70[[Funding Rate]:[Funding Rate]]
   *Table70[[Tenure (in months)]:[Tenure (in months)]]
   *$F$5*(1+$Q23)/12)
- (
   IF($Q23&lt;0,
      'Dynamic CM'!$G$5,
      'Dynamic CM'!$G$5*(( $F$5*(1+$Q23) / $F$5 )^'Dynamic CM'!$H$5)
     )
   *Table70[[LGD]:[LGD]]
   *$F$5*(1+$Q23)
 )</f>
        <v>28.976096953153423</v>
      </c>
      <c r="U23" s="99" cm="1">
        <f t="array" ref="U23">($F$6*(1+$Q23)*'User Segmentation'!$I$49)
- Table70[[Fixed Cost]:[Fixed Cost]]
- (Table70[[Funding Rate]:[Funding Rate]]
   *Table70[[Tenure (in months)]:[Tenure (in months)]]
   *$F$6*(1+$Q23)/12)
- (
   IF($Q23&lt;0,
      'Dynamic CM'!$G$6,
      'Dynamic CM'!$G$6*(( $F$6*(1+$Q23) / $F$6)^'Dynamic CM'!$H$6)
     )
   *Table70[[LGD]:[LGD]]
   *$F$6*(1+$Q23)
 )</f>
        <v>0.96258519747861016</v>
      </c>
    </row>
    <row r="24" spans="1:21" x14ac:dyDescent="0.2">
      <c r="A24" s="114">
        <v>3</v>
      </c>
      <c r="B24" s="115" cm="1">
        <f t="array" ref="B24">($F$3*(1+$A24)*'User Segmentation'!$I$49)
- Table70[[Fixed Cost]:[Fixed Cost]]
- (Table70[[Funding Rate]:[Funding Rate]]
   *Table70[[Tenure (in months)]:[Tenure (in months)]]
   *$F$3*(1+$A24)/12)
- (
   IF($A24&lt;0,
      'Dynamic CM'!$G$3,
      'Dynamic CM'!$G$3*(( $F$3*(1+$A24) / $F$3 )^'Dynamic CM'!$H$3)
     )
   *Table70[[LGD]:[LGD]]
   *$F$3*(1+$A24)
 )</f>
        <v>-74.482363682077036</v>
      </c>
      <c r="C24" s="115" cm="1">
        <f t="array" ref="C24">($F$4*(1+$A24)*'User Segmentation'!$I$49)
- Table70[[Fixed Cost]:[Fixed Cost]]
- (Table70[[Funding Rate]:[Funding Rate]]
   *Table70[[Tenure (in months)]:[Tenure (in months)]]
   *$F$4*(1+$A24)/12)
- (
   IF($A24&lt;0,
      'Dynamic CM'!$G$4,
      'Dynamic CM'!$G$4*(( $F$4*(1+$A24) / $F$4 )^'Dynamic CM'!$H$4)
     )
   *Table70[[LGD]:[LGD]]
   *$F$4*(1+$A24)
 )</f>
        <v>-9.847902525456913</v>
      </c>
      <c r="D24" s="115" cm="1">
        <f t="array" ref="D24">($F$5*(1+$A24)*'User Segmentation'!$I$49)
- Table70[[Fixed Cost]:[Fixed Cost]]
- (Table70[[Funding Rate]:[Funding Rate]]
   *Table70[[Tenure (in months)]:[Tenure (in months)]]
   *$F$5*(1+$A24)/12)
- (
   IF($A24&lt;0,
      'Dynamic CM'!$G$5,
      'Dynamic CM'!$G$5*(( $F$5*(1+$A24) / $F$5 )^'Dynamic CM'!$H$5)
     )
   *Table70[[LGD]:[LGD]]
   *$F$5*(1+$A24)
 )</f>
        <v>31.396577537324845</v>
      </c>
      <c r="E24" s="115" cm="1">
        <f t="array" ref="E24">($F$6*(1+$A24)*'User Segmentation'!$I$49)
- Table70[[Fixed Cost]:[Fixed Cost]]
- (Table70[[Funding Rate]:[Funding Rate]]
   *Table70[[Tenure (in months)]:[Tenure (in months)]]
   *$F$6*(1+$A24)/12)
- (
   IF($A24&lt;0,
      'Dynamic CM'!$G$6,
      'Dynamic CM'!$G$6*(( $F$6*(1+$A24) / $F$6)^'Dynamic CM'!$H$6)
     )
   *Table70[[LGD]:[LGD]]
   *$F$6*(1+$A24)
 )</f>
        <v>-8.3787161714701686</v>
      </c>
      <c r="Q24" s="64">
        <v>0.6</v>
      </c>
      <c r="R24" s="99" cm="1">
        <f t="array" ref="R24">($F$3*(1+$Q24)*'User Segmentation'!$I$49)
- Table70[[Fixed Cost]:[Fixed Cost]]
- (Table70[[Funding Rate]:[Funding Rate]]
   *Table70[[Tenure (in months)]:[Tenure (in months)]]
   *$F$3*(1+$Q24)/12)
- (
   IF($Q24&lt;0,
      'Dynamic CM'!$G$3,
      'Dynamic CM'!$G$3*(( $F$3*(1+$Q24) / $F$3 )^'Dynamic CM'!$H$3)
     )
   *Table70[[LGD]:[LGD]]
   *$F$3*(1+$Q24)
 )</f>
        <v>-5.557615778792103</v>
      </c>
      <c r="S24" s="99" cm="1">
        <f t="array" ref="S24">($F$4*(1+$Q24)*'User Segmentation'!$I$49)
- Table70[[Fixed Cost]:[Fixed Cost]]
- (Table70[[Funding Rate]:[Funding Rate]]
   *Table70[[Tenure (in months)]:[Tenure (in months)]]
   *$F$4*(1+$Q24)/12)
- (
   IF($Q24&lt;0,
      'Dynamic CM'!$G$4,
      'Dynamic CM'!$G$4*(( $F$4*(1+$Q24) / $F$4 )^'Dynamic CM'!$H$4)
     )
   *Table70[[LGD]:[LGD]]
   *$F$4*(1+$Q24)
 )</f>
        <v>3.1646870904460984</v>
      </c>
      <c r="T24" s="99" cm="1">
        <f t="array" ref="T24">($F$5*(1+$Q24)*'User Segmentation'!$I$49)
- Table70[[Fixed Cost]:[Fixed Cost]]
- (Table70[[Funding Rate]:[Funding Rate]]
   *Table70[[Tenure (in months)]:[Tenure (in months)]]
   *$F$5*(1+$Q24)/12)
- (
   IF($Q24&lt;0,
      'Dynamic CM'!$G$5,
      'Dynamic CM'!$G$5*(( $F$5*(1+$Q24) / $F$5 )^'Dynamic CM'!$H$5)
     )
   *Table70[[LGD]:[LGD]]
   *$F$5*(1+$Q24)
 )</f>
        <v>30.324452360288511</v>
      </c>
      <c r="U24" s="99" cm="1">
        <f t="array" ref="U24">($F$6*(1+$Q24)*'User Segmentation'!$I$49)
- Table70[[Fixed Cost]:[Fixed Cost]]
- (Table70[[Funding Rate]:[Funding Rate]]
   *Table70[[Tenure (in months)]:[Tenure (in months)]]
   *$F$6*(1+$Q24)/12)
- (
   IF($Q24&lt;0,
      'Dynamic CM'!$G$6,
      'Dynamic CM'!$G$6*(( $F$6*(1+$Q24) / $F$6)^'Dynamic CM'!$H$6)
     )
   *Table70[[LGD]:[LGD]]
   *$F$6*(1+$Q24)
 )</f>
        <v>1.0127160626165299</v>
      </c>
    </row>
    <row r="25" spans="1:21" x14ac:dyDescent="0.2">
      <c r="A25" s="112">
        <v>3.25</v>
      </c>
      <c r="B25" s="113" cm="1">
        <f t="array" ref="B25">($F$3*(1+$A25)*'User Segmentation'!$I$49)
- Table70[[Fixed Cost]:[Fixed Cost]]
- (Table70[[Funding Rate]:[Funding Rate]]
   *Table70[[Tenure (in months)]:[Tenure (in months)]]
   *$F$3*(1+$A25)/12)
- (
   IF($A25&lt;0,
      'Dynamic CM'!$G$3,
      'Dynamic CM'!$G$3*(( $F$3*(1+$A25) / $F$3 )^'Dynamic CM'!$H$3)
     )
   *Table70[[LGD]:[LGD]]
   *$F$3*(1+$A25)
 )</f>
        <v>-89.151046821855473</v>
      </c>
      <c r="C25" s="113" cm="1">
        <f t="array" ref="C25">($F$4*(1+$A25)*'User Segmentation'!$I$49)
- Table70[[Fixed Cost]:[Fixed Cost]]
- (Table70[[Funding Rate]:[Funding Rate]]
   *Table70[[Tenure (in months)]:[Tenure (in months)]]
   *$F$4*(1+$A25)/12)
- (
   IF($A25&lt;0,
      'Dynamic CM'!$G$4,
      'Dynamic CM'!$G$4*(( $F$4*(1+$A25) / $F$4 )^'Dynamic CM'!$H$4)
     )
   *Table70[[LGD]:[LGD]]
   *$F$4*(1+$A25)
 )</f>
        <v>-13.084168601237174</v>
      </c>
      <c r="D25" s="113" cm="1">
        <f t="array" ref="D25">($F$5*(1+$A25)*'User Segmentation'!$I$49)
- Table70[[Fixed Cost]:[Fixed Cost]]
- (Table70[[Funding Rate]:[Funding Rate]]
   *Table70[[Tenure (in months)]:[Tenure (in months)]]
   *$F$5*(1+$A25)/12)
- (
   IF($A25&lt;0,
      'Dynamic CM'!$G$5,
      'Dynamic CM'!$G$5*(( $F$5*(1+$A25) / $F$5 )^'Dynamic CM'!$H$5)
     )
   *Table70[[LGD]:[LGD]]
   *$F$5*(1+$A25)
 )</f>
        <v>27.969808456444653</v>
      </c>
      <c r="E25" s="113" cm="1">
        <f t="array" ref="E25">($F$6*(1+$A25)*'User Segmentation'!$I$49)
- Table70[[Fixed Cost]:[Fixed Cost]]
- (Table70[[Funding Rate]:[Funding Rate]]
   *Table70[[Tenure (in months)]:[Tenure (in months)]]
   *$F$6*(1+$A25)/12)
- (
   IF($A25&lt;0,
      'Dynamic CM'!$G$6,
      'Dynamic CM'!$G$6*(( $F$6*(1+$A25) / $F$6)^'Dynamic CM'!$H$6)
     )
   *Table70[[LGD]:[LGD]]
   *$F$6*(1+$A25)
 )</f>
        <v>-10.659074356144966</v>
      </c>
      <c r="Q25" s="64">
        <v>0.7</v>
      </c>
      <c r="R25" s="99" cm="1">
        <f t="array" ref="R25">($F$3*(1+$Q25)*'User Segmentation'!$I$49)
- Table70[[Fixed Cost]:[Fixed Cost]]
- (Table70[[Funding Rate]:[Funding Rate]]
   *Table70[[Tenure (in months)]:[Tenure (in months)]]
   *$F$3*(1+$Q25)/12)
- (
   IF($Q25&lt;0,
      'Dynamic CM'!$G$3,
      'Dynamic CM'!$G$3*(( $F$3*(1+$Q25) / $F$3 )^'Dynamic CM'!$H$3)
     )
   *Table70[[LGD]:[LGD]]
   *$F$3*(1+$Q25)
 )</f>
        <v>-6.4395672388787686</v>
      </c>
      <c r="S25" s="99" cm="1">
        <f t="array" ref="S25">($F$4*(1+$Q25)*'User Segmentation'!$I$49)
- Table70[[Fixed Cost]:[Fixed Cost]]
- (Table70[[Funding Rate]:[Funding Rate]]
   *Table70[[Tenure (in months)]:[Tenure (in months)]]
   *$F$4*(1+$Q25)/12)
- (
   IF($Q25&lt;0,
      'Dynamic CM'!$G$4,
      'Dynamic CM'!$G$4*(( $F$4*(1+$Q25) / $F$4 )^'Dynamic CM'!$H$4)
     )
   *Table70[[LGD]:[LGD]]
   *$F$4*(1+$Q25)
 )</f>
        <v>3.2148461218871622</v>
      </c>
      <c r="T25" s="99" cm="1">
        <f t="array" ref="T25">($F$5*(1+$Q25)*'User Segmentation'!$I$49)
- Table70[[Fixed Cost]:[Fixed Cost]]
- (Table70[[Funding Rate]:[Funding Rate]]
   *Table70[[Tenure (in months)]:[Tenure (in months)]]
   *$F$5*(1+$Q25)/12)
- (
   IF($Q25&lt;0,
      'Dynamic CM'!$G$5,
      'Dynamic CM'!$G$5*(( $F$5*(1+$Q25) / $F$5 )^'Dynamic CM'!$H$5)
     )
   *Table70[[LGD]:[LGD]]
   *$F$5*(1+$Q25)
 )</f>
        <v>31.571180643410607</v>
      </c>
      <c r="U25" s="99" cm="1">
        <f t="array" ref="U25">($F$6*(1+$Q25)*'User Segmentation'!$I$49)
- Table70[[Fixed Cost]:[Fixed Cost]]
- (Table70[[Funding Rate]:[Funding Rate]]
   *Table70[[Tenure (in months)]:[Tenure (in months)]]
   *$F$6*(1+$Q25)/12)
- (
   IF($Q25&lt;0,
      'Dynamic CM'!$G$6,
      'Dynamic CM'!$G$6*(( $F$6*(1+$Q25) / $F$6)^'Dynamic CM'!$H$6)
     )
   *Table70[[LGD]:[LGD]]
   *$F$6*(1+$Q25)
 )</f>
        <v>1.0314950314988049</v>
      </c>
    </row>
    <row r="26" spans="1:21" x14ac:dyDescent="0.2">
      <c r="A26" s="114">
        <v>3.5</v>
      </c>
      <c r="B26" s="115" cm="1">
        <f t="array" ref="B26">($F$3*(1+$A26)*'User Segmentation'!$I$49)
- Table70[[Fixed Cost]:[Fixed Cost]]
- (Table70[[Funding Rate]:[Funding Rate]]
   *Table70[[Tenure (in months)]:[Tenure (in months)]]
   *$F$3*(1+$A26)/12)
- (
   IF($A26&lt;0,
      'Dynamic CM'!$G$3,
      'Dynamic CM'!$G$3*(( $F$3*(1+$A26) / $F$3 )^'Dynamic CM'!$H$3)
     )
   *Table70[[LGD]:[LGD]]
   *$F$3*(1+$A26)
 )</f>
        <v>-105.60057549184353</v>
      </c>
      <c r="C26" s="115" cm="1">
        <f t="array" ref="C26">($F$4*(1+$A26)*'User Segmentation'!$I$49)
- Table70[[Fixed Cost]:[Fixed Cost]]
- (Table70[[Funding Rate]:[Funding Rate]]
   *Table70[[Tenure (in months)]:[Tenure (in months)]]
   *$F$4*(1+$A26)/12)
- (
   IF($A26&lt;0,
      'Dynamic CM'!$G$4,
      'Dynamic CM'!$G$4*(( $F$4*(1+$A26) / $F$4 )^'Dynamic CM'!$H$4)
     )
   *Table70[[LGD]:[LGD]]
   *$F$4*(1+$A26)
 )</f>
        <v>-16.707348506987699</v>
      </c>
      <c r="D26" s="115" cm="1">
        <f t="array" ref="D26">($F$5*(1+$A26)*'User Segmentation'!$I$49)
- Table70[[Fixed Cost]:[Fixed Cost]]
- (Table70[[Funding Rate]:[Funding Rate]]
   *Table70[[Tenure (in months)]:[Tenure (in months)]]
   *$F$5*(1+$A26)/12)
- (
   IF($A26&lt;0,
      'Dynamic CM'!$G$5,
      'Dynamic CM'!$G$5*(( $F$5*(1+$A26) / $F$5 )^'Dynamic CM'!$H$5)
     )
   *Table70[[LGD]:[LGD]]
   *$F$5*(1+$A26)
 )</f>
        <v>23.86224836212341</v>
      </c>
      <c r="E26" s="115" cm="1">
        <f t="array" ref="E26">($F$6*(1+$A26)*'User Segmentation'!$I$49)
- Table70[[Fixed Cost]:[Fixed Cost]]
- (Table70[[Funding Rate]:[Funding Rate]]
   *Table70[[Tenure (in months)]:[Tenure (in months)]]
   *$F$6*(1+$A26)/12)
- (
   IF($A26&lt;0,
      'Dynamic CM'!$G$6,
      'Dynamic CM'!$G$6*(( $F$6*(1+$A26) / $F$6)^'Dynamic CM'!$H$6)
     )
   *Table70[[LGD]:[LGD]]
   *$F$6*(1+$A26)
 )</f>
        <v>-13.207295961568402</v>
      </c>
      <c r="Q26" s="64">
        <v>0.8</v>
      </c>
      <c r="R26" s="99" cm="1">
        <f t="array" ref="R26">($F$3*(1+$Q26)*'User Segmentation'!$I$49)
- Table70[[Fixed Cost]:[Fixed Cost]]
- (Table70[[Funding Rate]:[Funding Rate]]
   *Table70[[Tenure (in months)]:[Tenure (in months)]]
   *$F$3*(1+$Q26)/12)
- (
   IF($Q26&lt;0,
      'Dynamic CM'!$G$3,
      'Dynamic CM'!$G$3*(( $F$3*(1+$Q26) / $F$3 )^'Dynamic CM'!$H$3)
     )
   *Table70[[LGD]:[LGD]]
   *$F$3*(1+$Q26)
 )</f>
        <v>-7.4475793731703641</v>
      </c>
      <c r="S26" s="99" cm="1">
        <f t="array" ref="S26">($F$4*(1+$Q26)*'User Segmentation'!$I$49)
- Table70[[Fixed Cost]:[Fixed Cost]]
- (Table70[[Funding Rate]:[Funding Rate]]
   *Table70[[Tenure (in months)]:[Tenure (in months)]]
   *$F$4*(1+$Q26)/12)
- (
   IF($Q26&lt;0,
      'Dynamic CM'!$G$4,
      'Dynamic CM'!$G$4*(( $F$4*(1+$Q26) / $F$4 )^'Dynamic CM'!$H$4)
     )
   *Table70[[LGD]:[LGD]]
   *$F$4*(1+$Q26)
 )</f>
        <v>3.2188315855331577</v>
      </c>
      <c r="T26" s="99" cm="1">
        <f t="array" ref="T26">($F$5*(1+$Q26)*'User Segmentation'!$I$49)
- Table70[[Fixed Cost]:[Fixed Cost]]
- (Table70[[Funding Rate]:[Funding Rate]]
   *Table70[[Tenure (in months)]:[Tenure (in months)]]
   *$F$5*(1+$Q26)/12)
- (
   IF($Q26&lt;0,
      'Dynamic CM'!$G$5,
      'Dynamic CM'!$G$5*(( $F$5*(1+$Q26) / $F$5 )^'Dynamic CM'!$H$5)
     )
   *Table70[[LGD]:[LGD]]
   *$F$5*(1+$Q26)
 )</f>
        <v>32.715843170612359</v>
      </c>
      <c r="U26" s="99" cm="1">
        <f t="array" ref="U26">($F$6*(1+$Q26)*'User Segmentation'!$I$49)
- Table70[[Fixed Cost]:[Fixed Cost]]
- (Table70[[Funding Rate]:[Funding Rate]]
   *Table70[[Tenure (in months)]:[Tenure (in months)]]
   *$F$6*(1+$Q26)/12)
- (
   IF($Q26&lt;0,
      'Dynamic CM'!$G$6,
      'Dynamic CM'!$G$6*(( $F$6*(1+$Q26) / $F$6)^'Dynamic CM'!$H$6)
     )
   *Table70[[LGD]:[LGD]]
   *$F$6*(1+$Q26)
 )</f>
        <v>1.0183076842152659</v>
      </c>
    </row>
    <row r="27" spans="1:21" x14ac:dyDescent="0.2">
      <c r="A27" s="112">
        <v>3.75</v>
      </c>
      <c r="B27" s="113" cm="1">
        <f t="array" ref="B27">($F$3*(1+$A27)*'User Segmentation'!$I$49)
- Table70[[Fixed Cost]:[Fixed Cost]]
- (Table70[[Funding Rate]:[Funding Rate]]
   *Table70[[Tenure (in months)]:[Tenure (in months)]]
   *$F$3*(1+$A27)/12)
- (
   IF($A27&lt;0,
      'Dynamic CM'!$G$3,
      'Dynamic CM'!$G$3*(( $F$3*(1+$A27) / $F$3 )^'Dynamic CM'!$H$3)
     )
   *Table70[[LGD]:[LGD]]
   *$F$3*(1+$A27)
 )</f>
        <v>-123.92389264437</v>
      </c>
      <c r="C27" s="113" cm="1">
        <f t="array" ref="C27">($F$4*(1+$A27)*'User Segmentation'!$I$49)
- Table70[[Fixed Cost]:[Fixed Cost]]
- (Table70[[Funding Rate]:[Funding Rate]]
   *Table70[[Tenure (in months)]:[Tenure (in months)]]
   *$F$4*(1+$A27)/12)
- (
   IF($A27&lt;0,
      'Dynamic CM'!$G$4,
      'Dynamic CM'!$G$4*(( $F$4*(1+$A27) / $F$4 )^'Dynamic CM'!$H$4)
     )
   *Table70[[LGD]:[LGD]]
   *$F$4*(1+$A27)
 )</f>
        <v>-20.724586955591672</v>
      </c>
      <c r="D27" s="113" cm="1">
        <f t="array" ref="D27">($F$5*(1+$A27)*'User Segmentation'!$I$49)
- Table70[[Fixed Cost]:[Fixed Cost]]
- (Table70[[Funding Rate]:[Funding Rate]]
   *Table70[[Tenure (in months)]:[Tenure (in months)]]
   *$F$5*(1+$A27)/12)
- (
   IF($A27&lt;0,
      'Dynamic CM'!$G$5,
      'Dynamic CM'!$G$5*(( $F$5*(1+$A27) / $F$5 )^'Dynamic CM'!$H$5)
     )
   *Table70[[LGD]:[LGD]]
   *$F$5*(1+$A27)
 )</f>
        <v>19.071127416148741</v>
      </c>
      <c r="E27" s="113" cm="1">
        <f t="array" ref="E27">($F$6*(1+$A27)*'User Segmentation'!$I$49)
- Table70[[Fixed Cost]:[Fixed Cost]]
- (Table70[[Funding Rate]:[Funding Rate]]
   *Table70[[Tenure (in months)]:[Tenure (in months)]]
   *$F$6*(1+$A27)/12)
- (
   IF($A27&lt;0,
      'Dynamic CM'!$G$6,
      'Dynamic CM'!$G$6*(( $F$6*(1+$A27) / $F$6)^'Dynamic CM'!$H$6)
     )
   *Table70[[LGD]:[LGD]]
   *$F$6*(1+$A27)
 )</f>
        <v>-16.028327327428855</v>
      </c>
      <c r="Q27" s="64">
        <v>0.9</v>
      </c>
      <c r="R27" s="99" cm="1">
        <f t="array" ref="R27">($F$3*(1+$Q27)*'User Segmentation'!$I$49)
- Table70[[Fixed Cost]:[Fixed Cost]]
- (Table70[[Funding Rate]:[Funding Rate]]
   *Table70[[Tenure (in months)]:[Tenure (in months)]]
   *$F$3*(1+$Q27)/12)
- (
   IF($Q27&lt;0,
      'Dynamic CM'!$G$3,
      'Dynamic CM'!$G$3*(( $F$3*(1+$Q27) / $F$3 )^'Dynamic CM'!$H$3)
     )
   *Table70[[LGD]:[LGD]]
   *$F$3*(1+$Q27)
 )</f>
        <v>-8.5882313324323132</v>
      </c>
      <c r="S27" s="99" cm="1">
        <f t="array" ref="S27">($F$4*(1+$Q27)*'User Segmentation'!$I$49)
- Table70[[Fixed Cost]:[Fixed Cost]]
- (Table70[[Funding Rate]:[Funding Rate]]
   *Table70[[Tenure (in months)]:[Tenure (in months)]]
   *$F$4*(1+$Q27)/12)
- (
   IF($Q27&lt;0,
      'Dynamic CM'!$G$4,
      'Dynamic CM'!$G$4*(( $F$4*(1+$Q27) / $F$4 )^'Dynamic CM'!$H$4)
     )
   *Table70[[LGD]:[LGD]]
   *$F$4*(1+$Q27)
 )</f>
        <v>3.1757908448042294</v>
      </c>
      <c r="T27" s="99" cm="1">
        <f t="array" ref="T27">($F$5*(1+$Q27)*'User Segmentation'!$I$49)
- Table70[[Fixed Cost]:[Fixed Cost]]
- (Table70[[Funding Rate]:[Funding Rate]]
   *Table70[[Tenure (in months)]:[Tenure (in months)]]
   *$F$5*(1+$Q27)/12)
- (
   IF($Q27&lt;0,
      'Dynamic CM'!$G$5,
      'Dynamic CM'!$G$5*(( $F$5*(1+$Q27) / $F$5 )^'Dynamic CM'!$H$5)
     )
   *Table70[[LGD]:[LGD]]
   *$F$5*(1+$Q27)
 )</f>
        <v>33.758024681372788</v>
      </c>
      <c r="U27" s="99" cm="1">
        <f t="array" ref="U27">($F$6*(1+$Q27)*'User Segmentation'!$I$49)
- Table70[[Fixed Cost]:[Fixed Cost]]
- (Table70[[Funding Rate]:[Funding Rate]]
   *Table70[[Tenure (in months)]:[Tenure (in months)]]
   *$F$6*(1+$Q27)/12)
- (
   IF($Q27&lt;0,
      'Dynamic CM'!$G$6,
      'Dynamic CM'!$G$6*(( $F$6*(1+$Q27) / $F$6)^'Dynamic CM'!$H$6)
     )
   *Table70[[LGD]:[LGD]]
   *$F$6*(1+$Q27)
 )</f>
        <v>0.97256373390292827</v>
      </c>
    </row>
    <row r="28" spans="1:21" x14ac:dyDescent="0.2">
      <c r="A28" s="114">
        <v>4</v>
      </c>
      <c r="B28" s="115" cm="1">
        <f t="array" ref="B28">($F$3*(1+$A28)*'User Segmentation'!$I$49)
- Table70[[Fixed Cost]:[Fixed Cost]]
- (Table70[[Funding Rate]:[Funding Rate]]
   *Table70[[Tenure (in months)]:[Tenure (in months)]]
   *$F$3*(1+$A28)/12)
- (
   IF($A28&lt;0,
      'Dynamic CM'!$G$3,
      'Dynamic CM'!$G$3*(( $F$3*(1+$A28) / $F$3 )^'Dynamic CM'!$H$3)
     )
   *Table70[[LGD]:[LGD]]
   *$F$3*(1+$A28)
 )</f>
        <v>-144.21337434847572</v>
      </c>
      <c r="C28" s="115" cm="1">
        <f t="array" ref="C28">($F$4*(1+$A28)*'User Segmentation'!$I$49)
- Table70[[Fixed Cost]:[Fixed Cost]]
- (Table70[[Funding Rate]:[Funding Rate]]
   *Table70[[Tenure (in months)]:[Tenure (in months)]]
   *$F$4*(1+$A28)/12)
- (
   IF($A28&lt;0,
      'Dynamic CM'!$G$4,
      'Dynamic CM'!$G$4*(( $F$4*(1+$A28) / $F$4 )^'Dynamic CM'!$H$4)
     )
   *Table70[[LGD]:[LGD]]
   *$F$4*(1+$A28)
 )</f>
        <v>-25.142763378012141</v>
      </c>
      <c r="D28" s="115" cm="1">
        <f t="array" ref="D28">($F$5*(1+$A28)*'User Segmentation'!$I$49)
- Table70[[Fixed Cost]:[Fixed Cost]]
- (Table70[[Funding Rate]:[Funding Rate]]
   *Table70[[Tenure (in months)]:[Tenure (in months)]]
   *$F$5*(1+$A28)/12)
- (
   IF($A28&lt;0,
      'Dynamic CM'!$G$5,
      'Dynamic CM'!$G$5*(( $F$5*(1+$A28) / $F$5 )^'Dynamic CM'!$H$5)
     )
   *Table70[[LGD]:[LGD]]
   *$F$5*(1+$A28)
 )</f>
        <v>13.593815346324902</v>
      </c>
      <c r="E28" s="115" cm="1">
        <f t="array" ref="E28">($F$6*(1+$A28)*'User Segmentation'!$I$49)
- Table70[[Fixed Cost]:[Fixed Cost]]
- (Table70[[Funding Rate]:[Funding Rate]]
   *Table70[[Tenure (in months)]:[Tenure (in months)]]
   *$F$6*(1+$A28)/12)
- (
   IF($A28&lt;0,
      'Dynamic CM'!$G$6,
      'Dynamic CM'!$G$6*(( $F$6*(1+$A28) / $F$6)^'Dynamic CM'!$H$6)
     )
   *Table70[[LGD]:[LGD]]
   *$F$6*(1+$A28)
 )</f>
        <v>-19.126931136700712</v>
      </c>
      <c r="Q28" s="64">
        <v>1</v>
      </c>
      <c r="R28" s="99" cm="1">
        <f t="array" ref="R28">($F$3*(1+$Q28)*'User Segmentation'!$I$49)
- Table70[[Fixed Cost]:[Fixed Cost]]
- (Table70[[Funding Rate]:[Funding Rate]]
   *Table70[[Tenure (in months)]:[Tenure (in months)]]
   *$F$3*(1+$Q28)/12)
- (
   IF($Q28&lt;0,
      'Dynamic CM'!$G$3,
      'Dynamic CM'!$G$3*(( $F$3*(1+$Q28) / $F$3 )^'Dynamic CM'!$H$3)
     )
   *Table70[[LGD]:[LGD]]
   *$F$3*(1+$Q28)
 )</f>
        <v>-9.8680621394749277</v>
      </c>
      <c r="S28" s="99" cm="1">
        <f t="array" ref="S28">($F$4*(1+$Q28)*'User Segmentation'!$I$49)
- Table70[[Fixed Cost]:[Fixed Cost]]
- (Table70[[Funding Rate]:[Funding Rate]]
   *Table70[[Tenure (in months)]:[Tenure (in months)]]
   *$F$4*(1+$Q28)/12)
- (
   IF($Q28&lt;0,
      'Dynamic CM'!$G$4,
      'Dynamic CM'!$G$4*(( $F$4*(1+$Q28) / $F$4 )^'Dynamic CM'!$H$4)
     )
   *Table70[[LGD]:[LGD]]
   *$F$4*(1+$Q28)
 )</f>
        <v>3.084902921365245</v>
      </c>
      <c r="T28" s="99" cm="1">
        <f t="array" ref="T28">($F$5*(1+$Q28)*'User Segmentation'!$I$49)
- Table70[[Fixed Cost]:[Fixed Cost]]
- (Table70[[Funding Rate]:[Funding Rate]]
   *Table70[[Tenure (in months)]:[Tenure (in months)]]
   *$F$5*(1+$Q28)/12)
- (
   IF($Q28&lt;0,
      'Dynamic CM'!$G$5,
      'Dynamic CM'!$G$5*(( $F$5*(1+$Q28) / $F$5 )^'Dynamic CM'!$H$5)
     )
   *Table70[[LGD]:[LGD]]
   *$F$5*(1+$Q28)
 )</f>
        <v>34.69733083922938</v>
      </c>
      <c r="U28" s="99" cm="1">
        <f t="array" ref="U28">($F$6*(1+$Q28)*'User Segmentation'!$I$49)
- Table70[[Fixed Cost]:[Fixed Cost]]
- (Table70[[Funding Rate]:[Funding Rate]]
   *Table70[[Tenure (in months)]:[Tenure (in months)]]
   *$F$6*(1+$Q28)/12)
- (
   IF($Q28&lt;0,
      'Dynamic CM'!$G$6,
      'Dynamic CM'!$G$6*(( $F$6*(1+$Q28) / $F$6)^'Dynamic CM'!$H$6)
     )
   *Table70[[LGD]:[LGD]]
   *$F$6*(1+$Q28)
 )</f>
        <v>0.89369481094517056</v>
      </c>
    </row>
    <row r="29" spans="1:21" x14ac:dyDescent="0.2">
      <c r="A29" s="112">
        <v>4.25</v>
      </c>
      <c r="B29" s="113" cm="1">
        <f t="array" ref="B29">($F$3*(1+$A29)*'User Segmentation'!$I$49)
- Table70[[Fixed Cost]:[Fixed Cost]]
- (Table70[[Funding Rate]:[Funding Rate]]
   *Table70[[Tenure (in months)]:[Tenure (in months)]]
   *$F$3*(1+$A29)/12)
- (
   IF($A29&lt;0,
      'Dynamic CM'!$G$3,
      'Dynamic CM'!$G$3*(( $F$3*(1+$A29) / $F$3 )^'Dynamic CM'!$H$3)
     )
   *Table70[[LGD]:[LGD]]
   *$F$3*(1+$A29)
 )</f>
        <v>-166.56086287664331</v>
      </c>
      <c r="C29" s="113" cm="1">
        <f t="array" ref="C29">($F$4*(1+$A29)*'User Segmentation'!$I$49)
- Table70[[Fixed Cost]:[Fixed Cost]]
- (Table70[[Funding Rate]:[Funding Rate]]
   *Table70[[Tenure (in months)]:[Tenure (in months)]]
   *$F$4*(1+$A29)/12)
- (
   IF($A29&lt;0,
      'Dynamic CM'!$G$4,
      'Dynamic CM'!$G$4*(( $F$4*(1+$A29) / $F$4 )^'Dynamic CM'!$H$4)
     )
   *Table70[[LGD]:[LGD]]
   *$F$4*(1+$A29)
 )</f>
        <v>-29.968515015460518</v>
      </c>
      <c r="D29" s="113" cm="1">
        <f t="array" ref="D29">($F$5*(1+$A29)*'User Segmentation'!$I$49)
- Table70[[Fixed Cost]:[Fixed Cost]]
- (Table70[[Funding Rate]:[Funding Rate]]
   *Table70[[Tenure (in months)]:[Tenure (in months)]]
   *$F$5*(1+$A29)/12)
- (
   IF($A29&lt;0,
      'Dynamic CM'!$G$5,
      'Dynamic CM'!$G$5*(( $F$5*(1+$A29) / $F$5 )^'Dynamic CM'!$H$5)
     )
   *Table70[[LGD]:[LGD]]
   *$F$5*(1+$A29)
 )</f>
        <v>7.4278075860286776</v>
      </c>
      <c r="E29" s="113" cm="1">
        <f t="array" ref="E29">($F$6*(1+$A29)*'User Segmentation'!$I$49)
- Table70[[Fixed Cost]:[Fixed Cost]]
- (Table70[[Funding Rate]:[Funding Rate]]
   *Table70[[Tenure (in months)]:[Tenure (in months)]]
   *$F$6*(1+$A29)/12)
- (
   IF($A29&lt;0,
      'Dynamic CM'!$G$6,
      'Dynamic CM'!$G$6*(( $F$6*(1+$A29) / $F$6)^'Dynamic CM'!$H$6)
     )
   *Table70[[LGD]:[LGD]]
   *$F$6*(1+$A29)
 )</f>
        <v>-22.507702402530359</v>
      </c>
      <c r="Q29" s="64">
        <v>1.1000000000000001</v>
      </c>
      <c r="R29" s="99" cm="1">
        <f t="array" ref="R29">($F$3*(1+$Q29)*'User Segmentation'!$I$49)
- Table70[[Fixed Cost]:[Fixed Cost]]
- (Table70[[Funding Rate]:[Funding Rate]]
   *Table70[[Tenure (in months)]:[Tenure (in months)]]
   *$F$3*(1+$Q29)/12)
- (
   IF($Q29&lt;0,
      'Dynamic CM'!$G$3,
      'Dynamic CM'!$G$3*(( $F$3*(1+$Q29) / $F$3 )^'Dynamic CM'!$H$3)
     )
   *Table70[[LGD]:[LGD]]
   *$F$3*(1+$Q29)
 )</f>
        <v>-11.293573031263049</v>
      </c>
      <c r="S29" s="99" cm="1">
        <f t="array" ref="S29">($F$4*(1+$Q29)*'User Segmentation'!$I$49)
- Table70[[Fixed Cost]:[Fixed Cost]]
- (Table70[[Funding Rate]:[Funding Rate]]
   *Table70[[Tenure (in months)]:[Tenure (in months)]]
   *$F$4*(1+$Q29)/12)
- (
   IF($Q29&lt;0,
      'Dynamic CM'!$G$4,
      'Dynamic CM'!$G$4*(( $F$4*(1+$Q29) / $F$4 )^'Dynamic CM'!$H$4)
     )
   *Table70[[LGD]:[LGD]]
   *$F$4*(1+$Q29)
 )</f>
        <v>2.9453757393499407</v>
      </c>
      <c r="T29" s="99" cm="1">
        <f t="array" ref="T29">($F$5*(1+$Q29)*'User Segmentation'!$I$49)
- Table70[[Fixed Cost]:[Fixed Cost]]
- (Table70[[Funding Rate]:[Funding Rate]]
   *Table70[[Tenure (in months)]:[Tenure (in months)]]
   *$F$5*(1+$Q29)/12)
- (
   IF($Q29&lt;0,
      'Dynamic CM'!$G$5,
      'Dynamic CM'!$G$5*(( $F$5*(1+$Q29) / $F$5 )^'Dynamic CM'!$H$5)
     )
   *Table70[[LGD]:[LGD]]
   *$F$5*(1+$Q29)
 )</f>
        <v>35.533386153788499</v>
      </c>
      <c r="U29" s="99" cm="1">
        <f t="array" ref="U29">($F$6*(1+$Q29)*'User Segmentation'!$I$49)
- Table70[[Fixed Cost]:[Fixed Cost]]
- (Table70[[Funding Rate]:[Funding Rate]]
   *Table70[[Tenure (in months)]:[Tenure (in months)]]
   *$F$6*(1+$Q29)/12)
- (
   IF($Q29&lt;0,
      'Dynamic CM'!$G$6,
      'Dynamic CM'!$G$6*(( $F$6*(1+$Q29) / $F$6)^'Dynamic CM'!$H$6)
     )
   *Table70[[LGD]:[LGD]]
   *$F$6*(1+$Q29)
 )</f>
        <v>0.78115255512688364</v>
      </c>
    </row>
    <row r="30" spans="1:21" x14ac:dyDescent="0.2">
      <c r="A30" s="114">
        <v>4.5</v>
      </c>
      <c r="B30" s="115" cm="1">
        <f t="array" ref="B30">($F$3*(1+$A30)*'User Segmentation'!$I$49)
- Table70[[Fixed Cost]:[Fixed Cost]]
- (Table70[[Funding Rate]:[Funding Rate]]
   *Table70[[Tenure (in months)]:[Tenure (in months)]]
   *$F$3*(1+$A30)/12)
- (
   IF($A30&lt;0,
      'Dynamic CM'!$G$3,
      'Dynamic CM'!$G$3*(( $F$3*(1+$A30) / $F$3 )^'Dynamic CM'!$H$3)
     )
   *Table70[[LGD]:[LGD]]
   *$F$3*(1+$A30)
 )</f>
        <v>-191.05769630117203</v>
      </c>
      <c r="C30" s="115" cm="1">
        <f t="array" ref="C30">($F$4*(1+$A30)*'User Segmentation'!$I$49)
- Table70[[Fixed Cost]:[Fixed Cost]]
- (Table70[[Funding Rate]:[Funding Rate]]
   *Table70[[Tenure (in months)]:[Tenure (in months)]]
   *$F$4*(1+$A30)/12)
- (
   IF($A30&lt;0,
      'Dynamic CM'!$G$4,
      'Dynamic CM'!$G$4*(( $F$4*(1+$A30) / $F$4 )^'Dynamic CM'!$H$4)
     )
   *Table70[[LGD]:[LGD]]
   *$F$4*(1+$A30)
 )</f>
        <v>-35.208256960859273</v>
      </c>
      <c r="D30" s="115" cm="1">
        <f t="array" ref="D30">($F$5*(1+$A30)*'User Segmentation'!$I$49)
- Table70[[Fixed Cost]:[Fixed Cost]]
- (Table70[[Funding Rate]:[Funding Rate]]
   *Table70[[Tenure (in months)]:[Tenure (in months)]]
   *$F$5*(1+$A30)/12)
- (
   IF($A30&lt;0,
      'Dynamic CM'!$G$5,
      'Dynamic CM'!$G$5*(( $F$5*(1+$A30) / $F$5 )^'Dynamic CM'!$H$5)
     )
   *Table70[[LGD]:[LGD]]
   *$F$5*(1+$A30)
 )</f>
        <v>0.57071340272591442</v>
      </c>
      <c r="E30" s="115" cm="1">
        <f t="array" ref="E30">($F$6*(1+$A30)*'User Segmentation'!$I$49)
- Table70[[Fixed Cost]:[Fixed Cost]]
- (Table70[[Funding Rate]:[Funding Rate]]
   *Table70[[Tenure (in months)]:[Tenure (in months)]]
   *$F$6*(1+$A30)/12)
- (
   IF($A30&lt;0,
      'Dynamic CM'!$G$6,
      'Dynamic CM'!$G$6*(( $F$6*(1+$A30) / $F$6)^'Dynamic CM'!$H$6)
     )
   *Table70[[LGD]:[LGD]]
   *$F$6*(1+$A30)
 )</f>
        <v>-26.175082343094882</v>
      </c>
      <c r="Q30" s="64">
        <v>1.2</v>
      </c>
      <c r="R30" s="99" cm="1">
        <f t="array" ref="R30">($F$3*(1+$Q30)*'User Segmentation'!$I$49)
- Table70[[Fixed Cost]:[Fixed Cost]]
- (Table70[[Funding Rate]:[Funding Rate]]
   *Table70[[Tenure (in months)]:[Tenure (in months)]]
   *$F$3*(1+$Q30)/12)
- (
   IF($Q30&lt;0,
      'Dynamic CM'!$G$3,
      'Dynamic CM'!$G$3*(( $F$3*(1+$Q30) / $F$3 )^'Dynamic CM'!$H$3)
     )
   *Table70[[LGD]:[LGD]]
   *$F$3*(1+$Q30)
 )</f>
        <v>-12.871229553954</v>
      </c>
      <c r="S30" s="99" cm="1">
        <f t="array" ref="S30">($F$4*(1+$Q30)*'User Segmentation'!$I$49)
- Table70[[Fixed Cost]:[Fixed Cost]]
- (Table70[[Funding Rate]:[Funding Rate]]
   *Table70[[Tenure (in months)]:[Tenure (in months)]]
   *$F$4*(1+$Q30)/12)
- (
   IF($Q30&lt;0,
      'Dynamic CM'!$G$4,
      'Dynamic CM'!$G$4*(( $F$4*(1+$Q30) / $F$4 )^'Dynamic CM'!$H$4)
     )
   *Table70[[LGD]:[LGD]]
   *$F$4*(1+$Q30)
 )</f>
        <v>2.7564437336504657</v>
      </c>
      <c r="T30" s="99" cm="1">
        <f t="array" ref="T30">($F$5*(1+$Q30)*'User Segmentation'!$I$49)
- Table70[[Fixed Cost]:[Fixed Cost]]
- (Table70[[Funding Rate]:[Funding Rate]]
   *Table70[[Tenure (in months)]:[Tenure (in months)]]
   *$F$5*(1+$Q30)/12)
- (
   IF($Q30&lt;0,
      'Dynamic CM'!$G$5,
      'Dynamic CM'!$G$5*(( $F$5*(1+$Q30) / $F$5 )^'Dynamic CM'!$H$5)
     )
   *Table70[[LGD]:[LGD]]
   *$F$5*(1+$Q30)
 )</f>
        <v>36.265832200925104</v>
      </c>
      <c r="U30" s="99" cm="1">
        <f t="array" ref="U30">($F$6*(1+$Q30)*'User Segmentation'!$I$49)
- Table70[[Fixed Cost]:[Fixed Cost]]
- (Table70[[Funding Rate]:[Funding Rate]]
   *Table70[[Tenure (in months)]:[Tenure (in months)]]
   *$F$6*(1+$Q30)/12)
- (
   IF($Q30&lt;0,
      'Dynamic CM'!$G$6,
      'Dynamic CM'!$G$6*(( $F$6*(1+$Q30) / $F$6)^'Dynamic CM'!$H$6)
     )
   *Table70[[LGD]:[LGD]]
   *$F$6*(1+$Q30)
 )</f>
        <v>0.634406959834938</v>
      </c>
    </row>
    <row r="31" spans="1:21" x14ac:dyDescent="0.2">
      <c r="A31" s="112">
        <v>4.75</v>
      </c>
      <c r="B31" s="113" cm="1">
        <f t="array" ref="B31">($F$3*(1+$A31)*'User Segmentation'!$I$49)
- Table70[[Fixed Cost]:[Fixed Cost]]
- (Table70[[Funding Rate]:[Funding Rate]]
   *Table70[[Tenure (in months)]:[Tenure (in months)]]
   *$F$3*(1+$A31)/12)
- (
   IF($A31&lt;0,
      'Dynamic CM'!$G$3,
      'Dynamic CM'!$G$3*(( $F$3*(1+$A31) / $F$3 )^'Dynamic CM'!$H$3)
     )
   *Table70[[LGD]:[LGD]]
   *$F$3*(1+$A31)
 )</f>
        <v>-217.79473511744064</v>
      </c>
      <c r="C31" s="113" cm="1">
        <f t="array" ref="C31">($F$4*(1+$A31)*'User Segmentation'!$I$49)
- Table70[[Fixed Cost]:[Fixed Cost]]
- (Table70[[Funding Rate]:[Funding Rate]]
   *Table70[[Tenure (in months)]:[Tenure (in months)]]
   *$F$4*(1+$A31)/12)
- (
   IF($A31&lt;0,
      'Dynamic CM'!$G$4,
      'Dynamic CM'!$G$4*(( $F$4*(1+$A31) / $F$4 )^'Dynamic CM'!$H$4)
     )
   *Table70[[LGD]:[LGD]]
   *$F$4*(1+$A31)
 )</f>
        <v>-40.868199677335376</v>
      </c>
      <c r="D31" s="113" cm="1">
        <f t="array" ref="D31">($F$5*(1+$A31)*'User Segmentation'!$I$49)
- Table70[[Fixed Cost]:[Fixed Cost]]
- (Table70[[Funding Rate]:[Funding Rate]]
   *Table70[[Tenure (in months)]:[Tenure (in months)]]
   *$F$5*(1+$A31)/12)
- (
   IF($A31&lt;0,
      'Dynamic CM'!$G$5,
      'Dynamic CM'!$G$5*(( $F$5*(1+$A31) / $F$5 )^'Dynamic CM'!$H$5)
     )
   *Table70[[LGD]:[LGD]]
   *$F$5*(1+$A31)
 )</f>
        <v>-6.9797543497328434</v>
      </c>
      <c r="E31" s="113" cm="1">
        <f t="array" ref="E31">($F$6*(1+$A31)*'User Segmentation'!$I$49)
- Table70[[Fixed Cost]:[Fixed Cost]]
- (Table70[[Funding Rate]:[Funding Rate]]
   *Table70[[Tenure (in months)]:[Tenure (in months)]]
   *$F$6*(1+$A31)/12)
- (
   IF($A31&lt;0,
      'Dynamic CM'!$G$6,
      'Dynamic CM'!$G$6*(( $F$6*(1+$A31) / $F$6)^'Dynamic CM'!$H$6)
     )
   *Table70[[LGD]:[LGD]]
   *$F$6*(1+$A31)
 )</f>
        <v>-30.133370509789867</v>
      </c>
      <c r="Q31" s="64">
        <v>1.3</v>
      </c>
      <c r="R31" s="99" cm="1">
        <f t="array" ref="R31">($F$3*(1+$Q31)*'User Segmentation'!$I$49)
- Table70[[Fixed Cost]:[Fixed Cost]]
- (Table70[[Funding Rate]:[Funding Rate]]
   *Table70[[Tenure (in months)]:[Tenure (in months)]]
   *$F$3*(1+$Q31)/12)
- (
   IF($Q31&lt;0,
      'Dynamic CM'!$G$3,
      'Dynamic CM'!$G$3*(( $F$3*(1+$Q31) / $F$3 )^'Dynamic CM'!$H$3)
     )
   *Table70[[LGD]:[LGD]]
   *$F$3*(1+$Q31)
 )</f>
        <v>-14.60746344747789</v>
      </c>
      <c r="S31" s="99" cm="1">
        <f t="array" ref="S31">($F$4*(1+$Q31)*'User Segmentation'!$I$49)
- Table70[[Fixed Cost]:[Fixed Cost]]
- (Table70[[Funding Rate]:[Funding Rate]]
   *Table70[[Tenure (in months)]:[Tenure (in months)]]
   *$F$4*(1+$Q31)/12)
- (
   IF($Q31&lt;0,
      'Dynamic CM'!$G$4,
      'Dynamic CM'!$G$4*(( $F$4*(1+$Q31) / $F$4 )^'Dynamic CM'!$H$4)
     )
   *Table70[[LGD]:[LGD]]
   *$F$4*(1+$Q31)
 )</f>
        <v>2.5173657592934031</v>
      </c>
      <c r="T31" s="99" cm="1">
        <f t="array" ref="T31">($F$5*(1+$Q31)*'User Segmentation'!$I$49)
- Table70[[Fixed Cost]:[Fixed Cost]]
- (Table70[[Funding Rate]:[Funding Rate]]
   *Table70[[Tenure (in months)]:[Tenure (in months)]]
   *$F$5*(1+$Q31)/12)
- (
   IF($Q31&lt;0,
      'Dynamic CM'!$G$5,
      'Dynamic CM'!$G$5*(( $F$5*(1+$Q31) / $F$5 )^'Dynamic CM'!$H$5)
     )
   *Table70[[LGD]:[LGD]]
   *$F$5*(1+$Q31)
 )</f>
        <v>36.894326086423433</v>
      </c>
      <c r="U31" s="99" cm="1">
        <f t="array" ref="U31">($F$6*(1+$Q31)*'User Segmentation'!$I$49)
- Table70[[Fixed Cost]:[Fixed Cost]]
- (Table70[[Funding Rate]:[Funding Rate]]
   *Table70[[Tenure (in months)]:[Tenure (in months)]]
   *$F$6*(1+$Q31)/12)
- (
   IF($Q31&lt;0,
      'Dynamic CM'!$G$6,
      'Dynamic CM'!$G$6*(( $F$6*(1+$Q31) / $F$6)^'Dynamic CM'!$H$6)
     )
   *Table70[[LGD]:[LGD]]
   *$F$6*(1+$Q31)
 )</f>
        <v>0.45294492470312608</v>
      </c>
    </row>
    <row r="32" spans="1:21" x14ac:dyDescent="0.2">
      <c r="A32" s="114">
        <v>5</v>
      </c>
      <c r="B32" s="115" cm="1">
        <f t="array" ref="B32">($F$3*(1+$A32)*'User Segmentation'!$I$49)
- Table70[[Fixed Cost]:[Fixed Cost]]
- (Table70[[Funding Rate]:[Funding Rate]]
   *Table70[[Tenure (in months)]:[Tenure (in months)]]
   *$F$3*(1+$A32)/12)
- (
   IF($A32&lt;0,
      'Dynamic CM'!$G$3,
      'Dynamic CM'!$G$3*(( $F$3*(1+$A32) / $F$3 )^'Dynamic CM'!$H$3)
     )
   *Table70[[LGD]:[LGD]]
   *$F$3*(1+$A32)
 )</f>
        <v>-246.86238631454688</v>
      </c>
      <c r="C32" s="115" cm="1">
        <f t="array" ref="C32">($F$4*(1+$A32)*'User Segmentation'!$I$49)
- Table70[[Fixed Cost]:[Fixed Cost]]
- (Table70[[Funding Rate]:[Funding Rate]]
   *Table70[[Tenure (in months)]:[Tenure (in months)]]
   *$F$4*(1+$A32)/12)
- (
   IF($A32&lt;0,
      'Dynamic CM'!$G$4,
      'Dynamic CM'!$G$4*(( $F$4*(1+$A32) / $F$4 )^'Dynamic CM'!$H$4)
     )
   *Table70[[LGD]:[LGD]]
   *$F$4*(1+$A32)
 )</f>
        <v>-46.954364410530495</v>
      </c>
      <c r="D32" s="115" cm="1">
        <f t="array" ref="D32">($F$5*(1+$A32)*'User Segmentation'!$I$49)
- Table70[[Fixed Cost]:[Fixed Cost]]
- (Table70[[Funding Rate]:[Funding Rate]]
   *Table70[[Tenure (in months)]:[Tenure (in months)]]
   *$F$5*(1+$A32)/12)
- (
   IF($A32&lt;0,
      'Dynamic CM'!$G$5,
      'Dynamic CM'!$G$5*(( $F$5*(1+$A32) / $F$5 )^'Dynamic CM'!$H$5)
     )
   *Table70[[LGD]:[LGD]]
   *$F$5*(1+$A32)
 )</f>
        <v>-15.225788139817865</v>
      </c>
      <c r="E32" s="115" cm="1">
        <f t="array" ref="E32">($F$6*(1+$A32)*'User Segmentation'!$I$49)
- Table70[[Fixed Cost]:[Fixed Cost]]
- (Table70[[Funding Rate]:[Funding Rate]]
   *Table70[[Tenure (in months)]:[Tenure (in months)]]
   *$F$6*(1+$A32)/12)
- (
   IF($A32&lt;0,
      'Dynamic CM'!$G$6,
      'Dynamic CM'!$G$6*(( $F$6*(1+$A32) / $F$6)^'Dynamic CM'!$H$6)
     )
   *Table70[[LGD]:[LGD]]
   *$F$6*(1+$A32)
 )</f>
        <v>-34.386735457290349</v>
      </c>
      <c r="Q32" s="64">
        <v>1.4</v>
      </c>
      <c r="R32" s="99" cm="1">
        <f t="array" ref="R32">($F$3*(1+$Q32)*'User Segmentation'!$I$49)
- Table70[[Fixed Cost]:[Fixed Cost]]
- (Table70[[Funding Rate]:[Funding Rate]]
   *Table70[[Tenure (in months)]:[Tenure (in months)]]
   *$F$3*(1+$Q32)/12)
- (
   IF($Q32&lt;0,
      'Dynamic CM'!$G$3,
      'Dynamic CM'!$G$3*(( $F$3*(1+$Q32) / $F$3 )^'Dynamic CM'!$H$3)
     )
   *Table70[[LGD]:[LGD]]
   *$F$3*(1+$Q32)
 )</f>
        <v>-16.508674349425533</v>
      </c>
      <c r="S32" s="99" cm="1">
        <f t="array" ref="S32">($F$4*(1+$Q32)*'User Segmentation'!$I$49)
- Table70[[Fixed Cost]:[Fixed Cost]]
- (Table70[[Funding Rate]:[Funding Rate]]
   *Table70[[Tenure (in months)]:[Tenure (in months)]]
   *$F$4*(1+$Q32)/12)
- (
   IF($Q32&lt;0,
      'Dynamic CM'!$G$4,
      'Dynamic CM'!$G$4*(( $F$4*(1+$Q32) / $F$4 )^'Dynamic CM'!$H$4)
     )
   *Table70[[LGD]:[LGD]]
   *$F$4*(1+$Q32)
 )</f>
        <v>2.227423252163657</v>
      </c>
      <c r="T32" s="99" cm="1">
        <f t="array" ref="T32">($F$5*(1+$Q32)*'User Segmentation'!$I$49)
- Table70[[Fixed Cost]:[Fixed Cost]]
- (Table70[[Funding Rate]:[Funding Rate]]
   *Table70[[Tenure (in months)]:[Tenure (in months)]]
   *$F$5*(1+$Q32)/12)
- (
   IF($Q32&lt;0,
      'Dynamic CM'!$G$5,
      'Dynamic CM'!$G$5*(( $F$5*(1+$Q32) / $F$5 )^'Dynamic CM'!$H$5)
     )
   *Table70[[LGD]:[LGD]]
   *$F$5*(1+$Q32)
 )</f>
        <v>37.418539110363426</v>
      </c>
      <c r="U32" s="99" cm="1">
        <f t="array" ref="U32">($F$6*(1+$Q32)*'User Segmentation'!$I$49)
- Table70[[Fixed Cost]:[Fixed Cost]]
- (Table70[[Funding Rate]:[Funding Rate]]
   *Table70[[Tenure (in months)]:[Tenure (in months)]]
   *$F$6*(1+$Q32)/12)
- (
   IF($Q32&lt;0,
      'Dynamic CM'!$G$6,
      'Dynamic CM'!$G$6*(( $F$6*(1+$Q32) / $F$6)^'Dynamic CM'!$H$6)
     )
   *Table70[[LGD]:[LGD]]
   *$F$6*(1+$Q32)
 )</f>
        <v>0.23626898226714577</v>
      </c>
    </row>
    <row r="33" spans="1:21" x14ac:dyDescent="0.2">
      <c r="Q33" s="64">
        <v>1.5</v>
      </c>
      <c r="R33" s="99" cm="1">
        <f t="array" ref="R33">($F$3*(1+$Q33)*'User Segmentation'!$I$49)
- Table70[[Fixed Cost]:[Fixed Cost]]
- (Table70[[Funding Rate]:[Funding Rate]]
   *Table70[[Tenure (in months)]:[Tenure (in months)]]
   *$F$3*(1+$Q33)/12)
- (
   IF($Q33&lt;0,
      'Dynamic CM'!$G$3,
      'Dynamic CM'!$G$3*(( $F$3*(1+$Q33) / $F$3 )^'Dynamic CM'!$H$3)
     )
   *Table70[[LGD]:[LGD]]
   *$F$3*(1+$Q33)
 )</f>
        <v>-18.581231342684262</v>
      </c>
      <c r="S33" s="99" cm="1">
        <f t="array" ref="S33">($F$4*(1+$Q33)*'User Segmentation'!$I$49)
- Table70[[Fixed Cost]:[Fixed Cost]]
- (Table70[[Funding Rate]:[Funding Rate]]
   *Table70[[Tenure (in months)]:[Tenure (in months)]]
   *$F$4*(1+$Q33)/12)
- (
   IF($Q33&lt;0,
      'Dynamic CM'!$G$4,
      'Dynamic CM'!$G$4*(( $F$4*(1+$Q33) / $F$4 )^'Dynamic CM'!$H$4)
     )
   *Table70[[LGD]:[LGD]]
   *$F$4*(1+$Q33)
 )</f>
        <v>1.8859186013432172</v>
      </c>
      <c r="T33" s="99" cm="1">
        <f t="array" ref="T33">($F$5*(1+$Q33)*'User Segmentation'!$I$49)
- Table70[[Fixed Cost]:[Fixed Cost]]
- (Table70[[Funding Rate]:[Funding Rate]]
   *Table70[[Tenure (in months)]:[Tenure (in months)]]
   *$F$5*(1+$Q33)/12)
- (
   IF($Q33&lt;0,
      'Dynamic CM'!$G$5,
      'Dynamic CM'!$G$5*(( $F$5*(1+$Q33) / $F$5 )^'Dynamic CM'!$H$5)
     )
   *Table70[[LGD]:[LGD]]
   *$F$5*(1+$Q33)
 )</f>
        <v>37.838155598553982</v>
      </c>
      <c r="U33" s="99" cm="1">
        <f t="array" ref="U33">($F$6*(1+$Q33)*'User Segmentation'!$I$49)
- Table70[[Fixed Cost]:[Fixed Cost]]
- (Table70[[Funding Rate]:[Funding Rate]]
   *Table70[[Tenure (in months)]:[Tenure (in months)]]
   *$F$6*(1+$Q33)/12)
- (
   IF($Q33&lt;0,
      'Dynamic CM'!$G$6,
      'Dynamic CM'!$G$6*(( $F$6*(1+$Q33) / $F$6)^'Dynamic CM'!$H$6)
     )
   *Table70[[LGD]:[LGD]]
   *$F$6*(1+$Q33)
 )</f>
        <v>-1.6103828877771953E-2</v>
      </c>
    </row>
    <row r="34" spans="1:21" x14ac:dyDescent="0.2">
      <c r="A34" t="s">
        <v>161</v>
      </c>
      <c r="B34" t="s">
        <v>162</v>
      </c>
      <c r="C34" t="s">
        <v>163</v>
      </c>
      <c r="D34" t="s">
        <v>164</v>
      </c>
      <c r="E34" t="s">
        <v>165</v>
      </c>
      <c r="Q34" s="64">
        <v>1.6</v>
      </c>
      <c r="R34" s="99" cm="1">
        <f t="array" ref="R34">($F$3*(1+$Q34)*'User Segmentation'!$I$49)
- Table70[[Fixed Cost]:[Fixed Cost]]
- (Table70[[Funding Rate]:[Funding Rate]]
   *Table70[[Tenure (in months)]:[Tenure (in months)]]
   *$F$3*(1+$Q34)/12)
- (
   IF($Q34&lt;0,
      'Dynamic CM'!$G$3,
      'Dynamic CM'!$G$3*(( $F$3*(1+$Q34) / $F$3 )^'Dynamic CM'!$H$3)
     )
   *Table70[[LGD]:[LGD]]
   *$F$3*(1+$Q34)
 )</f>
        <v>-20.831474367073319</v>
      </c>
      <c r="S34" s="99" cm="1">
        <f t="array" ref="S34">($F$4*(1+$Q34)*'User Segmentation'!$I$49)
- Table70[[Fixed Cost]:[Fixed Cost]]
- (Table70[[Funding Rate]:[Funding Rate]]
   *Table70[[Tenure (in months)]:[Tenure (in months)]]
   *$F$4*(1+$Q34)/12)
- (
   IF($Q34&lt;0,
      'Dynamic CM'!$G$4,
      'Dynamic CM'!$G$4*(( $F$4*(1+$Q34) / $F$4 )^'Dynamic CM'!$H$4)
     )
   *Table70[[LGD]:[LGD]]
   *$F$4*(1+$Q34)
 )</f>
        <v>1.4921737009942895</v>
      </c>
      <c r="T34" s="99" cm="1">
        <f t="array" ref="T34">($F$5*(1+$Q34)*'User Segmentation'!$I$49)
- Table70[[Fixed Cost]:[Fixed Cost]]
- (Table70[[Funding Rate]:[Funding Rate]]
   *Table70[[Tenure (in months)]:[Tenure (in months)]]
   *$F$5*(1+$Q34)/12)
- (
   IF($Q34&lt;0,
      'Dynamic CM'!$G$5,
      'Dynamic CM'!$G$5*(( $F$5*(1+$Q34) / $F$5 )^'Dynamic CM'!$H$5)
     )
   *Table70[[LGD]:[LGD]]
   *$F$5*(1+$Q34)
 )</f>
        <v>38.152871874124209</v>
      </c>
      <c r="U34" s="99" cm="1">
        <f t="array" ref="U34">($F$6*(1+$Q34)*'User Segmentation'!$I$49)
- Table70[[Fixed Cost]:[Fixed Cost]]
- (Table70[[Funding Rate]:[Funding Rate]]
   *Table70[[Tenure (in months)]:[Tenure (in months)]]
   *$F$6*(1+$Q34)/12)
- (
   IF($Q34&lt;0,
      'Dynamic CM'!$G$6,
      'Dynamic CM'!$G$6*(( $F$6*(1+$Q34) / $F$6)^'Dynamic CM'!$H$6)
     )
   *Table70[[LGD]:[LGD]]
   *$F$6*(1+$Q34)
 )</f>
        <v>-0.30464296661933687</v>
      </c>
    </row>
    <row r="35" spans="1:21" x14ac:dyDescent="0.2">
      <c r="A35" s="99">
        <f>MAX(U9:U169)</f>
        <v>1.0314950314988049</v>
      </c>
      <c r="B35" s="64">
        <f>INDEX(Q9:Q169, MATCH(MAX(U9:U169), U9:U169, 0))</f>
        <v>0.7</v>
      </c>
      <c r="C35" s="99">
        <f>(1+$B$35)*$F$6</f>
        <v>184.875</v>
      </c>
      <c r="D35" s="64" cm="1">
        <f t="array" ref="D35">IF(COUNTIF(U9:U169,"&gt;0")=0,
   "#NA",
   MIN(IF(U9:U169&gt;0, Q9:Q169))
 )</f>
        <v>0</v>
      </c>
      <c r="E35" s="64" cm="1">
        <f t="array" ref="E35">IF(COUNTIF(U9:U169,"&gt;0")=0,
   "#NA",
   MAX(IF(U9:U169&gt;0, Q9:Q169))
 )</f>
        <v>1.4</v>
      </c>
      <c r="Q35" s="64">
        <v>1.7</v>
      </c>
      <c r="R35" s="99" cm="1">
        <f t="array" ref="R35">($F$3*(1+$Q35)*'User Segmentation'!$I$49)
- Table70[[Fixed Cost]:[Fixed Cost]]
- (Table70[[Funding Rate]:[Funding Rate]]
   *Table70[[Tenure (in months)]:[Tenure (in months)]]
   *$F$3*(1+$Q35)/12)
- (
   IF($Q35&lt;0,
      'Dynamic CM'!$G$3,
      'Dynamic CM'!$G$3*(( $F$3*(1+$Q35) / $F$3 )^'Dynamic CM'!$H$3)
     )
   *Table70[[LGD]:[LGD]]
   *$F$3*(1+$Q35)
 )</f>
        <v>-23.265715511898534</v>
      </c>
      <c r="S35" s="99" cm="1">
        <f t="array" ref="S35">($F$4*(1+$Q35)*'User Segmentation'!$I$49)
- Table70[[Fixed Cost]:[Fixed Cost]]
- (Table70[[Funding Rate]:[Funding Rate]]
   *Table70[[Tenure (in months)]:[Tenure (in months)]]
   *$F$4*(1+$Q35)/12)
- (
   IF($Q35&lt;0,
      'Dynamic CM'!$G$4,
      'Dynamic CM'!$G$4*(( $F$4*(1+$Q35) / $F$4 )^'Dynamic CM'!$H$4)
     )
   *Table70[[LGD]:[LGD]]
   *$F$4*(1+$Q35)
 )</f>
        <v>1.0455286556552679</v>
      </c>
      <c r="T35" s="99" cm="1">
        <f t="array" ref="T35">($F$5*(1+$Q35)*'User Segmentation'!$I$49)
- Table70[[Fixed Cost]:[Fixed Cost]]
- (Table70[[Funding Rate]:[Funding Rate]]
   *Table70[[Tenure (in months)]:[Tenure (in months)]]
   *$F$5*(1+$Q35)/12)
- (
   IF($Q35&lt;0,
      'Dynamic CM'!$G$5,
      'Dynamic CM'!$G$5*(( $F$5*(1+$Q35) / $F$5 )^'Dynamic CM'!$H$5)
     )
   *Table70[[LGD]:[LGD]]
   *$F$5*(1+$Q35)
 )</f>
        <v>38.36239534760039</v>
      </c>
      <c r="U35" s="99" cm="1">
        <f t="array" ref="U35">($F$6*(1+$Q35)*'User Segmentation'!$I$49)
- Table70[[Fixed Cost]:[Fixed Cost]]
- (Table70[[Funding Rate]:[Funding Rate]]
   *Table70[[Tenure (in months)]:[Tenure (in months)]]
   *$F$6*(1+$Q35)/12)
- (
   IF($Q35&lt;0,
      'Dynamic CM'!$G$6,
      'Dynamic CM'!$G$6*(( $F$6*(1+$Q35) / $F$6)^'Dynamic CM'!$H$6)
     )
   *Table70[[LGD]:[LGD]]
   *$F$6*(1+$Q35)
 )</f>
        <v>-0.62980528166174032</v>
      </c>
    </row>
    <row r="36" spans="1:21" x14ac:dyDescent="0.2">
      <c r="D36" t="s">
        <v>166</v>
      </c>
      <c r="E36" t="s">
        <v>167</v>
      </c>
      <c r="Q36" s="64">
        <v>1.8</v>
      </c>
      <c r="R36" s="99" cm="1">
        <f t="array" ref="R36">($F$3*(1+$Q36)*'User Segmentation'!$I$49)
- Table70[[Fixed Cost]:[Fixed Cost]]
- (Table70[[Funding Rate]:[Funding Rate]]
   *Table70[[Tenure (in months)]:[Tenure (in months)]]
   *$F$3*(1+$Q36)/12)
- (
   IF($Q36&lt;0,
      'Dynamic CM'!$G$3,
      'Dynamic CM'!$G$3*(( $F$3*(1+$Q36) / $F$3 )^'Dynamic CM'!$H$3)
     )
   *Table70[[LGD]:[LGD]]
   *$F$3*(1+$Q36)
 )</f>
        <v>-25.890240203669819</v>
      </c>
      <c r="S36" s="99" cm="1">
        <f t="array" ref="S36">($F$4*(1+$Q36)*'User Segmentation'!$I$49)
- Table70[[Fixed Cost]:[Fixed Cost]]
- (Table70[[Funding Rate]:[Funding Rate]]
   *Table70[[Tenure (in months)]:[Tenure (in months)]]
   *$F$4*(1+$Q36)/12)
- (
   IF($Q36&lt;0,
      'Dynamic CM'!$G$4,
      'Dynamic CM'!$G$4*(( $F$4*(1+$Q36) / $F$4 )^'Dynamic CM'!$H$4)
     )
   *Table70[[LGD]:[LGD]]
   *$F$4*(1+$Q36)
 )</f>
        <v>0.5453406174728137</v>
      </c>
      <c r="T36" s="99" cm="1">
        <f t="array" ref="T36">($F$5*(1+$Q36)*'User Segmentation'!$I$49)
- Table70[[Fixed Cost]:[Fixed Cost]]
- (Table70[[Funding Rate]:[Funding Rate]]
   *Table70[[Tenure (in months)]:[Tenure (in months)]]
   *$F$5*(1+$Q36)/12)
- (
   IF($Q36&lt;0,
      'Dynamic CM'!$G$5,
      'Dynamic CM'!$G$5*(( $F$5*(1+$Q36) / $F$5 )^'Dynamic CM'!$H$5)
     )
   *Table70[[LGD]:[LGD]]
   *$F$5*(1+$Q36)
 )</f>
        <v>38.466443707844064</v>
      </c>
      <c r="U36" s="99" cm="1">
        <f t="array" ref="U36">($F$6*(1+$Q36)*'User Segmentation'!$I$49)
- Table70[[Fixed Cost]:[Fixed Cost]]
- (Table70[[Funding Rate]:[Funding Rate]]
   *Table70[[Tenure (in months)]:[Tenure (in months)]]
   *$F$6*(1+$Q36)/12)
- (
   IF($Q36&lt;0,
      'Dynamic CM'!$G$6,
      'Dynamic CM'!$G$6*(( $F$6*(1+$Q36) / $F$6)^'Dynamic CM'!$H$6)
     )
   *Table70[[LGD]:[LGD]]
   *$F$6*(1+$Q36)
 )</f>
        <v>-0.99203582251881528</v>
      </c>
    </row>
    <row r="37" spans="1:21" x14ac:dyDescent="0.2">
      <c r="D37">
        <f>IF(ISNUMBER(D$35),(1+D$35)*$F$6,"#NA")</f>
        <v>108.75</v>
      </c>
      <c r="E37">
        <f>IF(ISNUMBER(E$35),(1+E$35)*$F$6,"#NA")</f>
        <v>261</v>
      </c>
      <c r="Q37" s="64">
        <v>1.9</v>
      </c>
      <c r="R37" s="99" cm="1">
        <f t="array" ref="R37">($F$3*(1+$Q37)*'User Segmentation'!$I$49)
- Table70[[Fixed Cost]:[Fixed Cost]]
- (Table70[[Funding Rate]:[Funding Rate]]
   *Table70[[Tenure (in months)]:[Tenure (in months)]]
   *$F$3*(1+$Q37)/12)
- (
   IF($Q37&lt;0,
      'Dynamic CM'!$G$3,
      'Dynamic CM'!$G$3*(( $F$3*(1+$Q37) / $F$3 )^'Dynamic CM'!$H$3)
     )
   *Table70[[LGD]:[LGD]]
   *$F$3*(1+$Q37)
 )</f>
        <v>-28.711308301056363</v>
      </c>
      <c r="S37" s="99" cm="1">
        <f t="array" ref="S37">($F$4*(1+$Q37)*'User Segmentation'!$I$49)
- Table70[[Fixed Cost]:[Fixed Cost]]
- (Table70[[Funding Rate]:[Funding Rate]]
   *Table70[[Tenure (in months)]:[Tenure (in months)]]
   *$F$4*(1+$Q37)/12)
- (
   IF($Q37&lt;0,
      'Dynamic CM'!$G$4,
      'Dynamic CM'!$G$4*(( $F$4*(1+$Q37) / $F$4 )^'Dynamic CM'!$H$4)
     )
   *Table70[[LGD]:[LGD]]
   *$F$4*(1+$Q37)
 )</f>
        <v>-9.0172624218958219E-3</v>
      </c>
      <c r="T37" s="99" cm="1">
        <f t="array" ref="T37">($F$5*(1+$Q37)*'User Segmentation'!$I$49)
- Table70[[Fixed Cost]:[Fixed Cost]]
- (Table70[[Funding Rate]:[Funding Rate]]
   *Table70[[Tenure (in months)]:[Tenure (in months)]]
   *$F$5*(1+$Q37)/12)
- (
   IF($Q37&lt;0,
      'Dynamic CM'!$G$5,
      'Dynamic CM'!$G$5*(( $F$5*(1+$Q37) / $F$5 )^'Dynamic CM'!$H$5)
     )
   *Table70[[LGD]:[LGD]]
   *$F$5*(1+$Q37)
 )</f>
        <v>38.464744199395902</v>
      </c>
      <c r="U37" s="99" cm="1">
        <f t="array" ref="U37">($F$6*(1+$Q37)*'User Segmentation'!$I$49)
- Table70[[Fixed Cost]:[Fixed Cost]]
- (Table70[[Funding Rate]:[Funding Rate]]
   *Table70[[Tenure (in months)]:[Tenure (in months)]]
   *$F$6*(1+$Q37)/12)
- (
   IF($Q37&lt;0,
      'Dynamic CM'!$G$6,
      'Dynamic CM'!$G$6*(( $F$6*(1+$Q37) / $F$6)^'Dynamic CM'!$H$6)
     )
   *Table70[[LGD]:[LGD]]
   *$F$6*(1+$Q37)
 )</f>
        <v>-1.3917685614843904</v>
      </c>
    </row>
    <row r="38" spans="1:21" x14ac:dyDescent="0.2">
      <c r="Q38" s="64">
        <v>2</v>
      </c>
      <c r="R38" s="99" cm="1">
        <f t="array" ref="R38">($F$3*(1+$Q38)*'User Segmentation'!$I$49)
- Table70[[Fixed Cost]:[Fixed Cost]]
- (Table70[[Funding Rate]:[Funding Rate]]
   *Table70[[Tenure (in months)]:[Tenure (in months)]]
   *$F$3*(1+$Q38)/12)
- (
   IF($Q38&lt;0,
      'Dynamic CM'!$G$3,
      'Dynamic CM'!$G$3*(( $F$3*(1+$Q38) / $F$3 )^'Dynamic CM'!$H$3)
     )
   *Table70[[LGD]:[LGD]]
   *$F$3*(1+$Q38)
 )</f>
        <v>-31.73515510738061</v>
      </c>
      <c r="S38" s="99" cm="1">
        <f t="array" ref="S38">($F$4*(1+$Q38)*'User Segmentation'!$I$49)
- Table70[[Fixed Cost]:[Fixed Cost]]
- (Table70[[Funding Rate]:[Funding Rate]]
   *Table70[[Tenure (in months)]:[Tenure (in months)]]
   *$F$4*(1+$Q38)/12)
- (
   IF($Q38&lt;0,
      'Dynamic CM'!$G$4,
      'Dynamic CM'!$G$4*(( $F$4*(1+$Q38) / $F$4 )^'Dynamic CM'!$H$4)
     )
   *Table70[[LGD]:[LGD]]
   *$F$4*(1+$Q38)
 )</f>
        <v>-0.61815678324042267</v>
      </c>
      <c r="T38" s="99" cm="1">
        <f t="array" ref="T38">($F$5*(1+$Q38)*'User Segmentation'!$I$49)
- Table70[[Fixed Cost]:[Fixed Cost]]
- (Table70[[Funding Rate]:[Funding Rate]]
   *Table70[[Tenure (in months)]:[Tenure (in months)]]
   *$F$5*(1+$Q38)/12)
- (
   IF($Q38&lt;0,
      'Dynamic CM'!$G$5,
      'Dynamic CM'!$G$5*(( $F$5*(1+$Q38) / $F$5 )^'Dynamic CM'!$H$5)
     )
   *Table70[[LGD]:[LGD]]
   *$F$5*(1+$Q38)
 )</f>
        <v>38.357032974278752</v>
      </c>
      <c r="U38" s="99" cm="1">
        <f t="array" ref="U38">($F$6*(1+$Q38)*'User Segmentation'!$I$49)
- Table70[[Fixed Cost]:[Fixed Cost]]
- (Table70[[Funding Rate]:[Funding Rate]]
   *Table70[[Tenure (in months)]:[Tenure (in months)]]
   *$F$6*(1+$Q38)/12)
- (
   IF($Q38&lt;0,
      'Dynamic CM'!$G$6,
      'Dynamic CM'!$G$6*(( $F$6*(1+$Q38) / $F$6)^'Dynamic CM'!$H$6)
     )
   *Table70[[LGD]:[LGD]]
   *$F$6*(1+$Q38)
 )</f>
        <v>-1.8294270518587545</v>
      </c>
    </row>
    <row r="39" spans="1:21" x14ac:dyDescent="0.2">
      <c r="Q39" s="64">
        <v>2.1</v>
      </c>
      <c r="R39" s="99" cm="1">
        <f t="array" ref="R39">($F$3*(1+$Q39)*'User Segmentation'!$I$49)
- Table70[[Fixed Cost]:[Fixed Cost]]
- (Table70[[Funding Rate]:[Funding Rate]]
   *Table70[[Tenure (in months)]:[Tenure (in months)]]
   *$F$3*(1+$Q39)/12)
- (
   IF($Q39&lt;0,
      'Dynamic CM'!$G$3,
      'Dynamic CM'!$G$3*(( $F$3*(1+$Q39) / $F$3 )^'Dynamic CM'!$H$3)
     )
   *Table70[[LGD]:[LGD]]
   *$F$3*(1+$Q39)
 )</f>
        <v>-34.967992309492779</v>
      </c>
      <c r="S39" s="99" cm="1">
        <f t="array" ref="S39">($F$4*(1+$Q39)*'User Segmentation'!$I$49)
- Table70[[Fixed Cost]:[Fixed Cost]]
- (Table70[[Funding Rate]:[Funding Rate]]
   *Table70[[Tenure (in months)]:[Tenure (in months)]]
   *$F$4*(1+$Q39)/12)
- (
   IF($Q39&lt;0,
      'Dynamic CM'!$G$4,
      'Dynamic CM'!$G$4*(( $F$4*(1+$Q39) / $F$4 )^'Dynamic CM'!$H$4)
     )
   *Table70[[LGD]:[LGD]]
   *$F$4*(1+$Q39)
 )</f>
        <v>-1.2826755570420403</v>
      </c>
      <c r="T39" s="99" cm="1">
        <f t="array" ref="T39">($F$5*(1+$Q39)*'User Segmentation'!$I$49)
- Table70[[Fixed Cost]:[Fixed Cost]]
- (Table70[[Funding Rate]:[Funding Rate]]
   *Table70[[Tenure (in months)]:[Tenure (in months)]]
   *$F$5*(1+$Q39)/12)
- (
   IF($Q39&lt;0,
      'Dynamic CM'!$G$5,
      'Dynamic CM'!$G$5*(( $F$5*(1+$Q39) / $F$5 )^'Dynamic CM'!$H$5)
     )
   *Table70[[LGD]:[LGD]]
   *$F$5*(1+$Q39)
 )</f>
        <v>38.143054508315252</v>
      </c>
      <c r="U39" s="99" cm="1">
        <f t="array" ref="U39">($F$6*(1+$Q39)*'User Segmentation'!$I$49)
- Table70[[Fixed Cost]:[Fixed Cost]]
- (Table70[[Funding Rate]:[Funding Rate]]
   *Table70[[Tenure (in months)]:[Tenure (in months)]]
   *$F$6*(1+$Q39)/12)
- (
   IF($Q39&lt;0,
      'Dynamic CM'!$G$6,
      'Dynamic CM'!$G$6*(( $F$6*(1+$Q39) / $F$6)^'Dynamic CM'!$H$6)
     )
   *Table70[[LGD]:[LGD]]
   *$F$6*(1+$Q39)
 )</f>
        <v>-2.3054250250675654</v>
      </c>
    </row>
    <row r="40" spans="1:21" x14ac:dyDescent="0.2">
      <c r="Q40" s="64">
        <v>2.2000000000000002</v>
      </c>
      <c r="R40" s="99" cm="1">
        <f t="array" ref="R40">($F$3*(1+$Q40)*'User Segmentation'!$I$49)
- Table70[[Fixed Cost]:[Fixed Cost]]
- (Table70[[Funding Rate]:[Funding Rate]]
   *Table70[[Tenure (in months)]:[Tenure (in months)]]
   *$F$3*(1+$Q40)/12)
- (
   IF($Q40&lt;0,
      'Dynamic CM'!$G$3,
      'Dynamic CM'!$G$3*(( $F$3*(1+$Q40) / $F$3 )^'Dynamic CM'!$H$3)
     )
   *Table70[[LGD]:[LGD]]
   *$F$3*(1+$Q40)
 )</f>
        <v>-38.416008850655565</v>
      </c>
      <c r="S40" s="99" cm="1">
        <f t="array" ref="S40">($F$4*(1+$Q40)*'User Segmentation'!$I$49)
- Table70[[Fixed Cost]:[Fixed Cost]]
- (Table70[[Funding Rate]:[Funding Rate]]
   *Table70[[Tenure (in months)]:[Tenure (in months)]]
   *$F$4*(1+$Q40)/12)
- (
   IF($Q40&lt;0,
      'Dynamic CM'!$G$4,
      'Dynamic CM'!$G$4*(( $F$4*(1+$Q40) / $F$4 )^'Dynamic CM'!$H$4)
     )
   *Table70[[LGD]:[LGD]]
   *$F$4*(1+$Q40)
 )</f>
        <v>-2.0031577949633714</v>
      </c>
      <c r="T40" s="99" cm="1">
        <f t="array" ref="T40">($F$5*(1+$Q40)*'User Segmentation'!$I$49)
- Table70[[Fixed Cost]:[Fixed Cost]]
- (Table70[[Funding Rate]:[Funding Rate]]
   *Table70[[Tenure (in months)]:[Tenure (in months)]]
   *$F$5*(1+$Q40)/12)
- (
   IF($Q40&lt;0,
      'Dynamic CM'!$G$5,
      'Dynamic CM'!$G$5*(( $F$5*(1+$Q40) / $F$5 )^'Dynamic CM'!$H$5)
     )
   *Table70[[LGD]:[LGD]]
   *$F$5*(1+$Q40)
 )</f>
        <v>37.822561073627419</v>
      </c>
      <c r="U40" s="99" cm="1">
        <f t="array" ref="U40">($F$6*(1+$Q40)*'User Segmentation'!$I$49)
- Table70[[Fixed Cost]:[Fixed Cost]]
- (Table70[[Funding Rate]:[Funding Rate]]
   *Table70[[Tenure (in months)]:[Tenure (in months)]]
   *$F$6*(1+$Q40)/12)
- (
   IF($Q40&lt;0,
      'Dynamic CM'!$G$6,
      'Dynamic CM'!$G$6*(( $F$6*(1+$Q40) / $F$6)^'Dynamic CM'!$H$6)
     )
   *Table70[[LGD]:[LGD]]
   *$F$6*(1+$Q40)
 )</f>
        <v>-2.8201669349746421</v>
      </c>
    </row>
    <row r="41" spans="1:21" x14ac:dyDescent="0.2">
      <c r="Q41" s="64">
        <v>2.2999999999999998</v>
      </c>
      <c r="R41" s="99" cm="1">
        <f t="array" ref="R41">($F$3*(1+$Q41)*'User Segmentation'!$I$49)
- Table70[[Fixed Cost]:[Fixed Cost]]
- (Table70[[Funding Rate]:[Funding Rate]]
   *Table70[[Tenure (in months)]:[Tenure (in months)]]
   *$F$3*(1+$Q41)/12)
- (
   IF($Q41&lt;0,
      'Dynamic CM'!$G$3,
      'Dynamic CM'!$G$3*(( $F$3*(1+$Q41) / $F$3 )^'Dynamic CM'!$H$3)
     )
   *Table70[[LGD]:[LGD]]
   *$F$3*(1+$Q41)
 )</f>
        <v>-42.085371744057099</v>
      </c>
      <c r="S41" s="99" cm="1">
        <f t="array" ref="S41">($F$4*(1+$Q41)*'User Segmentation'!$I$49)
- Table70[[Fixed Cost]:[Fixed Cost]]
- (Table70[[Funding Rate]:[Funding Rate]]
   *Table70[[Tenure (in months)]:[Tenure (in months)]]
   *$F$4*(1+$Q41)/12)
- (
   IF($Q41&lt;0,
      'Dynamic CM'!$G$4,
      'Dynamic CM'!$G$4*(( $F$4*(1+$Q41) / $F$4 )^'Dynamic CM'!$H$4)
     )
   *Table70[[LGD]:[LGD]]
   *$F$4*(1+$Q41)
 )</f>
        <v>-2.7801750261415066</v>
      </c>
      <c r="T41" s="99" cm="1">
        <f t="array" ref="T41">($F$5*(1+$Q41)*'User Segmentation'!$I$49)
- Table70[[Fixed Cost]:[Fixed Cost]]
- (Table70[[Funding Rate]:[Funding Rate]]
   *Table70[[Tenure (in months)]:[Tenure (in months)]]
   *$F$5*(1+$Q41)/12)
- (
   IF($Q41&lt;0,
      'Dynamic CM'!$G$5,
      'Dynamic CM'!$G$5*(( $F$5*(1+$Q41) / $F$5 )^'Dynamic CM'!$H$5)
     )
   *Table70[[LGD]:[LGD]]
   *$F$5*(1+$Q41)
 )</f>
        <v>37.395312260293409</v>
      </c>
      <c r="U41" s="99" cm="1">
        <f t="array" ref="U41">($F$6*(1+$Q41)*'User Segmentation'!$I$49)
- Table70[[Fixed Cost]:[Fixed Cost]]
- (Table70[[Funding Rate]:[Funding Rate]]
   *Table70[[Tenure (in months)]:[Tenure (in months)]]
   *$F$6*(1+$Q41)/12)
- (
   IF($Q41&lt;0,
      'Dynamic CM'!$G$6,
      'Dynamic CM'!$G$6*(( $F$6*(1+$Q41) / $F$6)^'Dynamic CM'!$H$6)
     )
   *Table70[[LGD]:[LGD]]
   *$F$6*(1+$Q41)
 )</f>
        <v>-3.3740484555979613</v>
      </c>
    </row>
    <row r="42" spans="1:21" x14ac:dyDescent="0.2">
      <c r="Q42" s="64">
        <v>2.4</v>
      </c>
      <c r="R42" s="99" cm="1">
        <f t="array" ref="R42">($F$3*(1+$Q42)*'User Segmentation'!$I$49)
- Table70[[Fixed Cost]:[Fixed Cost]]
- (Table70[[Funding Rate]:[Funding Rate]]
   *Table70[[Tenure (in months)]:[Tenure (in months)]]
   *$F$3*(1+$Q42)/12)
- (
   IF($Q42&lt;0,
      'Dynamic CM'!$G$3,
      'Dynamic CM'!$G$3*(( $F$3*(1+$Q42) / $F$3 )^'Dynamic CM'!$H$3)
     )
   *Table70[[LGD]:[LGD]]
   *$F$3*(1+$Q42)
 )</f>
        <v>-45.982226832720627</v>
      </c>
      <c r="S42" s="99" cm="1">
        <f t="array" ref="S42">($F$4*(1+$Q42)*'User Segmentation'!$I$49)
- Table70[[Fixed Cost]:[Fixed Cost]]
- (Table70[[Funding Rate]:[Funding Rate]]
   *Table70[[Tenure (in months)]:[Tenure (in months)]]
   *$F$4*(1+$Q42)/12)
- (
   IF($Q42&lt;0,
      'Dynamic CM'!$G$4,
      'Dynamic CM'!$G$4*(( $F$4*(1+$Q42) / $F$4 )^'Dynamic CM'!$H$4)
     )
   *Table70[[LGD]:[LGD]]
   *$F$4*(1+$Q42)
 )</f>
        <v>-3.6142867569996149</v>
      </c>
      <c r="T42" s="99" cm="1">
        <f t="array" ref="T42">($F$5*(1+$Q42)*'User Segmentation'!$I$49)
- Table70[[Fixed Cost]:[Fixed Cost]]
- (Table70[[Funding Rate]:[Funding Rate]]
   *Table70[[Tenure (in months)]:[Tenure (in months)]]
   *$F$5*(1+$Q42)/12)
- (
   IF($Q42&lt;0,
      'Dynamic CM'!$G$5,
      'Dynamic CM'!$G$5*(( $F$5*(1+$Q42) / $F$5 )^'Dynamic CM'!$H$5)
     )
   *Table70[[LGD]:[LGD]]
   *$F$5*(1+$Q42)
 )</f>
        <v>36.861074541204296</v>
      </c>
      <c r="U42" s="99" cm="1">
        <f t="array" ref="U42">($F$6*(1+$Q42)*'User Segmentation'!$I$49)
- Table70[[Fixed Cost]:[Fixed Cost]]
- (Table70[[Funding Rate]:[Funding Rate]]
   *Table70[[Tenure (in months)]:[Tenure (in months)]]
   *$F$6*(1+$Q42)/12)
- (
   IF($Q42&lt;0,
      'Dynamic CM'!$G$6,
      'Dynamic CM'!$G$6*(( $F$6*(1+$Q42) / $F$6)^'Dynamic CM'!$H$6)
     )
   *Table70[[LGD]:[LGD]]
   *$F$6*(1+$Q42)
 )</f>
        <v>-3.9674569375381932</v>
      </c>
    </row>
    <row r="43" spans="1:21" x14ac:dyDescent="0.2">
      <c r="Q43" s="64">
        <v>2.5</v>
      </c>
      <c r="R43" s="99" cm="1">
        <f t="array" ref="R43">($F$3*(1+$Q43)*'User Segmentation'!$I$49)
- Table70[[Fixed Cost]:[Fixed Cost]]
- (Table70[[Funding Rate]:[Funding Rate]]
   *Table70[[Tenure (in months)]:[Tenure (in months)]]
   *$F$3*(1+$Q43)/12)
- (
   IF($Q43&lt;0,
      'Dynamic CM'!$G$3,
      'Dynamic CM'!$G$3*(( $F$3*(1+$Q43) / $F$3 )^'Dynamic CM'!$H$3)
     )
   *Table70[[LGD]:[LGD]]
   *$F$3*(1+$Q43)
 )</f>
        <v>-50.112699500860252</v>
      </c>
      <c r="S43" s="99" cm="1">
        <f t="array" ref="S43">($F$4*(1+$Q43)*'User Segmentation'!$I$49)
- Table70[[Fixed Cost]:[Fixed Cost]]
- (Table70[[Funding Rate]:[Funding Rate]]
   *Table70[[Tenure (in months)]:[Tenure (in months)]]
   *$F$4*(1+$Q43)/12)
- (
   IF($Q43&lt;0,
      'Dynamic CM'!$G$4,
      'Dynamic CM'!$G$4*(( $F$4*(1+$Q43) / $F$4 )^'Dynamic CM'!$H$4)
     )
   *Table70[[LGD]:[LGD]]
   *$F$4*(1+$Q43)
 )</f>
        <v>-4.5060410774859392</v>
      </c>
      <c r="T43" s="99" cm="1">
        <f t="array" ref="T43">($F$5*(1+$Q43)*'User Segmentation'!$I$49)
- Table70[[Fixed Cost]:[Fixed Cost]]
- (Table70[[Funding Rate]:[Funding Rate]]
   *Table70[[Tenure (in months)]:[Tenure (in months)]]
   *$F$5*(1+$Q43)/12)
- (
   IF($Q43&lt;0,
      'Dynamic CM'!$G$5,
      'Dynamic CM'!$G$5*(( $F$5*(1+$Q43) / $F$5 )^'Dynamic CM'!$H$5)
     )
   *Table70[[LGD]:[LGD]]
   *$F$5*(1+$Q43)
 )</f>
        <v>36.219620875042864</v>
      </c>
      <c r="U43" s="99" cm="1">
        <f t="array" ref="U43">($F$6*(1+$Q43)*'User Segmentation'!$I$49)
- Table70[[Fixed Cost]:[Fixed Cost]]
- (Table70[[Funding Rate]:[Funding Rate]]
   *Table70[[Tenure (in months)]:[Tenure (in months)]]
   *$F$6*(1+$Q43)/12)
- (
   IF($Q43&lt;0,
      'Dynamic CM'!$G$6,
      'Dynamic CM'!$G$6*(( $F$6*(1+$Q43) / $F$6)^'Dynamic CM'!$H$6)
     )
   *Table70[[LGD]:[LGD]]
   *$F$6*(1+$Q43)
 )</f>
        <v>-4.6007718276825749</v>
      </c>
    </row>
    <row r="44" spans="1:21" x14ac:dyDescent="0.2">
      <c r="Q44" s="64">
        <v>2.6</v>
      </c>
      <c r="R44" s="99" cm="1">
        <f t="array" ref="R44">($F$3*(1+$Q44)*'User Segmentation'!$I$49)
- Table70[[Fixed Cost]:[Fixed Cost]]
- (Table70[[Funding Rate]:[Funding Rate]]
   *Table70[[Tenure (in months)]:[Tenure (in months)]]
   *$F$3*(1+$Q44)/12)
- (
   IF($Q44&lt;0,
      'Dynamic CM'!$G$3,
      'Dynamic CM'!$G$3*(( $F$3*(1+$Q44) / $F$3 )^'Dynamic CM'!$H$3)
     )
   *Table70[[LGD]:[LGD]]
   *$F$3*(1+$Q44)
 )</f>
        <v>-54.482895341122784</v>
      </c>
      <c r="S44" s="99" cm="1">
        <f t="array" ref="S44">($F$4*(1+$Q44)*'User Segmentation'!$I$49)
- Table70[[Fixed Cost]:[Fixed Cost]]
- (Table70[[Funding Rate]:[Funding Rate]]
   *Table70[[Tenure (in months)]:[Tenure (in months)]]
   *$F$4*(1+$Q44)/12)
- (
   IF($Q44&lt;0,
      'Dynamic CM'!$G$4,
      'Dynamic CM'!$G$4*(( $F$4*(1+$Q44) / $F$4 )^'Dynamic CM'!$H$4)
     )
   *Table70[[LGD]:[LGD]]
   *$F$4*(1+$Q44)
 )</f>
        <v>-5.4559752199572955</v>
      </c>
      <c r="T44" s="99" cm="1">
        <f t="array" ref="T44">($F$5*(1+$Q44)*'User Segmentation'!$I$49)
- Table70[[Fixed Cost]:[Fixed Cost]]
- (Table70[[Funding Rate]:[Funding Rate]]
   *Table70[[Tenure (in months)]:[Tenure (in months)]]
   *$F$5*(1+$Q44)/12)
- (
   IF($Q44&lt;0,
      'Dynamic CM'!$G$5,
      'Dynamic CM'!$G$5*(( $F$5*(1+$Q44) / $F$5 )^'Dynamic CM'!$H$5)
     )
   *Table70[[LGD]:[LGD]]
   *$F$5*(1+$Q44)
 )</f>
        <v>35.470730343033736</v>
      </c>
      <c r="U44" s="99" cm="1">
        <f t="array" ref="U44">($F$6*(1+$Q44)*'User Segmentation'!$I$49)
- Table70[[Fixed Cost]:[Fixed Cost]]
- (Table70[[Funding Rate]:[Funding Rate]]
   *Table70[[Tenure (in months)]:[Tenure (in months)]]
   *$F$6*(1+$Q44)/12)
- (
   IF($Q44&lt;0,
      'Dynamic CM'!$G$6,
      'Dynamic CM'!$G$6*(( $F$6*(1+$Q44) / $F$6)^'Dynamic CM'!$H$6)
     )
   *Table70[[LGD]:[LGD]]
   *$F$6*(1+$Q44)
 )</f>
        <v>-5.2743650561242781</v>
      </c>
    </row>
    <row r="45" spans="1:21" x14ac:dyDescent="0.2">
      <c r="Q45" s="64">
        <v>2.7</v>
      </c>
      <c r="R45" s="99" cm="1">
        <f t="array" ref="R45">($F$3*(1+$Q45)*'User Segmentation'!$I$49)
- Table70[[Fixed Cost]:[Fixed Cost]]
- (Table70[[Funding Rate]:[Funding Rate]]
   *Table70[[Tenure (in months)]:[Tenure (in months)]]
   *$F$3*(1+$Q45)/12)
- (
   IF($Q45&lt;0,
      'Dynamic CM'!$G$3,
      'Dynamic CM'!$G$3*(( $F$3*(1+$Q45) / $F$3 )^'Dynamic CM'!$H$3)
     )
   *Table70[[LGD]:[LGD]]
   *$F$3*(1+$Q45)
 )</f>
        <v>-59.098900781633205</v>
      </c>
      <c r="S45" s="99" cm="1">
        <f t="array" ref="S45">($F$4*(1+$Q45)*'User Segmentation'!$I$49)
- Table70[[Fixed Cost]:[Fixed Cost]]
- (Table70[[Funding Rate]:[Funding Rate]]
   *Table70[[Tenure (in months)]:[Tenure (in months)]]
   *$F$4*(1+$Q45)/12)
- (
   IF($Q45&lt;0,
      'Dynamic CM'!$G$4,
      'Dynamic CM'!$G$4*(( $F$4*(1+$Q45) / $F$4 )^'Dynamic CM'!$H$4)
     )
   *Table70[[LGD]:[LGD]]
   *$F$4*(1+$Q45)
 )</f>
        <v>-6.4646160756439386</v>
      </c>
      <c r="T45" s="99" cm="1">
        <f t="array" ref="T45">($F$5*(1+$Q45)*'User Segmentation'!$I$49)
- Table70[[Fixed Cost]:[Fixed Cost]]
- (Table70[[Funding Rate]:[Funding Rate]]
   *Table70[[Tenure (in months)]:[Tenure (in months)]]
   *$F$5*(1+$Q45)/12)
- (
   IF($Q45&lt;0,
      'Dynamic CM'!$G$5,
      'Dynamic CM'!$G$5*(( $F$5*(1+$Q45) / $F$5 )^'Dynamic CM'!$H$5)
     )
   *Table70[[LGD]:[LGD]]
   *$F$5*(1+$Q45)
 )</f>
        <v>34.614187815718992</v>
      </c>
      <c r="U45" s="99" cm="1">
        <f t="array" ref="U45">($F$6*(1+$Q45)*'User Segmentation'!$I$49)
- Table70[[Fixed Cost]:[Fixed Cost]]
- (Table70[[Funding Rate]:[Funding Rate]]
   *Table70[[Tenure (in months)]:[Tenure (in months)]]
   *$F$6*(1+$Q45)/12)
- (
   IF($Q45&lt;0,
      'Dynamic CM'!$G$6,
      'Dynamic CM'!$G$6*(( $F$6*(1+$Q45) / $F$6)^'Dynamic CM'!$H$6)
     )
   *Table70[[LGD]:[LGD]]
   *$F$6*(1+$Q45)
 )</f>
        <v>-5.9886013937150331</v>
      </c>
    </row>
    <row r="46" spans="1:21" x14ac:dyDescent="0.2">
      <c r="Q46" s="64">
        <v>2.8</v>
      </c>
      <c r="R46" s="99" cm="1">
        <f t="array" ref="R46">($F$3*(1+$Q46)*'User Segmentation'!$I$49)
- Table70[[Fixed Cost]:[Fixed Cost]]
- (Table70[[Funding Rate]:[Funding Rate]]
   *Table70[[Tenure (in months)]:[Tenure (in months)]]
   *$F$3*(1+$Q46)/12)
- (
   IF($Q46&lt;0,
      'Dynamic CM'!$G$3,
      'Dynamic CM'!$G$3*(( $F$3*(1+$Q46) / $F$3 )^'Dynamic CM'!$H$3)
     )
   *Table70[[LGD]:[LGD]]
   *$F$3*(1+$Q46)
 )</f>
        <v>-63.966783676315032</v>
      </c>
      <c r="S46" s="99" cm="1">
        <f t="array" ref="S46">($F$4*(1+$Q46)*'User Segmentation'!$I$49)
- Table70[[Fixed Cost]:[Fixed Cost]]
- (Table70[[Funding Rate]:[Funding Rate]]
   *Table70[[Tenure (in months)]:[Tenure (in months)]]
   *$F$4*(1+$Q46)/12)
- (
   IF($Q46&lt;0,
      'Dynamic CM'!$G$4,
      'Dynamic CM'!$G$4*(( $F$4*(1+$Q46) / $F$4 )^'Dynamic CM'!$H$4)
     )
   *Table70[[LGD]:[LGD]]
   *$F$4*(1+$Q46)
 )</f>
        <v>-7.5324806729954403</v>
      </c>
      <c r="T46" s="99" cm="1">
        <f t="array" ref="T46">($F$5*(1+$Q46)*'User Segmentation'!$I$49)
- Table70[[Fixed Cost]:[Fixed Cost]]
- (Table70[[Funding Rate]:[Funding Rate]]
   *Table70[[Tenure (in months)]:[Tenure (in months)]]
   *$F$5*(1+$Q46)/12)
- (
   IF($Q46&lt;0,
      'Dynamic CM'!$G$5,
      'Dynamic CM'!$G$5*(( $F$5*(1+$Q46) / $F$5 )^'Dynamic CM'!$H$5)
     )
   *Table70[[LGD]:[LGD]]
   *$F$5*(1+$Q46)
 )</f>
        <v>33.649783646521328</v>
      </c>
      <c r="U46" s="99" cm="1">
        <f t="array" ref="U46">($F$6*(1+$Q46)*'User Segmentation'!$I$49)
- Table70[[Fixed Cost]:[Fixed Cost]]
- (Table70[[Funding Rate]:[Funding Rate]]
   *Table70[[Tenure (in months)]:[Tenure (in months)]]
   *$F$6*(1+$Q46)/12)
- (
   IF($Q46&lt;0,
      'Dynamic CM'!$G$6,
      'Dynamic CM'!$G$6*(( $F$6*(1+$Q46) / $F$6)^'Dynamic CM'!$H$6)
     )
   *Table70[[LGD]:[LGD]]
   *$F$6*(1+$Q46)
 )</f>
        <v>-6.7438387832276092</v>
      </c>
    </row>
    <row r="47" spans="1:21" x14ac:dyDescent="0.2">
      <c r="Q47" s="64">
        <v>2.9</v>
      </c>
      <c r="R47" s="99" cm="1">
        <f t="array" ref="R47">($F$3*(1+$Q47)*'User Segmentation'!$I$49)
- Table70[[Fixed Cost]:[Fixed Cost]]
- (Table70[[Funding Rate]:[Funding Rate]]
   *Table70[[Tenure (in months)]:[Tenure (in months)]]
   *$F$3*(1+$Q47)/12)
- (
   IF($Q47&lt;0,
      'Dynamic CM'!$G$3,
      'Dynamic CM'!$G$3*(( $F$3*(1+$Q47) / $F$3 )^'Dynamic CM'!$H$3)
     )
   *Table70[[LGD]:[LGD]]
   *$F$3*(1+$Q47)
 )</f>
        <v>-69.092593861571288</v>
      </c>
      <c r="S47" s="99" cm="1">
        <f t="array" ref="S47">($F$4*(1+$Q47)*'User Segmentation'!$I$49)
- Table70[[Fixed Cost]:[Fixed Cost]]
- (Table70[[Funding Rate]:[Funding Rate]]
   *Table70[[Tenure (in months)]:[Tenure (in months)]]
   *$F$4*(1+$Q47)/12)
- (
   IF($Q47&lt;0,
      'Dynamic CM'!$G$4,
      'Dynamic CM'!$G$4*(( $F$4*(1+$Q47) / $F$4 )^'Dynamic CM'!$H$4)
     )
   *Table70[[LGD]:[LGD]]
   *$F$4*(1+$Q47)
 )</f>
        <v>-8.6600766216684733</v>
      </c>
      <c r="T47" s="99" cm="1">
        <f t="array" ref="T47">($F$5*(1+$Q47)*'User Segmentation'!$I$49)
- Table70[[Fixed Cost]:[Fixed Cost]]
- (Table70[[Funding Rate]:[Funding Rate]]
   *Table70[[Tenure (in months)]:[Tenure (in months)]]
   *$F$5*(1+$Q47)/12)
- (
   IF($Q47&lt;0,
      'Dynamic CM'!$G$5,
      'Dynamic CM'!$G$5*(( $F$5*(1+$Q47) / $F$5 )^'Dynamic CM'!$H$5)
     )
   *Table70[[LGD]:[LGD]]
   *$F$5*(1+$Q47)
 )</f>
        <v>32.577313389282224</v>
      </c>
      <c r="U47" s="99" cm="1">
        <f t="array" ref="U47">($F$6*(1+$Q47)*'User Segmentation'!$I$49)
- Table70[[Fixed Cost]:[Fixed Cost]]
- (Table70[[Funding Rate]:[Funding Rate]]
   *Table70[[Tenure (in months)]:[Tenure (in months)]]
   *$F$6*(1+$Q47)/12)
- (
   IF($Q47&lt;0,
      'Dynamic CM'!$G$6,
      'Dynamic CM'!$G$6*(( $F$6*(1+$Q47) / $F$6)^'Dynamic CM'!$H$6)
     )
   *Table70[[LGD]:[LGD]]
   *$F$6*(1+$Q47)
 )</f>
        <v>-7.5404286467320176</v>
      </c>
    </row>
    <row r="48" spans="1:21" x14ac:dyDescent="0.2">
      <c r="Q48" s="64">
        <v>3</v>
      </c>
      <c r="R48" s="99" cm="1">
        <f t="array" ref="R48">($F$3*(1+$Q48)*'User Segmentation'!$I$49)
- Table70[[Fixed Cost]:[Fixed Cost]]
- (Table70[[Funding Rate]:[Funding Rate]]
   *Table70[[Tenure (in months)]:[Tenure (in months)]]
   *$F$3*(1+$Q48)/12)
- (
   IF($Q48&lt;0,
      'Dynamic CM'!$G$3,
      'Dynamic CM'!$G$3*(( $F$3*(1+$Q48) / $F$3 )^'Dynamic CM'!$H$3)
     )
   *Table70[[LGD]:[LGD]]
   *$F$3*(1+$Q48)
 )</f>
        <v>-74.482363682077036</v>
      </c>
      <c r="S48" s="99" cm="1">
        <f t="array" ref="S48">($F$4*(1+$Q48)*'User Segmentation'!$I$49)
- Table70[[Fixed Cost]:[Fixed Cost]]
- (Table70[[Funding Rate]:[Funding Rate]]
   *Table70[[Tenure (in months)]:[Tenure (in months)]]
   *$F$4*(1+$Q48)/12)
- (
   IF($Q48&lt;0,
      'Dynamic CM'!$G$4,
      'Dynamic CM'!$G$4*(( $F$4*(1+$Q48) / $F$4 )^'Dynamic CM'!$H$4)
     )
   *Table70[[LGD]:[LGD]]
   *$F$4*(1+$Q48)
 )</f>
        <v>-9.847902525456913</v>
      </c>
      <c r="T48" s="99" cm="1">
        <f t="array" ref="T48">($F$5*(1+$Q48)*'User Segmentation'!$I$49)
- Table70[[Fixed Cost]:[Fixed Cost]]
- (Table70[[Funding Rate]:[Funding Rate]]
   *Table70[[Tenure (in months)]:[Tenure (in months)]]
   *$F$5*(1+$Q48)/12)
- (
   IF($Q48&lt;0,
      'Dynamic CM'!$G$5,
      'Dynamic CM'!$G$5*(( $F$5*(1+$Q48) / $F$5 )^'Dynamic CM'!$H$5)
     )
   *Table70[[LGD]:[LGD]]
   *$F$5*(1+$Q48)
 )</f>
        <v>31.396577537324845</v>
      </c>
      <c r="U48" s="99" cm="1">
        <f t="array" ref="U48">($F$6*(1+$Q48)*'User Segmentation'!$I$49)
- Table70[[Fixed Cost]:[Fixed Cost]]
- (Table70[[Funding Rate]:[Funding Rate]]
   *Table70[[Tenure (in months)]:[Tenure (in months)]]
   *$F$6*(1+$Q48)/12)
- (
   IF($Q48&lt;0,
      'Dynamic CM'!$G$6,
      'Dynamic CM'!$G$6*(( $F$6*(1+$Q48) / $F$6)^'Dynamic CM'!$H$6)
     )
   *Table70[[LGD]:[LGD]]
   *$F$6*(1+$Q48)
 )</f>
        <v>-8.3787161714701686</v>
      </c>
    </row>
    <row r="49" spans="17:21" x14ac:dyDescent="0.2">
      <c r="Q49" s="64">
        <v>3.1</v>
      </c>
      <c r="R49" s="99" cm="1">
        <f t="array" ref="R49">($F$3*(1+$Q49)*'User Segmentation'!$I$49)
- Table70[[Fixed Cost]:[Fixed Cost]]
- (Table70[[Funding Rate]:[Funding Rate]]
   *Table70[[Tenure (in months)]:[Tenure (in months)]]
   *$F$3*(1+$Q49)/12)
- (
   IF($Q49&lt;0,
      'Dynamic CM'!$G$3,
      'Dynamic CM'!$G$3*(( $F$3*(1+$Q49) / $F$3 )^'Dynamic CM'!$H$3)
     )
   *Table70[[LGD]:[LGD]]
   *$F$3*(1+$Q49)
 )</f>
        <v>-80.142108488146306</v>
      </c>
      <c r="S49" s="99" cm="1">
        <f t="array" ref="S49">($F$4*(1+$Q49)*'User Segmentation'!$I$49)
- Table70[[Fixed Cost]:[Fixed Cost]]
- (Table70[[Funding Rate]:[Funding Rate]]
   *Table70[[Tenure (in months)]:[Tenure (in months)]]
   *$F$4*(1+$Q49)/12)
- (
   IF($Q49&lt;0,
      'Dynamic CM'!$G$4,
      'Dynamic CM'!$G$4*(( $F$4*(1+$Q49) / $F$4 )^'Dynamic CM'!$H$4)
     )
   *Table70[[LGD]:[LGD]]
   *$F$4*(1+$Q49)
 )</f>
        <v>-11.096448367072426</v>
      </c>
      <c r="T49" s="99" cm="1">
        <f t="array" ref="T49">($F$5*(1+$Q49)*'User Segmentation'!$I$49)
- Table70[[Fixed Cost]:[Fixed Cost]]
- (Table70[[Funding Rate]:[Funding Rate]]
   *Table70[[Tenure (in months)]:[Tenure (in months)]]
   *$F$5*(1+$Q49)/12)
- (
   IF($Q49&lt;0,
      'Dynamic CM'!$G$5,
      'Dynamic CM'!$G$5*(( $F$5*(1+$Q49) / $F$5 )^'Dynamic CM'!$H$5)
     )
   *Table70[[LGD]:[LGD]]
   *$F$5*(1+$Q49)
 )</f>
        <v>30.107381281895726</v>
      </c>
      <c r="U49" s="99" cm="1">
        <f t="array" ref="U49">($F$6*(1+$Q49)*'User Segmentation'!$I$49)
- Table70[[Fixed Cost]:[Fixed Cost]]
- (Table70[[Funding Rate]:[Funding Rate]]
   *Table70[[Tenure (in months)]:[Tenure (in months)]]
   *$F$6*(1+$Q49)/12)
- (
   IF($Q49&lt;0,
      'Dynamic CM'!$G$6,
      'Dynamic CM'!$G$6*(( $F$6*(1+$Q49) / $F$6)^'Dynamic CM'!$H$6)
     )
   *Table70[[LGD]:[LGD]]
   *$F$6*(1+$Q49)
 )</f>
        <v>-9.2590405762424446</v>
      </c>
    </row>
    <row r="50" spans="17:21" x14ac:dyDescent="0.2">
      <c r="Q50" s="64">
        <v>3.2</v>
      </c>
      <c r="R50" s="99" cm="1">
        <f t="array" ref="R50">($F$3*(1+$Q50)*'User Segmentation'!$I$49)
- Table70[[Fixed Cost]:[Fixed Cost]]
- (Table70[[Funding Rate]:[Funding Rate]]
   *Table70[[Tenure (in months)]:[Tenure (in months)]]
   *$F$3*(1+$Q50)/12)
- (
   IF($Q50&lt;0,
      'Dynamic CM'!$G$3,
      'Dynamic CM'!$G$3*(( $F$3*(1+$Q50) / $F$3 )^'Dynamic CM'!$H$3)
     )
   *Table70[[LGD]:[LGD]]
   *$F$3*(1+$Q50)
 )</f>
        <v>-86.077827106881998</v>
      </c>
      <c r="S50" s="99" cm="1">
        <f t="array" ref="S50">($F$4*(1+$Q50)*'User Segmentation'!$I$49)
- Table70[[Fixed Cost]:[Fixed Cost]]
- (Table70[[Funding Rate]:[Funding Rate]]
   *Table70[[Tenure (in months)]:[Tenure (in months)]]
   *$F$4*(1+$Q50)/12)
- (
   IF($Q50&lt;0,
      'Dynamic CM'!$G$4,
      'Dynamic CM'!$G$4*(( $F$4*(1+$Q50) / $F$4 )^'Dynamic CM'!$H$4)
     )
   *Table70[[LGD]:[LGD]]
   *$F$4*(1+$Q50)
 )</f>
        <v>-12.406195867345389</v>
      </c>
      <c r="T50" s="99" cm="1">
        <f t="array" ref="T50">($F$5*(1+$Q50)*'User Segmentation'!$I$49)
- Table70[[Fixed Cost]:[Fixed Cost]]
- (Table70[[Funding Rate]:[Funding Rate]]
   *Table70[[Tenure (in months)]:[Tenure (in months)]]
   *$F$5*(1+$Q50)/12)
- (
   IF($Q50&lt;0,
      'Dynamic CM'!$G$5,
      'Dynamic CM'!$G$5*(( $F$5*(1+$Q50) / $F$5 )^'Dynamic CM'!$H$5)
     )
   *Table70[[LGD]:[LGD]]
   *$F$5*(1+$Q50)
 )</f>
        <v>28.709534288102986</v>
      </c>
      <c r="U50" s="99" cm="1">
        <f t="array" ref="U50">($F$6*(1+$Q50)*'User Segmentation'!$I$49)
- Table70[[Fixed Cost]:[Fixed Cost]]
- (Table70[[Funding Rate]:[Funding Rate]]
   *Table70[[Tenure (in months)]:[Tenure (in months)]]
   *$F$6*(1+$Q50)/12)
- (
   IF($Q50&lt;0,
      'Dynamic CM'!$G$6,
      'Dynamic CM'!$G$6*(( $F$6*(1+$Q50) / $F$6)^'Dynamic CM'!$H$6)
     )
   *Table70[[LGD]:[LGD]]
   *$F$6*(1+$Q50)
 )</f>
        <v>-10.181735360085266</v>
      </c>
    </row>
    <row r="51" spans="17:21" x14ac:dyDescent="0.2">
      <c r="Q51" s="64">
        <v>3.3</v>
      </c>
      <c r="R51" s="99" cm="1">
        <f t="array" ref="R51">($F$3*(1+$Q51)*'User Segmentation'!$I$49)
- Table70[[Fixed Cost]:[Fixed Cost]]
- (Table70[[Funding Rate]:[Funding Rate]]
   *Table70[[Tenure (in months)]:[Tenure (in months)]]
   *$F$3*(1+$Q51)/12)
- (
   IF($Q51&lt;0,
      'Dynamic CM'!$G$3,
      'Dynamic CM'!$G$3*(( $F$3*(1+$Q51) / $F$3 )^'Dynamic CM'!$H$3)
     )
   *Table70[[LGD]:[LGD]]
   *$F$3*(1+$Q51)
 )</f>
        <v>-92.295502289095921</v>
      </c>
      <c r="S51" s="99" cm="1">
        <f t="array" ref="S51">($F$4*(1+$Q51)*'User Segmentation'!$I$49)
- Table70[[Fixed Cost]:[Fixed Cost]]
- (Table70[[Funding Rate]:[Funding Rate]]
   *Table70[[Tenure (in months)]:[Tenure (in months)]]
   *$F$4*(1+$Q51)/12)
- (
   IF($Q51&lt;0,
      'Dynamic CM'!$G$4,
      'Dynamic CM'!$G$4*(( $F$4*(1+$Q51) / $F$4 )^'Dynamic CM'!$H$4)
     )
   *Table70[[LGD]:[LGD]]
   *$F$4*(1+$Q51)
 )</f>
        <v>-13.777618821125102</v>
      </c>
      <c r="T51" s="99" cm="1">
        <f t="array" ref="T51">($F$5*(1+$Q51)*'User Segmentation'!$I$49)
- Table70[[Fixed Cost]:[Fixed Cost]]
- (Table70[[Funding Rate]:[Funding Rate]]
   *Table70[[Tenure (in months)]:[Tenure (in months)]]
   *$F$5*(1+$Q51)/12)
- (
   IF($Q51&lt;0,
      'Dynamic CM'!$G$5,
      'Dynamic CM'!$G$5*(( $F$5*(1+$Q51) / $F$5 )^'Dynamic CM'!$H$5)
     )
   *Table70[[LGD]:[LGD]]
   *$F$5*(1+$Q51)
 )</f>
        <v>27.202850486691645</v>
      </c>
      <c r="U51" s="99" cm="1">
        <f t="array" ref="U51">($F$6*(1+$Q51)*'User Segmentation'!$I$49)
- Table70[[Fixed Cost]:[Fixed Cost]]
- (Table70[[Funding Rate]:[Funding Rate]]
   *Table70[[Tenure (in months)]:[Tenure (in months)]]
   *$F$6*(1+$Q51)/12)
- (
   IF($Q51&lt;0,
      'Dynamic CM'!$G$6,
      'Dynamic CM'!$G$6*(( $F$6*(1+$Q51) / $F$6)^'Dynamic CM'!$H$6)
     )
   *Table70[[LGD]:[LGD]]
   *$F$6*(1+$Q51)
 )</f>
        <v>-11.147128534817369</v>
      </c>
    </row>
    <row r="52" spans="17:21" x14ac:dyDescent="0.2">
      <c r="Q52" s="64">
        <v>3.4</v>
      </c>
      <c r="R52" s="99" cm="1">
        <f t="array" ref="R52">($F$3*(1+$Q52)*'User Segmentation'!$I$49)
- Table70[[Fixed Cost]:[Fixed Cost]]
- (Table70[[Funding Rate]:[Funding Rate]]
   *Table70[[Tenure (in months)]:[Tenure (in months)]]
   *$F$3*(1+$Q52)/12)
- (
   IF($Q52&lt;0,
      'Dynamic CM'!$G$3,
      'Dynamic CM'!$G$3*(( $F$3*(1+$Q52) / $F$3 )^'Dynamic CM'!$H$3)
     )
   *Table70[[LGD]:[LGD]]
   *$F$3*(1+$Q52)
 )</f>
        <v>-98.801101133793594</v>
      </c>
      <c r="S52" s="99" cm="1">
        <f t="array" ref="S52">($F$4*(1+$Q52)*'User Segmentation'!$I$49)
- Table70[[Fixed Cost]:[Fixed Cost]]
- (Table70[[Funding Rate]:[Funding Rate]]
   *Table70[[Tenure (in months)]:[Tenure (in months)]]
   *$F$4*(1+$Q52)/12)
- (
   IF($Q52&lt;0,
      'Dynamic CM'!$G$4,
      'Dynamic CM'!$G$4*(( $F$4*(1+$Q52) / $F$4 )^'Dynamic CM'!$H$4)
     )
   *Table70[[LGD]:[LGD]]
   *$F$4*(1+$Q52)
 )</f>
        <v>-15.211183411906049</v>
      </c>
      <c r="T52" s="99" cm="1">
        <f t="array" ref="T52">($F$5*(1+$Q52)*'User Segmentation'!$I$49)
- Table70[[Fixed Cost]:[Fixed Cost]]
- (Table70[[Funding Rate]:[Funding Rate]]
   *Table70[[Tenure (in months)]:[Tenure (in months)]]
   *$F$5*(1+$Q52)/12)
- (
   IF($Q52&lt;0,
      'Dynamic CM'!$G$5,
      'Dynamic CM'!$G$5*(( $F$5*(1+$Q52) / $F$5 )^'Dynamic CM'!$H$5)
     )
   *Table70[[LGD]:[LGD]]
   *$F$5*(1+$Q52)
 )</f>
        <v>25.58714788018942</v>
      </c>
      <c r="U52" s="99" cm="1">
        <f t="array" ref="U52">($F$6*(1+$Q52)*'User Segmentation'!$I$49)
- Table70[[Fixed Cost]:[Fixed Cost]]
- (Table70[[Funding Rate]:[Funding Rate]]
   *Table70[[Tenure (in months)]:[Tenure (in months)]]
   *$F$6*(1+$Q52)/12)
- (
   IF($Q52&lt;0,
      'Dynamic CM'!$G$6,
      'Dynamic CM'!$G$6*(( $F$6*(1+$Q52) / $F$6)^'Dynamic CM'!$H$6)
     )
   *Table70[[LGD]:[LGD]]
   *$F$6*(1+$Q52)
 )</f>
        <v>-12.155542842858036</v>
      </c>
    </row>
    <row r="53" spans="17:21" x14ac:dyDescent="0.2">
      <c r="Q53" s="64">
        <v>3.5</v>
      </c>
      <c r="R53" s="99" cm="1">
        <f t="array" ref="R53">($F$3*(1+$Q53)*'User Segmentation'!$I$49)
- Table70[[Fixed Cost]:[Fixed Cost]]
- (Table70[[Funding Rate]:[Funding Rate]]
   *Table70[[Tenure (in months)]:[Tenure (in months)]]
   *$F$3*(1+$Q53)/12)
- (
   IF($Q53&lt;0,
      'Dynamic CM'!$G$3,
      'Dynamic CM'!$G$3*(( $F$3*(1+$Q53) / $F$3 )^'Dynamic CM'!$H$3)
     )
   *Table70[[LGD]:[LGD]]
   *$F$3*(1+$Q53)
 )</f>
        <v>-105.60057549184353</v>
      </c>
      <c r="S53" s="99" cm="1">
        <f t="array" ref="S53">($F$4*(1+$Q53)*'User Segmentation'!$I$49)
- Table70[[Fixed Cost]:[Fixed Cost]]
- (Table70[[Funding Rate]:[Funding Rate]]
   *Table70[[Tenure (in months)]:[Tenure (in months)]]
   *$F$4*(1+$Q53)/12)
- (
   IF($Q53&lt;0,
      'Dynamic CM'!$G$4,
      'Dynamic CM'!$G$4*(( $F$4*(1+$Q53) / $F$4 )^'Dynamic CM'!$H$4)
     )
   *Table70[[LGD]:[LGD]]
   *$F$4*(1+$Q53)
 )</f>
        <v>-16.707348506987699</v>
      </c>
      <c r="T53" s="99" cm="1">
        <f t="array" ref="T53">($F$5*(1+$Q53)*'User Segmentation'!$I$49)
- Table70[[Fixed Cost]:[Fixed Cost]]
- (Table70[[Funding Rate]:[Funding Rate]]
   *Table70[[Tenure (in months)]:[Tenure (in months)]]
   *$F$5*(1+$Q53)/12)
- (
   IF($Q53&lt;0,
      'Dynamic CM'!$G$5,
      'Dynamic CM'!$G$5*(( $F$5*(1+$Q53) / $F$5 )^'Dynamic CM'!$H$5)
     )
   *Table70[[LGD]:[LGD]]
   *$F$5*(1+$Q53)
 )</f>
        <v>23.86224836212341</v>
      </c>
      <c r="U53" s="99" cm="1">
        <f t="array" ref="U53">($F$6*(1+$Q53)*'User Segmentation'!$I$49)
- Table70[[Fixed Cost]:[Fixed Cost]]
- (Table70[[Funding Rate]:[Funding Rate]]
   *Table70[[Tenure (in months)]:[Tenure (in months)]]
   *$F$6*(1+$Q53)/12)
- (
   IF($Q53&lt;0,
      'Dynamic CM'!$G$6,
      'Dynamic CM'!$G$6*(( $F$6*(1+$Q53) / $F$6)^'Dynamic CM'!$H$6)
     )
   *Table70[[LGD]:[LGD]]
   *$F$6*(1+$Q53)
 )</f>
        <v>-13.207295961568402</v>
      </c>
    </row>
    <row r="54" spans="17:21" x14ac:dyDescent="0.2">
      <c r="Q54" s="64">
        <v>3.6</v>
      </c>
      <c r="R54" s="99" cm="1">
        <f t="array" ref="R54">($F$3*(1+$Q54)*'User Segmentation'!$I$49)
- Table70[[Fixed Cost]:[Fixed Cost]]
- (Table70[[Funding Rate]:[Funding Rate]]
   *Table70[[Tenure (in months)]:[Tenure (in months)]]
   *$F$3*(1+$Q54)/12)
- (
   IF($Q54&lt;0,
      'Dynamic CM'!$G$3,
      'Dynamic CM'!$G$3*(( $F$3*(1+$Q54) / $F$3 )^'Dynamic CM'!$H$3)
     )
   *Table70[[LGD]:[LGD]]
   *$F$3*(1+$Q54)
 )</f>
        <v>-112.69986235030338</v>
      </c>
      <c r="S54" s="99" cm="1">
        <f t="array" ref="S54">($F$4*(1+$Q54)*'User Segmentation'!$I$49)
- Table70[[Fixed Cost]:[Fixed Cost]]
- (Table70[[Funding Rate]:[Funding Rate]]
   *Table70[[Tenure (in months)]:[Tenure (in months)]]
   *$F$4*(1+$Q54)/12)
- (
   IF($Q54&lt;0,
      'Dynamic CM'!$G$4,
      'Dynamic CM'!$G$4*(( $F$4*(1+$Q54) / $F$4 )^'Dynamic CM'!$H$4)
     )
   *Table70[[LGD]:[LGD]]
   *$F$4*(1+$Q54)
 )</f>
        <v>-18.266565934784811</v>
      </c>
      <c r="T54" s="99" cm="1">
        <f t="array" ref="T54">($F$5*(1+$Q54)*'User Segmentation'!$I$49)
- Table70[[Fixed Cost]:[Fixed Cost]]
- (Table70[[Funding Rate]:[Funding Rate]]
   *Table70[[Tenure (in months)]:[Tenure (in months)]]
   *$F$5*(1+$Q54)/12)
- (
   IF($Q54&lt;0,
      'Dynamic CM'!$G$5,
      'Dynamic CM'!$G$5*(( $F$5*(1+$Q54) / $F$5 )^'Dynamic CM'!$H$5)
     )
   *Table70[[LGD]:[LGD]]
   *$F$5*(1+$Q54)
 )</f>
        <v>22.027977548151711</v>
      </c>
      <c r="U54" s="99" cm="1">
        <f t="array" ref="U54">($F$6*(1+$Q54)*'User Segmentation'!$I$49)
- Table70[[Fixed Cost]:[Fixed Cost]]
- (Table70[[Funding Rate]:[Funding Rate]]
   *Table70[[Tenure (in months)]:[Tenure (in months)]]
   *$F$6*(1+$Q54)/12)
- (
   IF($Q54&lt;0,
      'Dynamic CM'!$G$6,
      'Dynamic CM'!$G$6*(( $F$6*(1+$Q54) / $F$6)^'Dynamic CM'!$H$6)
     )
   *Table70[[LGD]:[LGD]]
   *$F$6*(1+$Q54)
 )</f>
        <v>-14.302700695235629</v>
      </c>
    </row>
    <row r="55" spans="17:21" x14ac:dyDescent="0.2">
      <c r="Q55" s="64">
        <v>3.7</v>
      </c>
      <c r="R55" s="99" cm="1">
        <f t="array" ref="R55">($F$3*(1+$Q55)*'User Segmentation'!$I$49)
- Table70[[Fixed Cost]:[Fixed Cost]]
- (Table70[[Funding Rate]:[Funding Rate]]
   *Table70[[Tenure (in months)]:[Tenure (in months)]]
   *$F$3*(1+$Q55)/12)
- (
   IF($Q55&lt;0,
      'Dynamic CM'!$G$3,
      'Dynamic CM'!$G$3*(( $F$3*(1+$Q55) / $F$3 )^'Dynamic CM'!$H$3)
     )
   *Table70[[LGD]:[LGD]]
   *$F$3*(1+$Q55)
 )</f>
        <v>-120.1048841987384</v>
      </c>
      <c r="S55" s="99" cm="1">
        <f t="array" ref="S55">($F$4*(1+$Q55)*'User Segmentation'!$I$49)
- Table70[[Fixed Cost]:[Fixed Cost]]
- (Table70[[Funding Rate]:[Funding Rate]]
   *Table70[[Tenure (in months)]:[Tenure (in months)]]
   *$F$4*(1+$Q55)/12)
- (
   IF($Q55&lt;0,
      'Dynamic CM'!$G$4,
      'Dynamic CM'!$G$4*(( $F$4*(1+$Q55) / $F$4 )^'Dynamic CM'!$H$4)
     )
   *Table70[[LGD]:[LGD]]
   *$F$4*(1+$Q55)
 )</f>
        <v>-19.889280745737874</v>
      </c>
      <c r="T55" s="99" cm="1">
        <f t="array" ref="T55">($F$5*(1+$Q55)*'User Segmentation'!$I$49)
- Table70[[Fixed Cost]:[Fixed Cost]]
- (Table70[[Funding Rate]:[Funding Rate]]
   *Table70[[Tenure (in months)]:[Tenure (in months)]]
   *$F$5*(1+$Q55)/12)
- (
   IF($Q55&lt;0,
      'Dynamic CM'!$G$5,
      'Dynamic CM'!$G$5*(( $F$5*(1+$Q55) / $F$5 )^'Dynamic CM'!$H$5)
     )
   *Table70[[LGD]:[LGD]]
   *$F$5*(1+$Q55)
 )</f>
        <v>20.084164618079512</v>
      </c>
      <c r="U55" s="99" cm="1">
        <f t="array" ref="U55">($F$6*(1+$Q55)*'User Segmentation'!$I$49)
- Table70[[Fixed Cost]:[Fixed Cost]]
- (Table70[[Funding Rate]:[Funding Rate]]
   *Table70[[Tenure (in months)]:[Tenure (in months)]]
   *$F$6*(1+$Q55)/12)
- (
   IF($Q55&lt;0,
      'Dynamic CM'!$G$6,
      'Dynamic CM'!$G$6*(( $F$6*(1+$Q55) / $F$6)^'Dynamic CM'!$H$6)
     )
   *Table70[[LGD]:[LGD]]
   *$F$6*(1+$Q55)
 )</f>
        <v>-15.442065155703144</v>
      </c>
    </row>
    <row r="56" spans="17:21" x14ac:dyDescent="0.2">
      <c r="Q56" s="64">
        <v>3.8</v>
      </c>
      <c r="R56" s="99" cm="1">
        <f t="array" ref="R56">($F$3*(1+$Q56)*'User Segmentation'!$I$49)
- Table70[[Fixed Cost]:[Fixed Cost]]
- (Table70[[Funding Rate]:[Funding Rate]]
   *Table70[[Tenure (in months)]:[Tenure (in months)]]
   *$F$3*(1+$Q56)/12)
- (
   IF($Q56&lt;0,
      'Dynamic CM'!$G$3,
      'Dynamic CM'!$G$3*(( $F$3*(1+$Q56) / $F$3 )^'Dynamic CM'!$H$3)
     )
   *Table70[[LGD]:[LGD]]
   *$F$3*(1+$Q56)
 )</f>
        <v>-127.82154937874782</v>
      </c>
      <c r="S56" s="99" cm="1">
        <f t="array" ref="S56">($F$4*(1+$Q56)*'User Segmentation'!$I$49)
- Table70[[Fixed Cost]:[Fixed Cost]]
- (Table70[[Funding Rate]:[Funding Rate]]
   *Table70[[Tenure (in months)]:[Tenure (in months)]]
   *$F$4*(1+$Q56)/12)
- (
   IF($Q56&lt;0,
      'Dynamic CM'!$G$4,
      'Dynamic CM'!$G$4*(( $F$4*(1+$Q56) / $F$4 )^'Dynamic CM'!$H$4)
     )
   *Table70[[LGD]:[LGD]]
   *$F$4*(1+$Q56)
 )</f>
        <v>-21.57593145812659</v>
      </c>
      <c r="T56" s="99" cm="1">
        <f t="array" ref="T56">($F$5*(1+$Q56)*'User Segmentation'!$I$49)
- Table70[[Fixed Cost]:[Fixed Cost]]
- (Table70[[Funding Rate]:[Funding Rate]]
   *Table70[[Tenure (in months)]:[Tenure (in months)]]
   *$F$5*(1+$Q56)/12)
- (
   IF($Q56&lt;0,
      'Dynamic CM'!$G$5,
      'Dynamic CM'!$G$5*(( $F$5*(1+$Q56) / $F$5 )^'Dynamic CM'!$H$5)
     )
   *Table70[[LGD]:[LGD]]
   *$F$5*(1+$Q56)
 )</f>
        <v>18.030642167839105</v>
      </c>
      <c r="U56" s="99" cm="1">
        <f t="array" ref="U56">($F$6*(1+$Q56)*'User Segmentation'!$I$49)
- Table70[[Fixed Cost]:[Fixed Cost]]
- (Table70[[Funding Rate]:[Funding Rate]]
   *Table70[[Tenure (in months)]:[Tenure (in months)]]
   *$F$6*(1+$Q56)/12)
- (
   IF($Q56&lt;0,
      'Dynamic CM'!$G$6,
      'Dynamic CM'!$G$6*(( $F$6*(1+$Q56) / $F$6)^'Dynamic CM'!$H$6)
     )
   *Table70[[LGD]:[LGD]]
   *$F$6*(1+$Q56)
 )</f>
        <v>-16.625692932549182</v>
      </c>
    </row>
    <row r="57" spans="17:21" x14ac:dyDescent="0.2">
      <c r="Q57" s="64">
        <v>3.9</v>
      </c>
      <c r="R57" s="99" cm="1">
        <f t="array" ref="R57">($F$3*(1+$Q57)*'User Segmentation'!$I$49)
- Table70[[Fixed Cost]:[Fixed Cost]]
- (Table70[[Funding Rate]:[Funding Rate]]
   *Table70[[Tenure (in months)]:[Tenure (in months)]]
   *$F$3*(1+$Q57)/12)
- (
   IF($Q57&lt;0,
      'Dynamic CM'!$G$3,
      'Dynamic CM'!$G$3*(( $F$3*(1+$Q57) / $F$3 )^'Dynamic CM'!$H$3)
     )
   *Table70[[LGD]:[LGD]]
   *$F$3*(1+$Q57)
 )</f>
        <v>-135.85575241781257</v>
      </c>
      <c r="S57" s="99" cm="1">
        <f t="array" ref="S57">($F$4*(1+$Q57)*'User Segmentation'!$I$49)
- Table70[[Fixed Cost]:[Fixed Cost]]
- (Table70[[Funding Rate]:[Funding Rate]]
   *Table70[[Tenure (in months)]:[Tenure (in months)]]
   *$F$4*(1+$Q57)/12)
- (
   IF($Q57&lt;0,
      'Dynamic CM'!$G$4,
      'Dynamic CM'!$G$4*(( $F$4*(1+$Q57) / $F$4 )^'Dynamic CM'!$H$4)
     )
   *Table70[[LGD]:[LGD]]
   *$F$4*(1+$Q57)
 )</f>
        <v>-23.326950289961349</v>
      </c>
      <c r="T57" s="99" cm="1">
        <f t="array" ref="T57">($F$5*(1+$Q57)*'User Segmentation'!$I$49)
- Table70[[Fixed Cost]:[Fixed Cost]]
- (Table70[[Funding Rate]:[Funding Rate]]
   *Table70[[Tenure (in months)]:[Tenure (in months)]]
   *$F$5*(1+$Q57)/12)
- (
   IF($Q57&lt;0,
      'Dynamic CM'!$G$5,
      'Dynamic CM'!$G$5*(( $F$5*(1+$Q57) / $F$5 )^'Dynamic CM'!$H$5)
     )
   *Table70[[LGD]:[LGD]]
   *$F$5*(1+$Q57)
 )</f>
        <v>15.867246070608033</v>
      </c>
      <c r="U57" s="99" cm="1">
        <f t="array" ref="U57">($F$6*(1+$Q57)*'User Segmentation'!$I$49)
- Table70[[Fixed Cost]:[Fixed Cost]]
- (Table70[[Funding Rate]:[Funding Rate]]
   *Table70[[Tenure (in months)]:[Tenure (in months)]]
   *$F$6*(1+$Q57)/12)
- (
   IF($Q57&lt;0,
      'Dynamic CM'!$G$6,
      'Dynamic CM'!$G$6*(( $F$6*(1+$Q57) / $F$6)^'Dynamic CM'!$H$6)
     )
   *Table70[[LGD]:[LGD]]
   *$F$6*(1+$Q57)
 )</f>
        <v>-17.853883253627092</v>
      </c>
    </row>
    <row r="58" spans="17:21" x14ac:dyDescent="0.2">
      <c r="Q58" s="64">
        <v>4</v>
      </c>
      <c r="R58" s="99" cm="1">
        <f t="array" ref="R58">($F$3*(1+$Q58)*'User Segmentation'!$I$49)
- Table70[[Fixed Cost]:[Fixed Cost]]
- (Table70[[Funding Rate]:[Funding Rate]]
   *Table70[[Tenure (in months)]:[Tenure (in months)]]
   *$F$3*(1+$Q58)/12)
- (
   IF($Q58&lt;0,
      'Dynamic CM'!$G$3,
      'Dynamic CM'!$G$3*(( $F$3*(1+$Q58) / $F$3 )^'Dynamic CM'!$H$3)
     )
   *Table70[[LGD]:[LGD]]
   *$F$3*(1+$Q58)
 )</f>
        <v>-144.21337434847572</v>
      </c>
      <c r="S58" s="99" cm="1">
        <f t="array" ref="S58">($F$4*(1+$Q58)*'User Segmentation'!$I$49)
- Table70[[Fixed Cost]:[Fixed Cost]]
- (Table70[[Funding Rate]:[Funding Rate]]
   *Table70[[Tenure (in months)]:[Tenure (in months)]]
   *$F$4*(1+$Q58)/12)
- (
   IF($Q58&lt;0,
      'Dynamic CM'!$G$4,
      'Dynamic CM'!$G$4*(( $F$4*(1+$Q58) / $F$4 )^'Dynamic CM'!$H$4)
     )
   *Table70[[LGD]:[LGD]]
   *$F$4*(1+$Q58)
 )</f>
        <v>-25.142763378012141</v>
      </c>
      <c r="T58" s="99" cm="1">
        <f t="array" ref="T58">($F$5*(1+$Q58)*'User Segmentation'!$I$49)
- Table70[[Fixed Cost]:[Fixed Cost]]
- (Table70[[Funding Rate]:[Funding Rate]]
   *Table70[[Tenure (in months)]:[Tenure (in months)]]
   *$F$5*(1+$Q58)/12)
- (
   IF($Q58&lt;0,
      'Dynamic CM'!$G$5,
      'Dynamic CM'!$G$5*(( $F$5*(1+$Q58) / $F$5 )^'Dynamic CM'!$H$5)
     )
   *Table70[[LGD]:[LGD]]
   *$F$5*(1+$Q58)
 )</f>
        <v>13.593815346324902</v>
      </c>
      <c r="U58" s="99" cm="1">
        <f t="array" ref="U58">($F$6*(1+$Q58)*'User Segmentation'!$I$49)
- Table70[[Fixed Cost]:[Fixed Cost]]
- (Table70[[Funding Rate]:[Funding Rate]]
   *Table70[[Tenure (in months)]:[Tenure (in months)]]
   *$F$6*(1+$Q58)/12)
- (
   IF($Q58&lt;0,
      'Dynamic CM'!$G$6,
      'Dynamic CM'!$G$6*(( $F$6*(1+$Q58) / $F$6)^'Dynamic CM'!$H$6)
     )
   *Table70[[LGD]:[LGD]]
   *$F$6*(1+$Q58)
 )</f>
        <v>-19.126931136700712</v>
      </c>
    </row>
    <row r="59" spans="17:21" x14ac:dyDescent="0.2">
      <c r="Q59" s="64">
        <v>4.0999999999999996</v>
      </c>
      <c r="R59" s="99" cm="1">
        <f t="array" ref="R59">($F$3*(1+$Q59)*'User Segmentation'!$I$49)
- Table70[[Fixed Cost]:[Fixed Cost]]
- (Table70[[Funding Rate]:[Funding Rate]]
   *Table70[[Tenure (in months)]:[Tenure (in months)]]
   *$F$3*(1+$Q59)/12)
- (
   IF($Q59&lt;0,
      'Dynamic CM'!$G$3,
      'Dynamic CM'!$G$3*(( $F$3*(1+$Q59) / $F$3 )^'Dynamic CM'!$H$3)
     )
   *Table70[[LGD]:[LGD]]
   *$F$3*(1+$Q59)
 )</f>
        <v>-152.90028301379016</v>
      </c>
      <c r="S59" s="99" cm="1">
        <f t="array" ref="S59">($F$4*(1+$Q59)*'User Segmentation'!$I$49)
- Table70[[Fixed Cost]:[Fixed Cost]]
- (Table70[[Funding Rate]:[Funding Rate]]
   *Table70[[Tenure (in months)]:[Tenure (in months)]]
   *$F$4*(1+$Q59)/12)
- (
   IF($Q59&lt;0,
      'Dynamic CM'!$G$4,
      'Dynamic CM'!$G$4*(( $F$4*(1+$Q59) / $F$4 )^'Dynamic CM'!$H$4)
     )
   *Table70[[LGD]:[LGD]]
   *$F$4*(1+$Q59)
 )</f>
        <v>-27.023790984936007</v>
      </c>
      <c r="T59" s="99" cm="1">
        <f t="array" ref="T59">($F$5*(1+$Q59)*'User Segmentation'!$I$49)
- Table70[[Fixed Cost]:[Fixed Cost]]
- (Table70[[Funding Rate]:[Funding Rate]]
   *Table70[[Tenure (in months)]:[Tenure (in months)]]
   *$F$5*(1+$Q59)/12)
- (
   IF($Q59&lt;0,
      'Dynamic CM'!$G$5,
      'Dynamic CM'!$G$5*(( $F$5*(1+$Q59) / $F$5 )^'Dynamic CM'!$H$5)
     )
   *Table70[[LGD]:[LGD]]
   *$F$5*(1+$Q59)
 )</f>
        <v>11.210192038934366</v>
      </c>
      <c r="U59" s="99" cm="1">
        <f t="array" ref="U59">($F$6*(1+$Q59)*'User Segmentation'!$I$49)
- Table70[[Fixed Cost]:[Fixed Cost]]
- (Table70[[Funding Rate]:[Funding Rate]]
   *Table70[[Tenure (in months)]:[Tenure (in months)]]
   *$F$6*(1+$Q59)/12)
- (
   IF($Q59&lt;0,
      'Dynamic CM'!$G$6,
      'Dynamic CM'!$G$6*(( $F$6*(1+$Q59) / $F$6)^'Dynamic CM'!$H$6)
     )
   *Table70[[LGD]:[LGD]]
   *$F$6*(1+$Q59)
 )</f>
        <v>-20.445127532840299</v>
      </c>
    </row>
    <row r="60" spans="17:21" x14ac:dyDescent="0.2">
      <c r="Q60" s="64">
        <v>4.2</v>
      </c>
      <c r="R60" s="99" cm="1">
        <f t="array" ref="R60">($F$3*(1+$Q60)*'User Segmentation'!$I$49)
- Table70[[Fixed Cost]:[Fixed Cost]]
- (Table70[[Funding Rate]:[Funding Rate]]
   *Table70[[Tenure (in months)]:[Tenure (in months)]]
   *$F$3*(1+$Q60)/12)
- (
   IF($Q60&lt;0,
      'Dynamic CM'!$G$3,
      'Dynamic CM'!$G$3*(( $F$3*(1+$Q60) / $F$3 )^'Dynamic CM'!$H$3)
     )
   *Table70[[LGD]:[LGD]]
   *$F$3*(1+$Q60)
 )</f>
        <v>-161.92233335988396</v>
      </c>
      <c r="S60" s="99" cm="1">
        <f t="array" ref="S60">($F$4*(1+$Q60)*'User Segmentation'!$I$49)
- Table70[[Fixed Cost]:[Fixed Cost]]
- (Table70[[Funding Rate]:[Funding Rate]]
   *Table70[[Tenure (in months)]:[Tenure (in months)]]
   *$F$4*(1+$Q60)/12)
- (
   IF($Q60&lt;0,
      'Dynamic CM'!$G$4,
      'Dynamic CM'!$G$4*(( $F$4*(1+$Q60) / $F$4 )^'Dynamic CM'!$H$4)
     )
   *Table70[[LGD]:[LGD]]
   *$F$4*(1+$Q60)
 )</f>
        <v>-28.970447695372329</v>
      </c>
      <c r="T60" s="99" cm="1">
        <f t="array" ref="T60">($F$5*(1+$Q60)*'User Segmentation'!$I$49)
- Table70[[Fixed Cost]:[Fixed Cost]]
- (Table70[[Funding Rate]:[Funding Rate]]
   *Table70[[Tenure (in months)]:[Tenure (in months)]]
   *$F$5*(1+$Q60)/12)
- (
   IF($Q60&lt;0,
      'Dynamic CM'!$G$5,
      'Dynamic CM'!$G$5*(( $F$5*(1+$Q60) / $F$5 )^'Dynamic CM'!$H$5)
     )
   *Table70[[LGD]:[LGD]]
   *$F$5*(1+$Q60)
 )</f>
        <v>8.7162211007603219</v>
      </c>
      <c r="U60" s="99" cm="1">
        <f t="array" ref="U60">($F$6*(1+$Q60)*'User Segmentation'!$I$49)
- Table70[[Fixed Cost]:[Fixed Cost]]
- (Table70[[Funding Rate]:[Funding Rate]]
   *Table70[[Tenure (in months)]:[Tenure (in months)]]
   *$F$6*(1+$Q60)/12)
- (
   IF($Q60&lt;0,
      'Dynamic CM'!$G$6,
      'Dynamic CM'!$G$6*(( $F$6*(1+$Q60) / $F$6)^'Dynamic CM'!$H$6)
     )
   *Table70[[LGD]:[LGD]]
   *$F$6*(1+$Q60)
 )</f>
        <v>-21.808759462180831</v>
      </c>
    </row>
    <row r="61" spans="17:21" x14ac:dyDescent="0.2">
      <c r="Q61" s="64">
        <v>4.3</v>
      </c>
      <c r="R61" s="99" cm="1">
        <f t="array" ref="R61">($F$3*(1+$Q61)*'User Segmentation'!$I$49)
- Table70[[Fixed Cost]:[Fixed Cost]]
- (Table70[[Funding Rate]:[Funding Rate]]
   *Table70[[Tenure (in months)]:[Tenure (in months)]]
   *$F$3*(1+$Q61)/12)
- (
   IF($Q61&lt;0,
      'Dynamic CM'!$G$3,
      'Dynamic CM'!$G$3*(( $F$3*(1+$Q61) / $F$3 )^'Dynamic CM'!$H$3)
     )
   *Table70[[LGD]:[LGD]]
   *$F$3*(1+$Q61)
 )</f>
        <v>-171.28536771642996</v>
      </c>
      <c r="S61" s="99" cm="1">
        <f t="array" ref="S61">($F$4*(1+$Q61)*'User Segmentation'!$I$49)
- Table70[[Fixed Cost]:[Fixed Cost]]
- (Table70[[Funding Rate]:[Funding Rate]]
   *Table70[[Tenure (in months)]:[Tenure (in months)]]
   *$F$4*(1+$Q61)/12)
- (
   IF($Q61&lt;0,
      'Dynamic CM'!$G$4,
      'Dynamic CM'!$G$4*(( $F$4*(1+$Q61) / $F$4 )^'Dynamic CM'!$H$4)
     )
   *Table70[[LGD]:[LGD]]
   *$F$4*(1+$Q61)
 )</f>
        <v>-30.983142601797965</v>
      </c>
      <c r="T61" s="99" cm="1">
        <f t="array" ref="T61">($F$5*(1+$Q61)*'User Segmentation'!$I$49)
- Table70[[Fixed Cost]:[Fixed Cost]]
- (Table70[[Funding Rate]:[Funding Rate]]
   *Table70[[Tenure (in months)]:[Tenure (in months)]]
   *$F$5*(1+$Q61)/12)
- (
   IF($Q61&lt;0,
      'Dynamic CM'!$G$5,
      'Dynamic CM'!$G$5*(( $F$5*(1+$Q61) / $F$5 )^'Dynamic CM'!$H$5)
     )
   *Table70[[LGD]:[LGD]]
   *$F$5*(1+$Q61)
 )</f>
        <v>6.1117502834619586</v>
      </c>
      <c r="U61" s="99" cm="1">
        <f t="array" ref="U61">($F$6*(1+$Q61)*'User Segmentation'!$I$49)
- Table70[[Fixed Cost]:[Fixed Cost]]
- (Table70[[Funding Rate]:[Funding Rate]]
   *Table70[[Tenure (in months)]:[Tenure (in months)]]
   *$F$6*(1+$Q61)/12)
- (
   IF($Q61&lt;0,
      'Dynamic CM'!$G$6,
      'Dynamic CM'!$G$6*(( $F$6*(1+$Q61) / $F$6)^'Dynamic CM'!$H$6)
     )
   *Table70[[LGD]:[LGD]]
   *$F$6*(1+$Q61)
 )</f>
        <v>-23.218110142590895</v>
      </c>
    </row>
    <row r="62" spans="17:21" x14ac:dyDescent="0.2">
      <c r="Q62" s="64">
        <v>4.4000000000000004</v>
      </c>
      <c r="R62" s="99" cm="1">
        <f t="array" ref="R62">($F$3*(1+$Q62)*'User Segmentation'!$I$49)
- Table70[[Fixed Cost]:[Fixed Cost]]
- (Table70[[Funding Rate]:[Funding Rate]]
   *Table70[[Tenure (in months)]:[Tenure (in months)]]
   *$F$3*(1+$Q62)/12)
- (
   IF($Q62&lt;0,
      'Dynamic CM'!$G$3,
      'Dynamic CM'!$G$3*(( $F$3*(1+$Q62) / $F$3 )^'Dynamic CM'!$H$3)
     )
   *Table70[[LGD]:[LGD]]
   *$F$3*(1+$Q62)
 )</f>
        <v>-180.99521606574342</v>
      </c>
      <c r="S62" s="99" cm="1">
        <f t="array" ref="S62">($F$4*(1+$Q62)*'User Segmentation'!$I$49)
- Table70[[Fixed Cost]:[Fixed Cost]]
- (Table70[[Funding Rate]:[Funding Rate]]
   *Table70[[Tenure (in months)]:[Tenure (in months)]]
   *$F$4*(1+$Q62)/12)
- (
   IF($Q62&lt;0,
      'Dynamic CM'!$G$4,
      'Dynamic CM'!$G$4*(( $F$4*(1+$Q62) / $F$4 )^'Dynamic CM'!$H$4)
     )
   *Table70[[LGD]:[LGD]]
   *$F$4*(1+$Q62)
 )</f>
        <v>-33.062279480862351</v>
      </c>
      <c r="T62" s="99" cm="1">
        <f t="array" ref="T62">($F$5*(1+$Q62)*'User Segmentation'!$I$49)
- Table70[[Fixed Cost]:[Fixed Cost]]
- (Table70[[Funding Rate]:[Funding Rate]]
   *Table70[[Tenure (in months)]:[Tenure (in months)]]
   *$F$5*(1+$Q62)/12)
- (
   IF($Q62&lt;0,
      'Dynamic CM'!$G$5,
      'Dynamic CM'!$G$5*(( $F$5*(1+$Q62) / $F$5 )^'Dynamic CM'!$H$5)
     )
   *Table70[[LGD]:[LGD]]
   *$F$5*(1+$Q62)
 )</f>
        <v>3.3966300350801077</v>
      </c>
      <c r="U62" s="99" cm="1">
        <f t="array" ref="U62">($F$6*(1+$Q62)*'User Segmentation'!$I$49)
- Table70[[Fixed Cost]:[Fixed Cost]]
- (Table70[[Funding Rate]:[Funding Rate]]
   *Table70[[Tenure (in months)]:[Tenure (in months)]]
   *$F$6*(1+$Q62)/12)
- (
   IF($Q62&lt;0,
      'Dynamic CM'!$G$6,
      'Dynamic CM'!$G$6*(( $F$6*(1+$Q62) / $F$6)^'Dynamic CM'!$H$6)
     )
   *Table70[[LGD]:[LGD]]
   *$F$6*(1+$Q62)
 )</f>
        <v>-24.673459111750873</v>
      </c>
    </row>
    <row r="63" spans="17:21" x14ac:dyDescent="0.2">
      <c r="Q63" s="64">
        <v>4.5</v>
      </c>
      <c r="R63" s="99" cm="1">
        <f t="array" ref="R63">($F$3*(1+$Q63)*'User Segmentation'!$I$49)
- Table70[[Fixed Cost]:[Fixed Cost]]
- (Table70[[Funding Rate]:[Funding Rate]]
   *Table70[[Tenure (in months)]:[Tenure (in months)]]
   *$F$3*(1+$Q63)/12)
- (
   IF($Q63&lt;0,
      'Dynamic CM'!$G$3,
      'Dynamic CM'!$G$3*(( $F$3*(1+$Q63) / $F$3 )^'Dynamic CM'!$H$3)
     )
   *Table70[[LGD]:[LGD]]
   *$F$3*(1+$Q63)
 )</f>
        <v>-191.05769630117203</v>
      </c>
      <c r="S63" s="99" cm="1">
        <f t="array" ref="S63">($F$4*(1+$Q63)*'User Segmentation'!$I$49)
- Table70[[Fixed Cost]:[Fixed Cost]]
- (Table70[[Funding Rate]:[Funding Rate]]
   *Table70[[Tenure (in months)]:[Tenure (in months)]]
   *$F$4*(1+$Q63)/12)
- (
   IF($Q63&lt;0,
      'Dynamic CM'!$G$4,
      'Dynamic CM'!$G$4*(( $F$4*(1+$Q63) / $F$4 )^'Dynamic CM'!$H$4)
     )
   *Table70[[LGD]:[LGD]]
   *$F$4*(1+$Q63)
 )</f>
        <v>-35.208256960859273</v>
      </c>
      <c r="T63" s="99" cm="1">
        <f t="array" ref="T63">($F$5*(1+$Q63)*'User Segmentation'!$I$49)
- Table70[[Fixed Cost]:[Fixed Cost]]
- (Table70[[Funding Rate]:[Funding Rate]]
   *Table70[[Tenure (in months)]:[Tenure (in months)]]
   *$F$5*(1+$Q63)/12)
- (
   IF($Q63&lt;0,
      'Dynamic CM'!$G$5,
      'Dynamic CM'!$G$5*(( $F$5*(1+$Q63) / $F$5 )^'Dynamic CM'!$H$5)
     )
   *Table70[[LGD]:[LGD]]
   *$F$5*(1+$Q63)
 )</f>
        <v>0.57071340272591442</v>
      </c>
      <c r="U63" s="99" cm="1">
        <f t="array" ref="U63">($F$6*(1+$Q63)*'User Segmentation'!$I$49)
- Table70[[Fixed Cost]:[Fixed Cost]]
- (Table70[[Funding Rate]:[Funding Rate]]
   *Table70[[Tenure (in months)]:[Tenure (in months)]]
   *$F$6*(1+$Q63)/12)
- (
   IF($Q63&lt;0,
      'Dynamic CM'!$G$6,
      'Dynamic CM'!$G$6*(( $F$6*(1+$Q63) / $F$6)^'Dynamic CM'!$H$6)
     )
   *Table70[[LGD]:[LGD]]
   *$F$6*(1+$Q63)
 )</f>
        <v>-26.175082343094882</v>
      </c>
    </row>
    <row r="64" spans="17:21" x14ac:dyDescent="0.2">
      <c r="Q64" s="64">
        <v>4.5999999999999996</v>
      </c>
      <c r="R64" s="99" cm="1">
        <f t="array" ref="R64">($F$3*(1+$Q64)*'User Segmentation'!$I$49)
- Table70[[Fixed Cost]:[Fixed Cost]]
- (Table70[[Funding Rate]:[Funding Rate]]
   *Table70[[Tenure (in months)]:[Tenure (in months)]]
   *$F$3*(1+$Q64)/12)
- (
   IF($Q64&lt;0,
      'Dynamic CM'!$G$3,
      'Dynamic CM'!$G$3*(( $F$3*(1+$Q64) / $F$3 )^'Dynamic CM'!$H$3)
     )
   *Table70[[LGD]:[LGD]]
   *$F$3*(1+$Q64)
 )</f>
        <v>-201.47861447539805</v>
      </c>
      <c r="S64" s="99" cm="1">
        <f t="array" ref="S64">($F$4*(1+$Q64)*'User Segmentation'!$I$49)
- Table70[[Fixed Cost]:[Fixed Cost]]
- (Table70[[Funding Rate]:[Funding Rate]]
   *Table70[[Tenure (in months)]:[Tenure (in months)]]
   *$F$4*(1+$Q64)/12)
- (
   IF($Q64&lt;0,
      'Dynamic CM'!$G$4,
      'Dynamic CM'!$G$4*(( $F$4*(1+$Q64) / $F$4 )^'Dynamic CM'!$H$4)
     )
   *Table70[[LGD]:[LGD]]
   *$F$4*(1+$Q64)
 )</f>
        <v>-37.421468680936641</v>
      </c>
      <c r="T64" s="99" cm="1">
        <f t="array" ref="T64">($F$5*(1+$Q64)*'User Segmentation'!$I$49)
- Table70[[Fixed Cost]:[Fixed Cost]]
- (Table70[[Funding Rate]:[Funding Rate]]
   *Table70[[Tenure (in months)]:[Tenure (in months)]]
   *$F$5*(1+$Q64)/12)
- (
   IF($Q64&lt;0,
      'Dynamic CM'!$G$5,
      'Dynamic CM'!$G$5*(( $F$5*(1+$Q64) / $F$5 )^'Dynamic CM'!$H$5)
     )
   *Table70[[LGD]:[LGD]]
   *$F$5*(1+$Q64)
 )</f>
        <v>-2.3661440594960652</v>
      </c>
      <c r="U64" s="99" cm="1">
        <f t="array" ref="U64">($F$6*(1+$Q64)*'User Segmentation'!$I$49)
- Table70[[Fixed Cost]:[Fixed Cost]]
- (Table70[[Funding Rate]:[Funding Rate]]
   *Table70[[Tenure (in months)]:[Tenure (in months)]]
   *$F$6*(1+$Q64)/12)
- (
   IF($Q64&lt;0,
      'Dynamic CM'!$G$6,
      'Dynamic CM'!$G$6*(( $F$6*(1+$Q64) / $F$6)^'Dynamic CM'!$H$6)
     )
   *Table70[[LGD]:[LGD]]
   *$F$6*(1+$Q64)
 )</f>
        <v>-27.723252356033054</v>
      </c>
    </row>
    <row r="65" spans="17:21" x14ac:dyDescent="0.2">
      <c r="Q65" s="64">
        <v>4.7</v>
      </c>
      <c r="R65" s="99" cm="1">
        <f t="array" ref="R65">($F$3*(1+$Q65)*'User Segmentation'!$I$49)
- Table70[[Fixed Cost]:[Fixed Cost]]
- (Table70[[Funding Rate]:[Funding Rate]]
   *Table70[[Tenure (in months)]:[Tenure (in months)]]
   *$F$3*(1+$Q65)/12)
- (
   IF($Q65&lt;0,
      'Dynamic CM'!$G$3,
      'Dynamic CM'!$G$3*(( $F$3*(1+$Q65) / $F$3 )^'Dynamic CM'!$H$3)
     )
   *Table70[[LGD]:[LGD]]
   *$F$3*(1+$Q65)
 )</f>
        <v>-212.26376503922029</v>
      </c>
      <c r="S65" s="99" cm="1">
        <f t="array" ref="S65">($F$4*(1+$Q65)*'User Segmentation'!$I$49)
- Table70[[Fixed Cost]:[Fixed Cost]]
- (Table70[[Funding Rate]:[Funding Rate]]
   *Table70[[Tenure (in months)]:[Tenure (in months)]]
   *$F$4*(1+$Q65)/12)
- (
   IF($Q65&lt;0,
      'Dynamic CM'!$G$4,
      'Dynamic CM'!$G$4*(( $F$4*(1+$Q65) / $F$4 )^'Dynamic CM'!$H$4)
     )
   *Table70[[LGD]:[LGD]]
   *$F$4*(1+$Q65)
 )</f>
        <v>-39.702303442592971</v>
      </c>
      <c r="T65" s="99" cm="1">
        <f t="array" ref="T65">($F$5*(1+$Q65)*'User Segmentation'!$I$49)
- Table70[[Fixed Cost]:[Fixed Cost]]
- (Table70[[Funding Rate]:[Funding Rate]]
   *Table70[[Tenure (in months)]:[Tenure (in months)]]
   *$F$5*(1+$Q65)/12)
- (
   IF($Q65&lt;0,
      'Dynamic CM'!$G$5,
      'Dynamic CM'!$G$5*(( $F$5*(1+$Q65) / $F$5 )^'Dynamic CM'!$H$5)
     )
   *Table70[[LGD]:[LGD]]
   *$F$5*(1+$Q65)
 )</f>
        <v>-5.4140843776997656</v>
      </c>
      <c r="U65" s="99" cm="1">
        <f t="array" ref="U65">($F$6*(1+$Q65)*'User Segmentation'!$I$49)
- Table70[[Fixed Cost]:[Fixed Cost]]
- (Table70[[Funding Rate]:[Funding Rate]]
   *Table70[[Tenure (in months)]:[Tenure (in months)]]
   *$F$6*(1+$Q65)/12)
- (
   IF($Q65&lt;0,
      'Dynamic CM'!$G$6,
      'Dynamic CM'!$G$6*(( $F$6*(1+$Q65) / $F$6)^'Dynamic CM'!$H$6)
     )
   *Table70[[LGD]:[LGD]]
   *$F$6*(1+$Q65)
 )</f>
        <v>-29.318238320833583</v>
      </c>
    </row>
    <row r="66" spans="17:21" x14ac:dyDescent="0.2">
      <c r="Q66" s="64">
        <v>4.8</v>
      </c>
      <c r="R66" s="99" cm="1">
        <f t="array" ref="R66">($F$3*(1+$Q66)*'User Segmentation'!$I$49)
- Table70[[Fixed Cost]:[Fixed Cost]]
- (Table70[[Funding Rate]:[Funding Rate]]
   *Table70[[Tenure (in months)]:[Tenure (in months)]]
   *$F$3*(1+$Q66)/12)
- (
   IF($Q66&lt;0,
      'Dynamic CM'!$G$3,
      'Dynamic CM'!$G$3*(( $F$3*(1+$Q66) / $F$3 )^'Dynamic CM'!$H$3)
     )
   *Table70[[LGD]:[LGD]]
   *$F$3*(1+$Q66)
 )</f>
        <v>-223.41893107134374</v>
      </c>
      <c r="S66" s="99" cm="1">
        <f t="array" ref="S66">($F$4*(1+$Q66)*'User Segmentation'!$I$49)
- Table70[[Fixed Cost]:[Fixed Cost]]
- (Table70[[Funding Rate]:[Funding Rate]]
   *Table70[[Tenure (in months)]:[Tenure (in months)]]
   *$F$4*(1+$Q66)/12)
- (
   IF($Q66&lt;0,
      'Dynamic CM'!$G$4,
      'Dynamic CM'!$G$4*(( $F$4*(1+$Q66) / $F$4 )^'Dynamic CM'!$H$4)
     )
   *Table70[[LGD]:[LGD]]
   *$F$4*(1+$Q66)
 )</f>
        <v>-42.051145353965282</v>
      </c>
      <c r="T66" s="99" cm="1">
        <f t="array" ref="T66">($F$5*(1+$Q66)*'User Segmentation'!$I$49)
- Table70[[Fixed Cost]:[Fixed Cost]]
- (Table70[[Funding Rate]:[Funding Rate]]
   *Table70[[Tenure (in months)]:[Tenure (in months)]]
   *$F$5*(1+$Q66)/12)
- (
   IF($Q66&lt;0,
      'Dynamic CM'!$G$5,
      'Dynamic CM'!$G$5*(( $F$5*(1+$Q66) / $F$5 )^'Dynamic CM'!$H$5)
     )
   *Table70[[LGD]:[LGD]]
   *$F$5*(1+$Q66)
 )</f>
        <v>-8.5732472409046636</v>
      </c>
      <c r="U66" s="99" cm="1">
        <f t="array" ref="U66">($F$6*(1+$Q66)*'User Segmentation'!$I$49)
- Table70[[Fixed Cost]:[Fixed Cost]]
- (Table70[[Funding Rate]:[Funding Rate]]
   *Table70[[Tenure (in months)]:[Tenure (in months)]]
   *$F$6*(1+$Q66)/12)
- (
   IF($Q66&lt;0,
      'Dynamic CM'!$G$6,
      'Dynamic CM'!$G$6*(( $F$6*(1+$Q66) / $F$6)^'Dynamic CM'!$H$6)
     )
   *Table70[[LGD]:[LGD]]
   *$F$6*(1+$Q66)
 )</f>
        <v>-30.960306158514424</v>
      </c>
    </row>
    <row r="67" spans="17:21" x14ac:dyDescent="0.2">
      <c r="Q67" s="64">
        <v>4.9000000000000004</v>
      </c>
      <c r="R67" s="99" cm="1">
        <f t="array" ref="R67">($F$3*(1+$Q67)*'User Segmentation'!$I$49)
- Table70[[Fixed Cost]:[Fixed Cost]]
- (Table70[[Funding Rate]:[Funding Rate]]
   *Table70[[Tenure (in months)]:[Tenure (in months)]]
   *$F$3*(1+$Q67)/12)
- (
   IF($Q67&lt;0,
      'Dynamic CM'!$G$3,
      'Dynamic CM'!$G$3*(( $F$3*(1+$Q67) / $F$3 )^'Dynamic CM'!$H$3)
     )
   *Table70[[LGD]:[LGD]]
   *$F$3*(1+$Q67)
 )</f>
        <v>-234.94988449967121</v>
      </c>
      <c r="S67" s="99" cm="1">
        <f t="array" ref="S67">($F$4*(1+$Q67)*'User Segmentation'!$I$49)
- Table70[[Fixed Cost]:[Fixed Cost]]
- (Table70[[Funding Rate]:[Funding Rate]]
   *Table70[[Tenure (in months)]:[Tenure (in months)]]
   *$F$4*(1+$Q67)/12)
- (
   IF($Q67&lt;0,
      'Dynamic CM'!$G$4,
      'Dynamic CM'!$G$4*(( $F$4*(1+$Q67) / $F$4 )^'Dynamic CM'!$H$4)
     )
   *Table70[[LGD]:[LGD]]
   *$F$4*(1+$Q67)
 )</f>
        <v>-44.468373967371242</v>
      </c>
      <c r="T67" s="99" cm="1">
        <f t="array" ref="T67">($F$5*(1+$Q67)*'User Segmentation'!$I$49)
- Table70[[Fixed Cost]:[Fixed Cost]]
- (Table70[[Funding Rate]:[Funding Rate]]
   *Table70[[Tenure (in months)]:[Tenure (in months)]]
   *$F$5*(1+$Q67)/12)
- (
   IF($Q67&lt;0,
      'Dynamic CM'!$G$5,
      'Dynamic CM'!$G$5*(( $F$5*(1+$Q67) / $F$5 )^'Dynamic CM'!$H$5)
     )
   *Table70[[LGD]:[LGD]]
   *$F$5*(1+$Q67)
 )</f>
        <v>-11.84377007950701</v>
      </c>
      <c r="U67" s="99" cm="1">
        <f t="array" ref="U67">($F$6*(1+$Q67)*'User Segmentation'!$I$49)
- Table70[[Fixed Cost]:[Fixed Cost]]
- (Table70[[Funding Rate]:[Funding Rate]]
   *Table70[[Tenure (in months)]:[Tenure (in months)]]
   *$F$6*(1+$Q67)/12)
- (
   IF($Q67&lt;0,
      'Dynamic CM'!$G$6,
      'Dynamic CM'!$G$6*(( $F$6*(1+$Q67) / $F$6)^'Dynamic CM'!$H$6)
     )
   *Table70[[LGD]:[LGD]]
   *$F$6*(1+$Q67)
 )</f>
        <v>-32.649718636064691</v>
      </c>
    </row>
    <row r="68" spans="17:21" x14ac:dyDescent="0.2">
      <c r="Q68" s="64">
        <v>5</v>
      </c>
      <c r="R68" s="99" cm="1">
        <f t="array" ref="R68">($F$3*(1+$Q68)*'User Segmentation'!$I$49)
- Table70[[Fixed Cost]:[Fixed Cost]]
- (Table70[[Funding Rate]:[Funding Rate]]
   *Table70[[Tenure (in months)]:[Tenure (in months)]]
   *$F$3*(1+$Q68)/12)
- (
   IF($Q68&lt;0,
      'Dynamic CM'!$G$3,
      'Dynamic CM'!$G$3*(( $F$3*(1+$Q68) / $F$3 )^'Dynamic CM'!$H$3)
     )
   *Table70[[LGD]:[LGD]]
   *$F$3*(1+$Q68)
 )</f>
        <v>-246.86238631454688</v>
      </c>
      <c r="S68" s="99" cm="1">
        <f t="array" ref="S68">($F$4*(1+$Q68)*'User Segmentation'!$I$49)
- Table70[[Fixed Cost]:[Fixed Cost]]
- (Table70[[Funding Rate]:[Funding Rate]]
   *Table70[[Tenure (in months)]:[Tenure (in months)]]
   *$F$4*(1+$Q68)/12)
- (
   IF($Q68&lt;0,
      'Dynamic CM'!$G$4,
      'Dynamic CM'!$G$4*(( $F$4*(1+$Q68) / $F$4 )^'Dynamic CM'!$H$4)
     )
   *Table70[[LGD]:[LGD]]
   *$F$4*(1+$Q68)
 )</f>
        <v>-46.954364410530495</v>
      </c>
      <c r="T68" s="99" cm="1">
        <f t="array" ref="T68">($F$5*(1+$Q68)*'User Segmentation'!$I$49)
- Table70[[Fixed Cost]:[Fixed Cost]]
- (Table70[[Funding Rate]:[Funding Rate]]
   *Table70[[Tenure (in months)]:[Tenure (in months)]]
   *$F$5*(1+$Q68)/12)
- (
   IF($Q68&lt;0,
      'Dynamic CM'!$G$5,
      'Dynamic CM'!$G$5*(( $F$5*(1+$Q68) / $F$5 )^'Dynamic CM'!$H$5)
     )
   *Table70[[LGD]:[LGD]]
   *$F$5*(1+$Q68)
 )</f>
        <v>-15.225788139817865</v>
      </c>
      <c r="U68" s="99" cm="1">
        <f t="array" ref="U68">($F$6*(1+$Q68)*'User Segmentation'!$I$49)
- Table70[[Fixed Cost]:[Fixed Cost]]
- (Table70[[Funding Rate]:[Funding Rate]]
   *Table70[[Tenure (in months)]:[Tenure (in months)]]
   *$F$6*(1+$Q68)/12)
- (
   IF($Q68&lt;0,
      'Dynamic CM'!$G$6,
      'Dynamic CM'!$G$6*(( $F$6*(1+$Q68) / $F$6)^'Dynamic CM'!$H$6)
     )
   *Table70[[LGD]:[LGD]]
   *$F$6*(1+$Q68)
 )</f>
        <v>-34.386735457290349</v>
      </c>
    </row>
    <row r="69" spans="17:21" x14ac:dyDescent="0.2">
      <c r="Q69" s="64">
        <v>5.0999999999999996</v>
      </c>
      <c r="R69" s="99" cm="1">
        <f t="array" ref="R69">($F$3*(1+$Q69)*'User Segmentation'!$I$49)
- Table70[[Fixed Cost]:[Fixed Cost]]
- (Table70[[Funding Rate]:[Funding Rate]]
   *Table70[[Tenure (in months)]:[Tenure (in months)]]
   *$F$3*(1+$Q69)/12)
- (
   IF($Q69&lt;0,
      'Dynamic CM'!$G$3,
      'Dynamic CM'!$G$3*(( $F$3*(1+$Q69) / $F$3 )^'Dynamic CM'!$H$3)
     )
   *Table70[[LGD]:[LGD]]
   *$F$3*(1+$Q69)
 )</f>
        <v>-259.16218677438081</v>
      </c>
      <c r="S69" s="99" cm="1">
        <f t="array" ref="S69">($F$4*(1+$Q69)*'User Segmentation'!$I$49)
- Table70[[Fixed Cost]:[Fixed Cost]]
- (Table70[[Funding Rate]:[Funding Rate]]
   *Table70[[Tenure (in months)]:[Tenure (in months)]]
   *$F$4*(1+$Q69)/12)
- (
   IF($Q69&lt;0,
      'Dynamic CM'!$G$4,
      'Dynamic CM'!$G$4*(( $F$4*(1+$Q69) / $F$4 )^'Dynamic CM'!$H$4)
     )
   *Table70[[LGD]:[LGD]]
   *$F$4*(1+$Q69)
 )</f>
        <v>-49.509487511858275</v>
      </c>
      <c r="T69" s="99" cm="1">
        <f t="array" ref="T69">($F$5*(1+$Q69)*'User Segmentation'!$I$49)
- Table70[[Fixed Cost]:[Fixed Cost]]
- (Table70[[Funding Rate]:[Funding Rate]]
   *Table70[[Tenure (in months)]:[Tenure (in months)]]
   *$F$5*(1+$Q69)/12)
- (
   IF($Q69&lt;0,
      'Dynamic CM'!$G$5,
      'Dynamic CM'!$G$5*(( $F$5*(1+$Q69) / $F$5 )^'Dynamic CM'!$H$5)
     )
   *Table70[[LGD]:[LGD]]
   *$F$5*(1+$Q69)
 )</f>
        <v>-18.719434554929592</v>
      </c>
      <c r="U69" s="99" cm="1">
        <f t="array" ref="U69">($F$6*(1+$Q69)*'User Segmentation'!$I$49)
- Table70[[Fixed Cost]:[Fixed Cost]]
- (Table70[[Funding Rate]:[Funding Rate]]
   *Table70[[Tenure (in months)]:[Tenure (in months)]]
   *$F$6*(1+$Q69)/12)
- (
   IF($Q69&lt;0,
      'Dynamic CM'!$G$6,
      'Dynamic CM'!$G$6*(( $F$6*(1+$Q69) / $F$6)^'Dynamic CM'!$H$6)
     )
   *Table70[[LGD]:[LGD]]
   *$F$6*(1+$Q69)
 )</f>
        <v>-36.171613349555734</v>
      </c>
    </row>
    <row r="70" spans="17:21" x14ac:dyDescent="0.2">
      <c r="Q70" s="64">
        <v>5.2</v>
      </c>
      <c r="R70" s="99" cm="1">
        <f t="array" ref="R70">($F$3*(1+$Q70)*'User Segmentation'!$I$49)
- Table70[[Fixed Cost]:[Fixed Cost]]
- (Table70[[Funding Rate]:[Funding Rate]]
   *Table70[[Tenure (in months)]:[Tenure (in months)]]
   *$F$3*(1+$Q70)/12)
- (
   IF($Q70&lt;0,
      'Dynamic CM'!$G$3,
      'Dynamic CM'!$G$3*(( $F$3*(1+$Q70) / $F$3 )^'Dynamic CM'!$H$3)
     )
   *Table70[[LGD]:[LGD]]
   *$F$3*(1+$Q70)
 )</f>
        <v>-271.85502560404501</v>
      </c>
      <c r="S70" s="99" cm="1">
        <f t="array" ref="S70">($F$4*(1+$Q70)*'User Segmentation'!$I$49)
- Table70[[Fixed Cost]:[Fixed Cost]]
- (Table70[[Funding Rate]:[Funding Rate]]
   *Table70[[Tenure (in months)]:[Tenure (in months)]]
   *$F$4*(1+$Q70)/12)
- (
   IF($Q70&lt;0,
      'Dynamic CM'!$G$4,
      'Dynamic CM'!$G$4*(( $F$4*(1+$Q70) / $F$4 )^'Dynamic CM'!$H$4)
     )
   *Table70[[LGD]:[LGD]]
   *$F$4*(1+$Q70)
 )</f>
        <v>-52.134109920192358</v>
      </c>
      <c r="T70" s="99" cm="1">
        <f t="array" ref="T70">($F$5*(1+$Q70)*'User Segmentation'!$I$49)
- Table70[[Fixed Cost]:[Fixed Cost]]
- (Table70[[Funding Rate]:[Funding Rate]]
   *Table70[[Tenure (in months)]:[Tenure (in months)]]
   *$F$5*(1+$Q70)/12)
- (
   IF($Q70&lt;0,
      'Dynamic CM'!$G$5,
      'Dynamic CM'!$G$5*(( $F$5*(1+$Q70) / $F$5 )^'Dynamic CM'!$H$5)
     )
   *Table70[[LGD]:[LGD]]
   *$F$5*(1+$Q70)
 )</f>
        <v>-22.324840412147665</v>
      </c>
      <c r="U70" s="99" cm="1">
        <f t="array" ref="U70">($F$6*(1+$Q70)*'User Segmentation'!$I$49)
- Table70[[Fixed Cost]:[Fixed Cost]]
- (Table70[[Funding Rate]:[Funding Rate]]
   *Table70[[Tenure (in months)]:[Tenure (in months)]]
   *$F$6*(1+$Q70)/12)
- (
   IF($Q70&lt;0,
      'Dynamic CM'!$G$6,
      'Dynamic CM'!$G$6*(( $F$6*(1+$Q70) / $F$6)^'Dynamic CM'!$H$6)
     )
   *Table70[[LGD]:[LGD]]
   *$F$6*(1+$Q70)
 )</f>
        <v>-38.004606146671634</v>
      </c>
    </row>
    <row r="71" spans="17:21" x14ac:dyDescent="0.2">
      <c r="Q71" s="64">
        <v>5.3</v>
      </c>
      <c r="R71" s="99" cm="1">
        <f t="array" ref="R71">($F$3*(1+$Q71)*'User Segmentation'!$I$49)
- Table70[[Fixed Cost]:[Fixed Cost]]
- (Table70[[Funding Rate]:[Funding Rate]]
   *Table70[[Tenure (in months)]:[Tenure (in months)]]
   *$F$3*(1+$Q71)/12)
- (
   IF($Q71&lt;0,
      'Dynamic CM'!$G$3,
      'Dynamic CM'!$G$3*(( $F$3*(1+$Q71) / $F$3 )^'Dynamic CM'!$H$3)
     )
   *Table70[[LGD]:[LGD]]
   *$F$3*(1+$Q71)
 )</f>
        <v>-284.94663218641216</v>
      </c>
      <c r="S71" s="99" cm="1">
        <f t="array" ref="S71">($F$4*(1+$Q71)*'User Segmentation'!$I$49)
- Table70[[Fixed Cost]:[Fixed Cost]]
- (Table70[[Funding Rate]:[Funding Rate]]
   *Table70[[Tenure (in months)]:[Tenure (in months)]]
   *$F$4*(1+$Q71)/12)
- (
   IF($Q71&lt;0,
      'Dynamic CM'!$G$4,
      'Dynamic CM'!$G$4*(( $F$4*(1+$Q71) / $F$4 )^'Dynamic CM'!$H$4)
     )
   *Table70[[LGD]:[LGD]]
   *$F$4*(1+$Q71)
 )</f>
        <v>-54.828594219287332</v>
      </c>
      <c r="T71" s="99" cm="1">
        <f t="array" ref="T71">($F$5*(1+$Q71)*'User Segmentation'!$I$49)
- Table70[[Fixed Cost]:[Fixed Cost]]
- (Table70[[Funding Rate]:[Funding Rate]]
   *Table70[[Tenure (in months)]:[Tenure (in months)]]
   *$F$5*(1+$Q71)/12)
- (
   IF($Q71&lt;0,
      'Dynamic CM'!$G$5,
      'Dynamic CM'!$G$5*(( $F$5*(1+$Q71) / $F$5 )^'Dynamic CM'!$H$5)
     )
   *Table70[[LGD]:[LGD]]
   *$F$5*(1+$Q71)
 )</f>
        <v>-26.042134817208364</v>
      </c>
      <c r="U71" s="99" cm="1">
        <f t="array" ref="U71">($F$6*(1+$Q71)*'User Segmentation'!$I$49)
- Table70[[Fixed Cost]:[Fixed Cost]]
- (Table70[[Funding Rate]:[Funding Rate]]
   *Table70[[Tenure (in months)]:[Tenure (in months)]]
   *$F$6*(1+$Q71)/12)
- (
   IF($Q71&lt;0,
      'Dynamic CM'!$G$6,
      'Dynamic CM'!$G$6*(( $F$6*(1+$Q71) / $F$6)^'Dynamic CM'!$H$6)
     )
   *Table70[[LGD]:[LGD]]
   *$F$6*(1+$Q71)
 )</f>
        <v>-39.885964868160464</v>
      </c>
    </row>
    <row r="72" spans="17:21" x14ac:dyDescent="0.2">
      <c r="Q72" s="64">
        <v>5.4</v>
      </c>
      <c r="R72" s="99" cm="1">
        <f t="array" ref="R72">($F$3*(1+$Q72)*'User Segmentation'!$I$49)
- Table70[[Fixed Cost]:[Fixed Cost]]
- (Table70[[Funding Rate]:[Funding Rate]]
   *Table70[[Tenure (in months)]:[Tenure (in months)]]
   *$F$3*(1+$Q72)/12)
- (
   IF($Q72&lt;0,
      'Dynamic CM'!$G$3,
      'Dynamic CM'!$G$3*(( $F$3*(1+$Q72) / $F$3 )^'Dynamic CM'!$H$3)
     )
   *Table70[[LGD]:[LGD]]
   *$F$3*(1+$Q72)
 )</f>
        <v>-298.44272574738125</v>
      </c>
      <c r="S72" s="99" cm="1">
        <f t="array" ref="S72">($F$4*(1+$Q72)*'User Segmentation'!$I$49)
- Table70[[Fixed Cost]:[Fixed Cost]]
- (Table70[[Funding Rate]:[Funding Rate]]
   *Table70[[Tenure (in months)]:[Tenure (in months)]]
   *$F$4*(1+$Q72)/12)
- (
   IF($Q72&lt;0,
      'Dynamic CM'!$G$4,
      'Dynamic CM'!$G$4*(( $F$4*(1+$Q72) / $F$4 )^'Dynamic CM'!$H$4)
     )
   *Table70[[LGD]:[LGD]]
   *$F$4*(1+$Q72)
 )</f>
        <v>-57.593299037386167</v>
      </c>
      <c r="T72" s="99" cm="1">
        <f t="array" ref="T72">($F$5*(1+$Q72)*'User Segmentation'!$I$49)
- Table70[[Fixed Cost]:[Fixed Cost]]
- (Table70[[Funding Rate]:[Funding Rate]]
   *Table70[[Tenure (in months)]:[Tenure (in months)]]
   *$F$5*(1+$Q72)/12)
- (
   IF($Q72&lt;0,
      'Dynamic CM'!$G$5,
      'Dynamic CM'!$G$5*(( $F$5*(1+$Q72) / $F$5 )^'Dynamic CM'!$H$5)
     )
   *Table70[[LGD]:[LGD]]
   *$F$5*(1+$Q72)
 )</f>
        <v>-29.871444955485174</v>
      </c>
      <c r="U72" s="99" cm="1">
        <f t="array" ref="U72">($F$6*(1+$Q72)*'User Segmentation'!$I$49)
- Table70[[Fixed Cost]:[Fixed Cost]]
- (Table70[[Funding Rate]:[Funding Rate]]
   *Table70[[Tenure (in months)]:[Tenure (in months)]]
   *$F$6*(1+$Q72)/12)
- (
   IF($Q72&lt;0,
      'Dynamic CM'!$G$6,
      'Dynamic CM'!$G$6*(( $F$6*(1+$Q72) / $F$6)^'Dynamic CM'!$H$6)
     )
   *Table70[[LGD]:[LGD]]
   *$F$6*(1+$Q72)
 )</f>
        <v>-41.815937795113491</v>
      </c>
    </row>
    <row r="73" spans="17:21" x14ac:dyDescent="0.2">
      <c r="Q73" s="64">
        <v>5.5</v>
      </c>
      <c r="R73" s="99" cm="1">
        <f t="array" ref="R73">($F$3*(1+$Q73)*'User Segmentation'!$I$49)
- Table70[[Fixed Cost]:[Fixed Cost]]
- (Table70[[Funding Rate]:[Funding Rate]]
   *Table70[[Tenure (in months)]:[Tenure (in months)]]
   *$F$3*(1+$Q73)/12)
- (
   IF($Q73&lt;0,
      'Dynamic CM'!$G$3,
      'Dynamic CM'!$G$3*(( $F$3*(1+$Q73) / $F$3 )^'Dynamic CM'!$H$3)
     )
   *Table70[[LGD]:[LGD]]
   *$F$3*(1+$Q73)
 )</f>
        <v>-312.34901553470581</v>
      </c>
      <c r="S73" s="99" cm="1">
        <f t="array" ref="S73">($F$4*(1+$Q73)*'User Segmentation'!$I$49)
- Table70[[Fixed Cost]:[Fixed Cost]]
- (Table70[[Funding Rate]:[Funding Rate]]
   *Table70[[Tenure (in months)]:[Tenure (in months)]]
   *$F$4*(1+$Q73)/12)
- (
   IF($Q73&lt;0,
      'Dynamic CM'!$G$4,
      'Dynamic CM'!$G$4*(( $F$4*(1+$Q73) / $F$4 )^'Dynamic CM'!$H$4)
     )
   *Table70[[LGD]:[LGD]]
   *$F$4*(1+$Q73)
 )</f>
        <v>-60.428579152153482</v>
      </c>
      <c r="T73" s="99" cm="1">
        <f t="array" ref="T73">($F$5*(1+$Q73)*'User Segmentation'!$I$49)
- Table70[[Fixed Cost]:[Fixed Cost]]
- (Table70[[Funding Rate]:[Funding Rate]]
   *Table70[[Tenure (in months)]:[Tenure (in months)]]
   *$F$5*(1+$Q73)/12)
- (
   IF($Q73&lt;0,
      'Dynamic CM'!$G$5,
      'Dynamic CM'!$G$5*(( $F$5*(1+$Q73) / $F$5 )^'Dynamic CM'!$H$5)
     )
   *Table70[[LGD]:[LGD]]
   *$F$5*(1+$Q73)
 )</f>
        <v>-33.812896150368573</v>
      </c>
      <c r="U73" s="99" cm="1">
        <f t="array" ref="U73">($F$6*(1+$Q73)*'User Segmentation'!$I$49)
- Table70[[Fixed Cost]:[Fixed Cost]]
- (Table70[[Funding Rate]:[Funding Rate]]
   *Table70[[Tenure (in months)]:[Tenure (in months)]]
   *$F$6*(1+$Q73)/12)
- (
   IF($Q73&lt;0,
      'Dynamic CM'!$G$6,
      'Dynamic CM'!$G$6*(( $F$6*(1+$Q73) / $F$6)^'Dynamic CM'!$H$6)
     )
   *Table70[[LGD]:[LGD]]
   *$F$6*(1+$Q73)
 )</f>
        <v>-43.794770542837021</v>
      </c>
    </row>
    <row r="74" spans="17:21" x14ac:dyDescent="0.2">
      <c r="Q74" s="64">
        <v>5.6</v>
      </c>
      <c r="R74" s="99" cm="1">
        <f t="array" ref="R74">($F$3*(1+$Q74)*'User Segmentation'!$I$49)
- Table70[[Fixed Cost]:[Fixed Cost]]
- (Table70[[Funding Rate]:[Funding Rate]]
   *Table70[[Tenure (in months)]:[Tenure (in months)]]
   *$F$3*(1+$Q74)/12)
- (
   IF($Q74&lt;0,
      'Dynamic CM'!$G$3,
      'Dynamic CM'!$G$3*(( $F$3*(1+$Q74) / $F$3 )^'Dynamic CM'!$H$3)
     )
   *Table70[[LGD]:[LGD]]
   *$F$3*(1+$Q74)
 )</f>
        <v>-326.67120099093643</v>
      </c>
      <c r="S74" s="99" cm="1">
        <f t="array" ref="S74">($F$4*(1+$Q74)*'User Segmentation'!$I$49)
- Table70[[Fixed Cost]:[Fixed Cost]]
- (Table70[[Funding Rate]:[Funding Rate]]
   *Table70[[Tenure (in months)]:[Tenure (in months)]]
   *$F$4*(1+$Q74)/12)
- (
   IF($Q74&lt;0,
      'Dynamic CM'!$G$4,
      'Dynamic CM'!$G$4*(( $F$4*(1+$Q74) / $F$4 )^'Dynamic CM'!$H$4)
     )
   *Table70[[LGD]:[LGD]]
   *$F$4*(1+$Q74)
 )</f>
        <v>-63.334785591237605</v>
      </c>
      <c r="T74" s="99" cm="1">
        <f t="array" ref="T74">($F$5*(1+$Q74)*'User Segmentation'!$I$49)
- Table70[[Fixed Cost]:[Fixed Cost]]
- (Table70[[Funding Rate]:[Funding Rate]]
   *Table70[[Tenure (in months)]:[Tenure (in months)]]
   *$F$5*(1+$Q74)/12)
- (
   IF($Q74&lt;0,
      'Dynamic CM'!$G$5,
      'Dynamic CM'!$G$5*(( $F$5*(1+$Q74) / $F$5 )^'Dynamic CM'!$H$5)
     )
   *Table70[[LGD]:[LGD]]
   *$F$5*(1+$Q74)
 )</f>
        <v>-37.866611918993385</v>
      </c>
      <c r="U74" s="99" cm="1">
        <f t="array" ref="U74">($F$6*(1+$Q74)*'User Segmentation'!$I$49)
- Table70[[Fixed Cost]:[Fixed Cost]]
- (Table70[[Funding Rate]:[Funding Rate]]
   *Table70[[Tenure (in months)]:[Tenure (in months)]]
   *$F$6*(1+$Q74)/12)
- (
   IF($Q74&lt;0,
      'Dynamic CM'!$G$6,
      'Dynamic CM'!$G$6*(( $F$6*(1+$Q74) / $F$6)^'Dynamic CM'!$H$6)
     )
   *Table70[[LGD]:[LGD]]
   *$F$6*(1+$Q74)
 )</f>
        <v>-45.822706130472184</v>
      </c>
    </row>
    <row r="75" spans="17:21" x14ac:dyDescent="0.2">
      <c r="Q75" s="64">
        <v>5.7</v>
      </c>
      <c r="R75" s="99" cm="1">
        <f t="array" ref="R75">($F$3*(1+$Q75)*'User Segmentation'!$I$49)
- Table70[[Fixed Cost]:[Fixed Cost]]
- (Table70[[Funding Rate]:[Funding Rate]]
   *Table70[[Tenure (in months)]:[Tenure (in months)]]
   *$F$3*(1+$Q75)/12)
- (
   IF($Q75&lt;0,
      'Dynamic CM'!$G$3,
      'Dynamic CM'!$G$3*(( $F$3*(1+$Q75) / $F$3 )^'Dynamic CM'!$H$3)
     )
   *Table70[[LGD]:[LGD]]
   *$F$3*(1+$Q75)
 )</f>
        <v>-341.41497192074661</v>
      </c>
      <c r="S75" s="99" cm="1">
        <f t="array" ref="S75">($F$4*(1+$Q75)*'User Segmentation'!$I$49)
- Table70[[Fixed Cost]:[Fixed Cost]]
- (Table70[[Funding Rate]:[Funding Rate]]
   *Table70[[Tenure (in months)]:[Tenure (in months)]]
   *$F$4*(1+$Q75)/12)
- (
   IF($Q75&lt;0,
      'Dynamic CM'!$G$4,
      'Dynamic CM'!$G$4*(( $F$4*(1+$Q75) / $F$4 )^'Dynamic CM'!$H$4)
     )
   *Table70[[LGD]:[LGD]]
   *$F$4*(1+$Q75)
 )</f>
        <v>-66.312265728706791</v>
      </c>
      <c r="T75" s="99" cm="1">
        <f t="array" ref="T75">($F$5*(1+$Q75)*'User Segmentation'!$I$49)
- Table70[[Fixed Cost]:[Fixed Cost]]
- (Table70[[Funding Rate]:[Funding Rate]]
   *Table70[[Tenure (in months)]:[Tenure (in months)]]
   *$F$5*(1+$Q75)/12)
- (
   IF($Q75&lt;0,
      'Dynamic CM'!$G$5,
      'Dynamic CM'!$G$5*(( $F$5*(1+$Q75) / $F$5 )^'Dynamic CM'!$H$5)
     )
   *Table70[[LGD]:[LGD]]
   *$F$5*(1+$Q75)
 )</f>
        <v>-42.032714025472387</v>
      </c>
      <c r="U75" s="99" cm="1">
        <f t="array" ref="U75">($F$6*(1+$Q75)*'User Segmentation'!$I$49)
- Table70[[Fixed Cost]:[Fixed Cost]]
- (Table70[[Funding Rate]:[Funding Rate]]
   *Table70[[Tenure (in months)]:[Tenure (in months)]]
   *$F$6*(1+$Q75)/12)
- (
   IF($Q75&lt;0,
      'Dynamic CM'!$G$6,
      'Dynamic CM'!$G$6*(( $F$6*(1+$Q75) / $F$6)^'Dynamic CM'!$H$6)
     )
   *Table70[[LGD]:[LGD]]
   *$F$6*(1+$Q75)
 )</f>
        <v>-47.899985047758541</v>
      </c>
    </row>
    <row r="76" spans="17:21" x14ac:dyDescent="0.2">
      <c r="Q76" s="64">
        <v>5.8</v>
      </c>
      <c r="R76" s="99" cm="1">
        <f t="array" ref="R76">($F$3*(1+$Q76)*'User Segmentation'!$I$49)
- Table70[[Fixed Cost]:[Fixed Cost]]
- (Table70[[Funding Rate]:[Funding Rate]]
   *Table70[[Tenure (in months)]:[Tenure (in months)]]
   *$F$3*(1+$Q76)/12)
- (
   IF($Q76&lt;0,
      'Dynamic CM'!$G$3,
      'Dynamic CM'!$G$3*(( $F$3*(1+$Q76) / $F$3 )^'Dynamic CM'!$H$3)
     )
   *Table70[[LGD]:[LGD]]
   *$F$3*(1+$Q76)
 )</f>
        <v>-356.58600865291578</v>
      </c>
      <c r="S76" s="99" cm="1">
        <f t="array" ref="S76">($F$4*(1+$Q76)*'User Segmentation'!$I$49)
- Table70[[Fixed Cost]:[Fixed Cost]]
- (Table70[[Funding Rate]:[Funding Rate]]
   *Table70[[Tenure (in months)]:[Tenure (in months)]]
   *$F$4*(1+$Q76)/12)
- (
   IF($Q76&lt;0,
      'Dynamic CM'!$G$4,
      'Dynamic CM'!$G$4*(( $F$4*(1+$Q76) / $F$4 )^'Dynamic CM'!$H$4)
     )
   *Table70[[LGD]:[LGD]]
   *$F$4*(1+$Q76)
 )</f>
        <v>-69.361363377588219</v>
      </c>
      <c r="T76" s="99" cm="1">
        <f t="array" ref="T76">($F$5*(1+$Q76)*'User Segmentation'!$I$49)
- Table70[[Fixed Cost]:[Fixed Cost]]
- (Table70[[Funding Rate]:[Funding Rate]]
   *Table70[[Tenure (in months)]:[Tenure (in months)]]
   *$F$5*(1+$Q76)/12)
- (
   IF($Q76&lt;0,
      'Dynamic CM'!$G$5,
      'Dynamic CM'!$G$5*(( $F$5*(1+$Q76) / $F$5 )^'Dynamic CM'!$H$5)
     )
   *Table70[[LGD]:[LGD]]
   *$F$5*(1+$Q76)
 )</f>
        <v>-46.311322531782224</v>
      </c>
      <c r="U76" s="99" cm="1">
        <f t="array" ref="U76">($F$6*(1+$Q76)*'User Segmentation'!$I$49)
- Table70[[Fixed Cost]:[Fixed Cost]]
- (Table70[[Funding Rate]:[Funding Rate]]
   *Table70[[Tenure (in months)]:[Tenure (in months)]]
   *$F$6*(1+$Q76)/12)
- (
   IF($Q76&lt;0,
      'Dynamic CM'!$G$6,
      'Dynamic CM'!$G$6*(( $F$6*(1+$Q76) / $F$6)^'Dynamic CM'!$H$6)
     )
   *Table70[[LGD]:[LGD]]
   *$F$6*(1+$Q76)
 )</f>
        <v>-50.026845319099522</v>
      </c>
    </row>
    <row r="77" spans="17:21" x14ac:dyDescent="0.2">
      <c r="Q77" s="64">
        <v>5.9</v>
      </c>
      <c r="R77" s="99" cm="1">
        <f t="array" ref="R77">($F$3*(1+$Q77)*'User Segmentation'!$I$49)
- Table70[[Fixed Cost]:[Fixed Cost]]
- (Table70[[Funding Rate]:[Funding Rate]]
   *Table70[[Tenure (in months)]:[Tenure (in months)]]
   *$F$3*(1+$Q77)/12)
- (
   IF($Q77&lt;0,
      'Dynamic CM'!$G$3,
      'Dynamic CM'!$G$3*(( $F$3*(1+$Q77) / $F$3 )^'Dynamic CM'!$H$3)
     )
   *Table70[[LGD]:[LGD]]
   *$F$3*(1+$Q77)
 )</f>
        <v>-372.18998219721323</v>
      </c>
      <c r="S77" s="99" cm="1">
        <f t="array" ref="S77">($F$4*(1+$Q77)*'User Segmentation'!$I$49)
- Table70[[Fixed Cost]:[Fixed Cost]]
- (Table70[[Funding Rate]:[Funding Rate]]
   *Table70[[Tenure (in months)]:[Tenure (in months)]]
   *$F$4*(1+$Q77)/12)
- (
   IF($Q77&lt;0,
      'Dynamic CM'!$G$4,
      'Dynamic CM'!$G$4*(( $F$4*(1+$Q77) / $F$4 )^'Dynamic CM'!$H$4)
     )
   *Table70[[LGD]:[LGD]]
   *$F$4*(1+$Q77)
 )</f>
        <v>-72.482418878724019</v>
      </c>
      <c r="T77" s="99" cm="1">
        <f t="array" ref="T77">($F$5*(1+$Q77)*'User Segmentation'!$I$49)
- Table70[[Fixed Cost]:[Fixed Cost]]
- (Table70[[Funding Rate]:[Funding Rate]]
   *Table70[[Tenure (in months)]:[Tenure (in months)]]
   *$F$5*(1+$Q77)/12)
- (
   IF($Q77&lt;0,
      'Dynamic CM'!$G$5,
      'Dynamic CM'!$G$5*(( $F$5*(1+$Q77) / $F$5 )^'Dynamic CM'!$H$5)
     )
   *Table70[[LGD]:[LGD]]
   *$F$5*(1+$Q77)
 )</f>
        <v>-50.7025558464413</v>
      </c>
      <c r="U77" s="99" cm="1">
        <f t="array" ref="U77">($F$6*(1+$Q77)*'User Segmentation'!$I$49)
- Table70[[Fixed Cost]:[Fixed Cost]]
- (Table70[[Funding Rate]:[Funding Rate]]
   *Table70[[Tenure (in months)]:[Tenure (in months)]]
   *$F$6*(1+$Q77)/12)
- (
   IF($Q77&lt;0,
      'Dynamic CM'!$G$6,
      'Dynamic CM'!$G$6*(( $F$6*(1+$Q77) / $F$6)^'Dynamic CM'!$H$6)
     )
   *Table70[[LGD]:[LGD]]
   *$F$6*(1+$Q77)
 )</f>
        <v>-52.203522565078174</v>
      </c>
    </row>
    <row r="78" spans="17:21" x14ac:dyDescent="0.2">
      <c r="Q78" s="64">
        <v>6</v>
      </c>
      <c r="R78" s="99" cm="1">
        <f t="array" ref="R78">($F$3*(1+$Q78)*'User Segmentation'!$I$49)
- Table70[[Fixed Cost]:[Fixed Cost]]
- (Table70[[Funding Rate]:[Funding Rate]]
   *Table70[[Tenure (in months)]:[Tenure (in months)]]
   *$F$3*(1+$Q78)/12)
- (
   IF($Q78&lt;0,
      'Dynamic CM'!$G$3,
      'Dynamic CM'!$G$3*(( $F$3*(1+$Q78) / $F$3 )^'Dynamic CM'!$H$3)
     )
   *Table70[[LGD]:[LGD]]
   *$F$3*(1+$Q78)
 )</f>
        <v>-388.2325543964173</v>
      </c>
      <c r="S78" s="99" cm="1">
        <f t="array" ref="S78">($F$4*(1+$Q78)*'User Segmentation'!$I$49)
- Table70[[Fixed Cost]:[Fixed Cost]]
- (Table70[[Funding Rate]:[Funding Rate]]
   *Table70[[Tenure (in months)]:[Tenure (in months)]]
   *$F$4*(1+$Q78)/12)
- (
   IF($Q78&lt;0,
      'Dynamic CM'!$G$4,
      'Dynamic CM'!$G$4*(( $F$4*(1+$Q78) / $F$4 )^'Dynamic CM'!$H$4)
     )
   *Table70[[LGD]:[LGD]]
   *$F$4*(1+$Q78)
 )</f>
        <v>-75.67576918614148</v>
      </c>
      <c r="T78" s="99" cm="1">
        <f t="array" ref="T78">($F$5*(1+$Q78)*'User Segmentation'!$I$49)
- Table70[[Fixed Cost]:[Fixed Cost]]
- (Table70[[Funding Rate]:[Funding Rate]]
   *Table70[[Tenure (in months)]:[Tenure (in months)]]
   *$F$5*(1+$Q78)/12)
- (
   IF($Q78&lt;0,
      'Dynamic CM'!$G$5,
      'Dynamic CM'!$G$5*(( $F$5*(1+$Q78) / $F$5 )^'Dynamic CM'!$H$5)
     )
   *Table70[[LGD]:[LGD]]
   *$F$5*(1+$Q78)
 )</f>
        <v>-55.206530771103132</v>
      </c>
      <c r="U78" s="99" cm="1">
        <f t="array" ref="U78">($F$6*(1+$Q78)*'User Segmentation'!$I$49)
- Table70[[Fixed Cost]:[Fixed Cost]]
- (Table70[[Funding Rate]:[Funding Rate]]
   *Table70[[Tenure (in months)]:[Tenure (in months)]]
   *$F$6*(1+$Q78)/12)
- (
   IF($Q78&lt;0,
      'Dynamic CM'!$G$6,
      'Dynamic CM'!$G$6*(( $F$6*(1+$Q78) / $F$6)^'Dynamic CM'!$H$6)
     )
   *Table70[[LGD]:[LGD]]
   *$F$6*(1+$Q78)
 )</f>
        <v>-54.430250061559491</v>
      </c>
    </row>
    <row r="79" spans="17:21" x14ac:dyDescent="0.2">
      <c r="Q79" s="64">
        <v>6.1</v>
      </c>
      <c r="R79" s="99" cm="1">
        <f t="array" ref="R79">($F$3*(1+$Q79)*'User Segmentation'!$I$49)
- Table70[[Fixed Cost]:[Fixed Cost]]
- (Table70[[Funding Rate]:[Funding Rate]]
   *Table70[[Tenure (in months)]:[Tenure (in months)]]
   *$F$3*(1+$Q79)/12)
- (
   IF($Q79&lt;0,
      'Dynamic CM'!$G$3,
      'Dynamic CM'!$G$3*(( $F$3*(1+$Q79) / $F$3 )^'Dynamic CM'!$H$3)
     )
   *Table70[[LGD]:[LGD]]
   *$F$3*(1+$Q79)
 )</f>
        <v>-404.71937807368789</v>
      </c>
      <c r="S79" s="99" cm="1">
        <f t="array" ref="S79">($F$4*(1+$Q79)*'User Segmentation'!$I$49)
- Table70[[Fixed Cost]:[Fixed Cost]]
- (Table70[[Funding Rate]:[Funding Rate]]
   *Table70[[Tenure (in months)]:[Tenure (in months)]]
   *$F$4*(1+$Q79)/12)
- (
   IF($Q79&lt;0,
      'Dynamic CM'!$G$4,
      'Dynamic CM'!$G$4*(( $F$4*(1+$Q79) / $F$4 )^'Dynamic CM'!$H$4)
     )
   *Table70[[LGD]:[LGD]]
   *$F$4*(1+$Q79)
 )</f>
        <v>-78.941747949123155</v>
      </c>
      <c r="T79" s="99" cm="1">
        <f t="array" ref="T79">($F$5*(1+$Q79)*'User Segmentation'!$I$49)
- Table70[[Fixed Cost]:[Fixed Cost]]
- (Table70[[Funding Rate]:[Funding Rate]]
   *Table70[[Tenure (in months)]:[Tenure (in months)]]
   *$F$5*(1+$Q79)/12)
- (
   IF($Q79&lt;0,
      'Dynamic CM'!$G$5,
      'Dynamic CM'!$G$5*(( $F$5*(1+$Q79) / $F$5 )^'Dynamic CM'!$H$5)
     )
   *Table70[[LGD]:[LGD]]
   *$F$5*(1+$Q79)
 )</f>
        <v>-59.823362545185859</v>
      </c>
      <c r="U79" s="99" cm="1">
        <f t="array" ref="U79">($F$6*(1+$Q79)*'User Segmentation'!$I$49)
- Table70[[Fixed Cost]:[Fixed Cost]]
- (Table70[[Funding Rate]:[Funding Rate]]
   *Table70[[Tenure (in months)]:[Tenure (in months)]]
   *$F$6*(1+$Q79)/12)
- (
   IF($Q79&lt;0,
      'Dynamic CM'!$G$6,
      'Dynamic CM'!$G$6*(( $F$6*(1+$Q79) / $F$6)^'Dynamic CM'!$H$6)
     )
   *Table70[[LGD]:[LGD]]
   *$F$6*(1+$Q79)
 )</f>
        <v>-56.707258796508334</v>
      </c>
    </row>
    <row r="80" spans="17:21" x14ac:dyDescent="0.2">
      <c r="Q80" s="64">
        <v>6.2</v>
      </c>
      <c r="R80" s="99" cm="1">
        <f t="array" ref="R80">($F$3*(1+$Q80)*'User Segmentation'!$I$49)
- Table70[[Fixed Cost]:[Fixed Cost]]
- (Table70[[Funding Rate]:[Funding Rate]]
   *Table70[[Tenure (in months)]:[Tenure (in months)]]
   *$F$3*(1+$Q80)/12)
- (
   IF($Q80&lt;0,
      'Dynamic CM'!$G$3,
      'Dynamic CM'!$G$3*(( $F$3*(1+$Q80) / $F$3 )^'Dynamic CM'!$H$3)
     )
   *Table70[[LGD]:[LGD]]
   *$F$3*(1+$Q80)
 )</f>
        <v>-421.6560971754995</v>
      </c>
      <c r="S80" s="99" cm="1">
        <f t="array" ref="S80">($F$4*(1+$Q80)*'User Segmentation'!$I$49)
- Table70[[Fixed Cost]:[Fixed Cost]]
- (Table70[[Funding Rate]:[Funding Rate]]
   *Table70[[Tenure (in months)]:[Tenure (in months)]]
   *$F$4*(1+$Q80)/12)
- (
   IF($Q80&lt;0,
      'Dynamic CM'!$G$4,
      'Dynamic CM'!$G$4*(( $F$4*(1+$Q80) / $F$4 )^'Dynamic CM'!$H$4)
     )
   *Table70[[LGD]:[LGD]]
   *$F$4*(1+$Q80)
 )</f>
        <v>-82.280685591149137</v>
      </c>
      <c r="T80" s="99" cm="1">
        <f t="array" ref="T80">($F$5*(1+$Q80)*'User Segmentation'!$I$49)
- Table70[[Fixed Cost]:[Fixed Cost]]
- (Table70[[Funding Rate]:[Funding Rate]]
   *Table70[[Tenure (in months)]:[Tenure (in months)]]
   *$F$5*(1+$Q80)/12)
- (
   IF($Q80&lt;0,
      'Dynamic CM'!$G$5,
      'Dynamic CM'!$G$5*(( $F$5*(1+$Q80) / $F$5 )^'Dynamic CM'!$H$5)
     )
   *Table70[[LGD]:[LGD]]
   *$F$5*(1+$Q80)
 )</f>
        <v>-64.553164888645455</v>
      </c>
      <c r="U80" s="99" cm="1">
        <f t="array" ref="U80">($F$6*(1+$Q80)*'User Segmentation'!$I$49)
- Table70[[Fixed Cost]:[Fixed Cost]]
- (Table70[[Funding Rate]:[Funding Rate]]
   *Table70[[Tenure (in months)]:[Tenure (in months)]]
   *$F$6*(1+$Q80)/12)
- (
   IF($Q80&lt;0,
      'Dynamic CM'!$G$6,
      'Dynamic CM'!$G$6*(( $F$6*(1+$Q80) / $F$6)^'Dynamic CM'!$H$6)
     )
   *Table70[[LGD]:[LGD]]
   *$F$6*(1+$Q80)
 )</f>
        <v>-59.034777524641697</v>
      </c>
    </row>
    <row r="81" spans="17:21" x14ac:dyDescent="0.2">
      <c r="Q81" s="64">
        <v>6.3</v>
      </c>
      <c r="R81" s="99" cm="1">
        <f t="array" ref="R81">($F$3*(1+$Q81)*'User Segmentation'!$I$49)
- Table70[[Fixed Cost]:[Fixed Cost]]
- (Table70[[Funding Rate]:[Funding Rate]]
   *Table70[[Tenure (in months)]:[Tenure (in months)]]
   *$F$3*(1+$Q81)/12)
- (
   IF($Q81&lt;0,
      'Dynamic CM'!$G$3,
      'Dynamic CM'!$G$3*(( $F$3*(1+$Q81) / $F$3 )^'Dynamic CM'!$H$3)
     )
   *Table70[[LGD]:[LGD]]
   *$F$3*(1+$Q81)
 )</f>
        <v>-439.04834691032931</v>
      </c>
      <c r="S81" s="99" cm="1">
        <f t="array" ref="S81">($F$4*(1+$Q81)*'User Segmentation'!$I$49)
- Table70[[Fixed Cost]:[Fixed Cost]]
- (Table70[[Funding Rate]:[Funding Rate]]
   *Table70[[Tenure (in months)]:[Tenure (in months)]]
   *$F$4*(1+$Q81)/12)
- (
   IF($Q81&lt;0,
      'Dynamic CM'!$G$4,
      'Dynamic CM'!$G$4*(( $F$4*(1+$Q81) / $F$4 )^'Dynamic CM'!$H$4)
     )
   *Table70[[LGD]:[LGD]]
   *$F$4*(1+$Q81)
 )</f>
        <v>-85.692909385873662</v>
      </c>
      <c r="T81" s="99" cm="1">
        <f t="array" ref="T81">($F$5*(1+$Q81)*'User Segmentation'!$I$49)
- Table70[[Fixed Cost]:[Fixed Cost]]
- (Table70[[Funding Rate]:[Funding Rate]]
   *Table70[[Tenure (in months)]:[Tenure (in months)]]
   *$F$5*(1+$Q81)/12)
- (
   IF($Q81&lt;0,
      'Dynamic CM'!$G$5,
      'Dynamic CM'!$G$5*(( $F$5*(1+$Q81) / $F$5 )^'Dynamic CM'!$H$5)
     )
   *Table70[[LGD]:[LGD]]
   *$F$5*(1+$Q81)
 )</f>
        <v>-69.396050042995739</v>
      </c>
      <c r="U81" s="99" cm="1">
        <f t="array" ref="U81">($F$6*(1+$Q81)*'User Segmentation'!$I$49)
- Table70[[Fixed Cost]:[Fixed Cost]]
- (Table70[[Funding Rate]:[Funding Rate]]
   *Table70[[Tenure (in months)]:[Tenure (in months)]]
   *$F$6*(1+$Q81)/12)
- (
   IF($Q81&lt;0,
      'Dynamic CM'!$G$6,
      'Dynamic CM'!$G$6*(( $F$6*(1+$Q81) / $F$6)^'Dynamic CM'!$H$6)
     )
   *Table70[[LGD]:[LGD]]
   *$F$6*(1+$Q81)
 )</f>
        <v>-61.413032820027908</v>
      </c>
    </row>
    <row r="82" spans="17:21" x14ac:dyDescent="0.2">
      <c r="Q82" s="64">
        <v>6.4</v>
      </c>
      <c r="R82" s="99" cm="1">
        <f t="array" ref="R82">($F$3*(1+$Q82)*'User Segmentation'!$I$49)
- Table70[[Fixed Cost]:[Fixed Cost]]
- (Table70[[Funding Rate]:[Funding Rate]]
   *Table70[[Tenure (in months)]:[Tenure (in months)]]
   *$F$3*(1+$Q82)/12)
- (
   IF($Q82&lt;0,
      'Dynamic CM'!$G$3,
      'Dynamic CM'!$G$3*(( $F$3*(1+$Q82) / $F$3 )^'Dynamic CM'!$H$3)
     )
   *Table70[[LGD]:[LGD]]
   *$F$3*(1+$Q82)
 )</f>
        <v>-456.90175388328367</v>
      </c>
      <c r="S82" s="99" cm="1">
        <f t="array" ref="S82">($F$4*(1+$Q82)*'User Segmentation'!$I$49)
- Table70[[Fixed Cost]:[Fixed Cost]]
- (Table70[[Funding Rate]:[Funding Rate]]
   *Table70[[Tenure (in months)]:[Tenure (in months)]]
   *$F$4*(1+$Q82)/12)
- (
   IF($Q82&lt;0,
      'Dynamic CM'!$G$4,
      'Dynamic CM'!$G$4*(( $F$4*(1+$Q82) / $F$4 )^'Dynamic CM'!$H$4)
     )
   *Table70[[LGD]:[LGD]]
   *$F$4*(1+$Q82)
 )</f>
        <v>-89.178743530285772</v>
      </c>
      <c r="T82" s="99" cm="1">
        <f t="array" ref="T82">($F$5*(1+$Q82)*'User Segmentation'!$I$49)
- Table70[[Fixed Cost]:[Fixed Cost]]
- (Table70[[Funding Rate]:[Funding Rate]]
   *Table70[[Tenure (in months)]:[Tenure (in months)]]
   *$F$5*(1+$Q82)/12)
- (
   IF($Q82&lt;0,
      'Dynamic CM'!$G$5,
      'Dynamic CM'!$G$5*(( $F$5*(1+$Q82) / $F$5 )^'Dynamic CM'!$H$5)
     )
   *Table70[[LGD]:[LGD]]
   *$F$5*(1+$Q82)
 )</f>
        <v>-74.352128810670365</v>
      </c>
      <c r="U82" s="99" cm="1">
        <f t="array" ref="U82">($F$6*(1+$Q82)*'User Segmentation'!$I$49)
- Table70[[Fixed Cost]:[Fixed Cost]]
- (Table70[[Funding Rate]:[Funding Rate]]
   *Table70[[Tenure (in months)]:[Tenure (in months)]]
   *$F$6*(1+$Q82)/12)
- (
   IF($Q82&lt;0,
      'Dynamic CM'!$G$6,
      'Dynamic CM'!$G$6*(( $F$6*(1+$Q82) / $F$6)^'Dynamic CM'!$H$6)
     )
   *Table70[[LGD]:[LGD]]
   *$F$6*(1+$Q82)
 )</f>
        <v>-63.842249126736306</v>
      </c>
    </row>
    <row r="83" spans="17:21" x14ac:dyDescent="0.2">
      <c r="Q83" s="64">
        <v>6.5</v>
      </c>
      <c r="R83" s="99" cm="1">
        <f t="array" ref="R83">($F$3*(1+$Q83)*'User Segmentation'!$I$49)
- Table70[[Fixed Cost]:[Fixed Cost]]
- (Table70[[Funding Rate]:[Funding Rate]]
   *Table70[[Tenure (in months)]:[Tenure (in months)]]
   *$F$3*(1+$Q83)/12)
- (
   IF($Q83&lt;0,
      'Dynamic CM'!$G$3,
      'Dynamic CM'!$G$3*(( $F$3*(1+$Q83) / $F$3 )^'Dynamic CM'!$H$3)
     )
   *Table70[[LGD]:[LGD]]
   *$F$3*(1+$Q83)
 )</f>
        <v>-475.22193622683244</v>
      </c>
      <c r="S83" s="99" cm="1">
        <f t="array" ref="S83">($F$4*(1+$Q83)*'User Segmentation'!$I$49)
- Table70[[Fixed Cost]:[Fixed Cost]]
- (Table70[[Funding Rate]:[Funding Rate]]
   *Table70[[Tenure (in months)]:[Tenure (in months)]]
   *$F$4*(1+$Q83)/12)
- (
   IF($Q83&lt;0,
      'Dynamic CM'!$G$4,
      'Dynamic CM'!$G$4*(( $F$4*(1+$Q83) / $F$4 )^'Dynamic CM'!$H$4)
     )
   *Table70[[LGD]:[LGD]]
   *$F$4*(1+$Q83)
 )</f>
        <v>-92.738509215196444</v>
      </c>
      <c r="T83" s="99" cm="1">
        <f t="array" ref="T83">($F$5*(1+$Q83)*'User Segmentation'!$I$49)
- Table70[[Fixed Cost]:[Fixed Cost]]
- (Table70[[Funding Rate]:[Funding Rate]]
   *Table70[[Tenure (in months)]:[Tenure (in months)]]
   *$F$5*(1+$Q83)/12)
- (
   IF($Q83&lt;0,
      'Dynamic CM'!$G$5,
      'Dynamic CM'!$G$5*(( $F$5*(1+$Q83) / $F$5 )^'Dynamic CM'!$H$5)
     )
   *Table70[[LGD]:[LGD]]
   *$F$5*(1+$Q83)
 )</f>
        <v>-79.421510592814684</v>
      </c>
      <c r="U83" s="99" cm="1">
        <f t="array" ref="U83">($F$6*(1+$Q83)*'User Segmentation'!$I$49)
- Table70[[Fixed Cost]:[Fixed Cost]]
- (Table70[[Funding Rate]:[Funding Rate]]
   *Table70[[Tenure (in months)]:[Tenure (in months)]]
   *$F$6*(1+$Q83)/12)
- (
   IF($Q83&lt;0,
      'Dynamic CM'!$G$6,
      'Dynamic CM'!$G$6*(( $F$6*(1+$Q83) / $F$6)^'Dynamic CM'!$H$6)
     )
   *Table70[[LGD]:[LGD]]
   *$F$6*(1+$Q83)
 )</f>
        <v>-66.322648807635986</v>
      </c>
    </row>
    <row r="84" spans="17:21" x14ac:dyDescent="0.2">
      <c r="Q84" s="64">
        <v>6.6</v>
      </c>
      <c r="R84" s="99" cm="1">
        <f t="array" ref="R84">($F$3*(1+$Q84)*'User Segmentation'!$I$49)
- Table70[[Fixed Cost]:[Fixed Cost]]
- (Table70[[Funding Rate]:[Funding Rate]]
   *Table70[[Tenure (in months)]:[Tenure (in months)]]
   *$F$3*(1+$Q84)/12)
- (
   IF($Q84&lt;0,
      'Dynamic CM'!$G$3,
      'Dynamic CM'!$G$3*(( $F$3*(1+$Q84) / $F$3 )^'Dynamic CM'!$H$3)
     )
   *Table70[[LGD]:[LGD]]
   *$F$3*(1+$Q84)
 )</f>
        <v>-494.01450372782381</v>
      </c>
      <c r="S84" s="99" cm="1">
        <f t="array" ref="S84">($F$4*(1+$Q84)*'User Segmentation'!$I$49)
- Table70[[Fixed Cost]:[Fixed Cost]]
- (Table70[[Funding Rate]:[Funding Rate]]
   *Table70[[Tenure (in months)]:[Tenure (in months)]]
   *$F$4*(1+$Q84)/12)
- (
   IF($Q84&lt;0,
      'Dynamic CM'!$G$4,
      'Dynamic CM'!$G$4*(( $F$4*(1+$Q84) / $F$4 )^'Dynamic CM'!$H$4)
     )
   *Table70[[LGD]:[LGD]]
   *$F$4*(1+$Q84)
 )</f>
        <v>-96.372524693184346</v>
      </c>
      <c r="T84" s="99" cm="1">
        <f t="array" ref="T84">($F$5*(1+$Q84)*'User Segmentation'!$I$49)
- Table70[[Fixed Cost]:[Fixed Cost]]
- (Table70[[Funding Rate]:[Funding Rate]]
   *Table70[[Tenure (in months)]:[Tenure (in months)]]
   *$F$5*(1+$Q84)/12)
- (
   IF($Q84&lt;0,
      'Dynamic CM'!$G$5,
      'Dynamic CM'!$G$5*(( $F$5*(1+$Q84) / $F$5 )^'Dynamic CM'!$H$5)
     )
   *Table70[[LGD]:[LGD]]
   *$F$5*(1+$Q84)
 )</f>
        <v>-84.604303425591183</v>
      </c>
      <c r="U84" s="99" cm="1">
        <f t="array" ref="U84">($F$6*(1+$Q84)*'User Segmentation'!$I$49)
- Table70[[Fixed Cost]:[Fixed Cost]]
- (Table70[[Funding Rate]:[Funding Rate]]
   *Table70[[Tenure (in months)]:[Tenure (in months)]]
   *$F$6*(1+$Q84)/12)
- (
   IF($Q84&lt;0,
      'Dynamic CM'!$G$6,
      'Dynamic CM'!$G$6*(( $F$6*(1+$Q84) / $F$6)^'Dynamic CM'!$H$6)
     )
   *Table70[[LGD]:[LGD]]
   *$F$6*(1+$Q84)
 )</f>
        <v>-68.854452191435314</v>
      </c>
    </row>
    <row r="85" spans="17:21" x14ac:dyDescent="0.2">
      <c r="Q85" s="64">
        <v>6.7</v>
      </c>
      <c r="R85" s="99" cm="1">
        <f t="array" ref="R85">($F$3*(1+$Q85)*'User Segmentation'!$I$49)
- Table70[[Fixed Cost]:[Fixed Cost]]
- (Table70[[Funding Rate]:[Funding Rate]]
   *Table70[[Tenure (in months)]:[Tenure (in months)]]
   *$F$3*(1+$Q85)/12)
- (
   IF($Q85&lt;0,
      'Dynamic CM'!$G$3,
      'Dynamic CM'!$G$3*(( $F$3*(1+$Q85) / $F$3 )^'Dynamic CM'!$H$3)
     )
   *Table70[[LGD]:[LGD]]
   *$F$3*(1+$Q85)
 )</f>
        <v>-513.2850579509219</v>
      </c>
      <c r="S85" s="99" cm="1">
        <f t="array" ref="S85">($F$4*(1+$Q85)*'User Segmentation'!$I$49)
- Table70[[Fixed Cost]:[Fixed Cost]]
- (Table70[[Funding Rate]:[Funding Rate]]
   *Table70[[Tenure (in months)]:[Tenure (in months)]]
   *$F$4*(1+$Q85)/12)
- (
   IF($Q85&lt;0,
      'Dynamic CM'!$G$4,
      'Dynamic CM'!$G$4*(( $F$4*(1+$Q85) / $F$4 )^'Dynamic CM'!$H$4)
     )
   *Table70[[LGD]:[LGD]]
   *$F$4*(1+$Q85)
 )</f>
        <v>-100.0811053441235</v>
      </c>
      <c r="T85" s="99" cm="1">
        <f t="array" ref="T85">($F$5*(1+$Q85)*'User Segmentation'!$I$49)
- Table70[[Fixed Cost]:[Fixed Cost]]
- (Table70[[Funding Rate]:[Funding Rate]]
   *Table70[[Tenure (in months)]:[Tenure (in months)]]
   *$F$5*(1+$Q85)/12)
- (
   IF($Q85&lt;0,
      'Dynamic CM'!$G$5,
      'Dynamic CM'!$G$5*(( $F$5*(1+$Q85) / $F$5 )^'Dynamic CM'!$H$5)
     )
   *Table70[[LGD]:[LGD]]
   *$F$5*(1+$Q85)
 )</f>
        <v>-89.900614015075632</v>
      </c>
      <c r="U85" s="99" cm="1">
        <f t="array" ref="U85">($F$6*(1+$Q85)*'User Segmentation'!$I$49)
- Table70[[Fixed Cost]:[Fixed Cost]]
- (Table70[[Funding Rate]:[Funding Rate]]
   *Table70[[Tenure (in months)]:[Tenure (in months)]]
   *$F$6*(1+$Q85)/12)
- (
   IF($Q85&lt;0,
      'Dynamic CM'!$G$6,
      'Dynamic CM'!$G$6*(( $F$6*(1+$Q85) / $F$6)^'Dynamic CM'!$H$6)
     )
   *Table70[[LGD]:[LGD]]
   *$F$6*(1+$Q85)
 )</f>
        <v>-71.437877618047025</v>
      </c>
    </row>
    <row r="86" spans="17:21" x14ac:dyDescent="0.2">
      <c r="Q86" s="64">
        <v>6.8</v>
      </c>
      <c r="R86" s="99" cm="1">
        <f t="array" ref="R86">($F$3*(1+$Q86)*'User Segmentation'!$I$49)
- Table70[[Fixed Cost]:[Fixed Cost]]
- (Table70[[Funding Rate]:[Funding Rate]]
   *Table70[[Tenure (in months)]:[Tenure (in months)]]
   *$F$3*(1+$Q86)/12)
- (
   IF($Q86&lt;0,
      'Dynamic CM'!$G$3,
      'Dynamic CM'!$G$3*(( $F$3*(1+$Q86) / $F$3 )^'Dynamic CM'!$H$3)
     )
   *Table70[[LGD]:[LGD]]
   *$F$3*(1+$Q86)
 )</f>
        <v>-533.03919235862077</v>
      </c>
      <c r="S86" s="99" cm="1">
        <f t="array" ref="S86">($F$4*(1+$Q86)*'User Segmentation'!$I$49)
- Table70[[Fixed Cost]:[Fixed Cost]]
- (Table70[[Funding Rate]:[Funding Rate]]
   *Table70[[Tenure (in months)]:[Tenure (in months)]]
   *$F$4*(1+$Q86)/12)
- (
   IF($Q86&lt;0,
      'Dynamic CM'!$G$4,
      'Dynamic CM'!$G$4*(( $F$4*(1+$Q86) / $F$4 )^'Dynamic CM'!$H$4)
     )
   *Table70[[LGD]:[LGD]]
   *$F$4*(1+$Q86)
 )</f>
        <v>-103.86456373841041</v>
      </c>
      <c r="T86" s="99" cm="1">
        <f t="array" ref="T86">($F$5*(1+$Q86)*'User Segmentation'!$I$49)
- Table70[[Fixed Cost]:[Fixed Cost]]
- (Table70[[Funding Rate]:[Funding Rate]]
   *Table70[[Tenure (in months)]:[Tenure (in months)]]
   *$F$5*(1+$Q86)/12)
- (
   IF($Q86&lt;0,
      'Dynamic CM'!$G$5,
      'Dynamic CM'!$G$5*(( $F$5*(1+$Q86) / $F$5 )^'Dynamic CM'!$H$5)
     )
   *Table70[[LGD]:[LGD]]
   *$F$5*(1+$Q86)
 )</f>
        <v>-95.310547770814821</v>
      </c>
      <c r="U86" s="99" cm="1">
        <f t="array" ref="U86">($F$6*(1+$Q86)*'User Segmentation'!$I$49)
- Table70[[Fixed Cost]:[Fixed Cost]]
- (Table70[[Funding Rate]:[Funding Rate]]
   *Table70[[Tenure (in months)]:[Tenure (in months)]]
   *$F$6*(1+$Q86)/12)
- (
   IF($Q86&lt;0,
      'Dynamic CM'!$G$6,
      'Dynamic CM'!$G$6*(( $F$6*(1+$Q86) / $F$6)^'Dynamic CM'!$H$6)
     )
   *Table70[[LGD]:[LGD]]
   *$F$6*(1+$Q86)
 )</f>
        <v>-74.073141482361052</v>
      </c>
    </row>
    <row r="87" spans="17:21" x14ac:dyDescent="0.2">
      <c r="Q87" s="64">
        <v>6.9</v>
      </c>
      <c r="R87" s="99" cm="1">
        <f t="array" ref="R87">($F$3*(1+$Q87)*'User Segmentation'!$I$49)
- Table70[[Fixed Cost]:[Fixed Cost]]
- (Table70[[Funding Rate]:[Funding Rate]]
   *Table70[[Tenure (in months)]:[Tenure (in months)]]
   *$F$3*(1+$Q87)/12)
- (
   IF($Q87&lt;0,
      'Dynamic CM'!$G$3,
      'Dynamic CM'!$G$3*(( $F$3*(1+$Q87) / $F$3 )^'Dynamic CM'!$H$3)
     )
   *Table70[[LGD]:[LGD]]
   *$F$3*(1+$Q87)
 )</f>
        <v>-553.28249242797324</v>
      </c>
      <c r="S87" s="99" cm="1">
        <f t="array" ref="S87">($F$4*(1+$Q87)*'User Segmentation'!$I$49)
- Table70[[Fixed Cost]:[Fixed Cost]]
- (Table70[[Funding Rate]:[Funding Rate]]
   *Table70[[Tenure (in months)]:[Tenure (in months)]]
   *$F$4*(1+$Q87)/12)
- (
   IF($Q87&lt;0,
      'Dynamic CM'!$G$4,
      'Dynamic CM'!$G$4*(( $F$4*(1+$Q87) / $F$4 )^'Dynamic CM'!$H$4)
     )
   *Table70[[LGD]:[LGD]]
   *$F$4*(1+$Q87)
 )</f>
        <v>-107.72320969800036</v>
      </c>
      <c r="T87" s="99" cm="1">
        <f t="array" ref="T87">($F$5*(1+$Q87)*'User Segmentation'!$I$49)
- Table70[[Fixed Cost]:[Fixed Cost]]
- (Table70[[Funding Rate]:[Funding Rate]]
   *Table70[[Tenure (in months)]:[Tenure (in months)]]
   *$F$5*(1+$Q87)/12)
- (
   IF($Q87&lt;0,
      'Dynamic CM'!$G$5,
      'Dynamic CM'!$G$5*(( $F$5*(1+$Q87) / $F$5 )^'Dynamic CM'!$H$5)
     )
   *Table70[[LGD]:[LGD]]
   *$F$5*(1+$Q87)
 )</f>
        <v>-100.83420883811857</v>
      </c>
      <c r="U87" s="99" cm="1">
        <f t="array" ref="U87">($F$6*(1+$Q87)*'User Segmentation'!$I$49)
- Table70[[Fixed Cost]:[Fixed Cost]]
- (Table70[[Funding Rate]:[Funding Rate]]
   *Table70[[Tenure (in months)]:[Tenure (in months)]]
   *$F$6*(1+$Q87)/12)
- (
   IF($Q87&lt;0,
      'Dynamic CM'!$G$6,
      'Dynamic CM'!$G$6*(( $F$6*(1+$Q87) / $F$6)^'Dynamic CM'!$H$6)
     )
   *Table70[[LGD]:[LGD]]
   *$F$6*(1+$Q87)
 )</f>
        <v>-76.760458276500231</v>
      </c>
    </row>
    <row r="88" spans="17:21" x14ac:dyDescent="0.2">
      <c r="Q88" s="64">
        <v>7</v>
      </c>
      <c r="R88" s="99" cm="1">
        <f t="array" ref="R88">($F$3*(1+$Q88)*'User Segmentation'!$I$49)
- Table70[[Fixed Cost]:[Fixed Cost]]
- (Table70[[Funding Rate]:[Funding Rate]]
   *Table70[[Tenure (in months)]:[Tenure (in months)]]
   *$F$3*(1+$Q88)/12)
- (
   IF($Q88&lt;0,
      'Dynamic CM'!$G$3,
      'Dynamic CM'!$G$3*(( $F$3*(1+$Q88) / $F$3 )^'Dynamic CM'!$H$3)
     )
   *Table70[[LGD]:[LGD]]
   *$F$3*(1+$Q88)
 )</f>
        <v>-574.02053576416165</v>
      </c>
      <c r="S88" s="99" cm="1">
        <f t="array" ref="S88">($F$4*(1+$Q88)*'User Segmentation'!$I$49)
- Table70[[Fixed Cost]:[Fixed Cost]]
- (Table70[[Funding Rate]:[Funding Rate]]
   *Table70[[Tenure (in months)]:[Tenure (in months)]]
   *$F$4*(1+$Q88)/12)
- (
   IF($Q88&lt;0,
      'Dynamic CM'!$G$4,
      'Dynamic CM'!$G$4*(( $F$4*(1+$Q88) / $F$4 )^'Dynamic CM'!$H$4)
     )
   *Table70[[LGD]:[LGD]]
   *$F$4*(1+$Q88)
 )</f>
        <v>-111.65735035535444</v>
      </c>
      <c r="T88" s="99" cm="1">
        <f t="array" ref="T88">($F$5*(1+$Q88)*'User Segmentation'!$I$49)
- Table70[[Fixed Cost]:[Fixed Cost]]
- (Table70[[Funding Rate]:[Funding Rate]]
   *Table70[[Tenure (in months)]:[Tenure (in months)]]
   *$F$5*(1+$Q88)/12)
- (
   IF($Q88&lt;0,
      'Dynamic CM'!$G$5,
      'Dynamic CM'!$G$5*(( $F$5*(1+$Q88) / $F$5 )^'Dynamic CM'!$H$5)
     )
   *Table70[[LGD]:[LGD]]
   *$F$5*(1+$Q88)
 )</f>
        <v>-106.47170012914194</v>
      </c>
      <c r="U88" s="99" cm="1">
        <f t="array" ref="U88">($F$6*(1+$Q88)*'User Segmentation'!$I$49)
- Table70[[Fixed Cost]:[Fixed Cost]]
- (Table70[[Funding Rate]:[Funding Rate]]
   *Table70[[Tenure (in months)]:[Tenure (in months)]]
   *$F$6*(1+$Q88)/12)
- (
   IF($Q88&lt;0,
      'Dynamic CM'!$G$6,
      'Dynamic CM'!$G$6*(( $F$6*(1+$Q88) / $F$6)^'Dynamic CM'!$H$6)
     )
   *Table70[[LGD]:[LGD]]
   *$F$6*(1+$Q88)
 )</f>
        <v>-79.500040630629996</v>
      </c>
    </row>
    <row r="89" spans="17:21" x14ac:dyDescent="0.2">
      <c r="Q89" s="64">
        <v>7.1</v>
      </c>
      <c r="R89" s="99" cm="1">
        <f t="array" ref="R89">($F$3*(1+$Q89)*'User Segmentation'!$I$49)
- Table70[[Fixed Cost]:[Fixed Cost]]
- (Table70[[Funding Rate]:[Funding Rate]]
   *Table70[[Tenure (in months)]:[Tenure (in months)]]
   *$F$3*(1+$Q89)/12)
- (
   IF($Q89&lt;0,
      'Dynamic CM'!$G$3,
      'Dynamic CM'!$G$3*(( $F$3*(1+$Q89) / $F$3 )^'Dynamic CM'!$H$3)
     )
   *Table70[[LGD]:[LGD]]
   *$F$3*(1+$Q89)
 )</f>
        <v>-595.25889221104183</v>
      </c>
      <c r="S89" s="99" cm="1">
        <f t="array" ref="S89">($F$4*(1+$Q89)*'User Segmentation'!$I$49)
- Table70[[Fixed Cost]:[Fixed Cost]]
- (Table70[[Funding Rate]:[Funding Rate]]
   *Table70[[Tenure (in months)]:[Tenure (in months)]]
   *$F$4*(1+$Q89)/12)
- (
   IF($Q89&lt;0,
      'Dynamic CM'!$G$4,
      'Dynamic CM'!$G$4*(( $F$4*(1+$Q89) / $F$4 )^'Dynamic CM'!$H$4)
     )
   *Table70[[LGD]:[LGD]]
   *$F$4*(1+$Q89)
 )</f>
        <v>-115.66729021039619</v>
      </c>
      <c r="T89" s="99" cm="1">
        <f t="array" ref="T89">($F$5*(1+$Q89)*'User Segmentation'!$I$49)
- Table70[[Fixed Cost]:[Fixed Cost]]
- (Table70[[Funding Rate]:[Funding Rate]]
   *Table70[[Tenure (in months)]:[Tenure (in months)]]
   *$F$5*(1+$Q89)/12)
- (
   IF($Q89&lt;0,
      'Dynamic CM'!$G$5,
      'Dynamic CM'!$G$5*(( $F$5*(1+$Q89) / $F$5 )^'Dynamic CM'!$H$5)
     )
   *Table70[[LGD]:[LGD]]
   *$F$5*(1+$Q89)
 )</f>
        <v>-112.22312335282524</v>
      </c>
      <c r="U89" s="99" cm="1">
        <f t="array" ref="U89">($F$6*(1+$Q89)*'User Segmentation'!$I$49)
- Table70[[Fixed Cost]:[Fixed Cost]]
- (Table70[[Funding Rate]:[Funding Rate]]
   *Table70[[Tenure (in months)]:[Tenure (in months)]]
   *$F$6*(1+$Q89)/12)
- (
   IF($Q89&lt;0,
      'Dynamic CM'!$G$6,
      'Dynamic CM'!$G$6*(( $F$6*(1+$Q89) / $F$6)^'Dynamic CM'!$H$6)
     )
   *Table70[[LGD]:[LGD]]
   *$F$6*(1+$Q89)
 )</f>
        <v>-82.292099352389641</v>
      </c>
    </row>
    <row r="90" spans="17:21" x14ac:dyDescent="0.2">
      <c r="Q90" s="64">
        <v>7.2</v>
      </c>
      <c r="R90" s="99" cm="1">
        <f t="array" ref="R90">($F$3*(1+$Q90)*'User Segmentation'!$I$49)
- Table70[[Fixed Cost]:[Fixed Cost]]
- (Table70[[Funding Rate]:[Funding Rate]]
   *Table70[[Tenure (in months)]:[Tenure (in months)]]
   *$F$3*(1+$Q90)/12)
- (
   IF($Q90&lt;0,
      'Dynamic CM'!$G$3,
      'Dynamic CM'!$G$3*(( $F$3*(1+$Q90) / $F$3 )^'Dynamic CM'!$H$3)
     )
   *Table70[[LGD]:[LGD]]
   *$F$3*(1+$Q90)
 )</f>
        <v>-617.00312395876085</v>
      </c>
      <c r="S90" s="99" cm="1">
        <f t="array" ref="S90">($F$4*(1+$Q90)*'User Segmentation'!$I$49)
- Table70[[Fixed Cost]:[Fixed Cost]]
- (Table70[[Funding Rate]:[Funding Rate]]
   *Table70[[Tenure (in months)]:[Tenure (in months)]]
   *$F$4*(1+$Q90)/12)
- (
   IF($Q90&lt;0,
      'Dynamic CM'!$G$4,
      'Dynamic CM'!$G$4*(( $F$4*(1+$Q90) / $F$4 )^'Dynamic CM'!$H$4)
     )
   *Table70[[LGD]:[LGD]]
   *$F$4*(1+$Q90)
 )</f>
        <v>-119.75333118556644</v>
      </c>
      <c r="T90" s="99" cm="1">
        <f t="array" ref="T90">($F$5*(1+$Q90)*'User Segmentation'!$I$49)
- Table70[[Fixed Cost]:[Fixed Cost]]
- (Table70[[Funding Rate]:[Funding Rate]]
   *Table70[[Tenure (in months)]:[Tenure (in months)]]
   *$F$5*(1+$Q90)/12)
- (
   IF($Q90&lt;0,
      'Dynamic CM'!$G$5,
      'Dynamic CM'!$G$5*(( $F$5*(1+$Q90) / $F$5 )^'Dynamic CM'!$H$5)
     )
   *Table70[[LGD]:[LGD]]
   *$F$5*(1+$Q90)
 )</f>
        <v>-118.08857904374156</v>
      </c>
      <c r="U90" s="99" cm="1">
        <f t="array" ref="U90">($F$6*(1+$Q90)*'User Segmentation'!$I$49)
- Table70[[Fixed Cost]:[Fixed Cost]]
- (Table70[[Funding Rate]:[Funding Rate]]
   *Table70[[Tenure (in months)]:[Tenure (in months)]]
   *$F$6*(1+$Q90)/12)
- (
   IF($Q90&lt;0,
      'Dynamic CM'!$G$6,
      'Dynamic CM'!$G$6*(( $F$6*(1+$Q90) / $F$6)^'Dynamic CM'!$H$6)
     )
   *Table70[[LGD]:[LGD]]
   *$F$6*(1+$Q90)
 )</f>
        <v>-85.136843465007502</v>
      </c>
    </row>
    <row r="91" spans="17:21" x14ac:dyDescent="0.2">
      <c r="Q91" s="64">
        <v>7.3</v>
      </c>
      <c r="R91" s="99" cm="1">
        <f t="array" ref="R91">($F$3*(1+$Q91)*'User Segmentation'!$I$49)
- Table70[[Fixed Cost]:[Fixed Cost]]
- (Table70[[Funding Rate]:[Funding Rate]]
   *Table70[[Tenure (in months)]:[Tenure (in months)]]
   *$F$3*(1+$Q91)/12)
- (
   IF($Q91&lt;0,
      'Dynamic CM'!$G$3,
      'Dynamic CM'!$G$3*(( $F$3*(1+$Q91) / $F$3 )^'Dynamic CM'!$H$3)
     )
   *Table70[[LGD]:[LGD]]
   *$F$3*(1+$Q91)
 )</f>
        <v>-639.25878564859079</v>
      </c>
      <c r="S91" s="99" cm="1">
        <f t="array" ref="S91">($F$4*(1+$Q91)*'User Segmentation'!$I$49)
- Table70[[Fixed Cost]:[Fixed Cost]]
- (Table70[[Funding Rate]:[Funding Rate]]
   *Table70[[Tenure (in months)]:[Tenure (in months)]]
   *$F$4*(1+$Q91)/12)
- (
   IF($Q91&lt;0,
      'Dynamic CM'!$G$4,
      'Dynamic CM'!$G$4*(( $F$4*(1+$Q91) / $F$4 )^'Dynamic CM'!$H$4)
     )
   *Table70[[LGD]:[LGD]]
   *$F$4*(1+$Q91)
 )</f>
        <v>-123.9157726790652</v>
      </c>
      <c r="T91" s="99" cm="1">
        <f t="array" ref="T91">($F$5*(1+$Q91)*'User Segmentation'!$I$49)
- Table70[[Fixed Cost]:[Fixed Cost]]
- (Table70[[Funding Rate]:[Funding Rate]]
   *Table70[[Tenure (in months)]:[Tenure (in months)]]
   *$F$5*(1+$Q91)/12)
- (
   IF($Q91&lt;0,
      'Dynamic CM'!$G$5,
      'Dynamic CM'!$G$5*(( $F$5*(1+$Q91) / $F$5 )^'Dynamic CM'!$H$5)
     )
   *Table70[[LGD]:[LGD]]
   *$F$5*(1+$Q91)
 )</f>
        <v>-124.0681665899078</v>
      </c>
      <c r="U91" s="99" cm="1">
        <f t="array" ref="U91">($F$6*(1+$Q91)*'User Segmentation'!$I$49)
- Table70[[Fixed Cost]:[Fixed Cost]]
- (Table70[[Funding Rate]:[Funding Rate]]
   *Table70[[Tenure (in months)]:[Tenure (in months)]]
   *$F$6*(1+$Q91)/12)
- (
   IF($Q91&lt;0,
      'Dynamic CM'!$G$6,
      'Dynamic CM'!$G$6*(( $F$6*(1+$Q91) / $F$6)^'Dynamic CM'!$H$6)
     )
   *Table70[[LGD]:[LGD]]
   *$F$6*(1+$Q91)
 )</f>
        <v>-88.034480244160505</v>
      </c>
    </row>
    <row r="92" spans="17:21" x14ac:dyDescent="0.2">
      <c r="Q92" s="64">
        <v>7.4</v>
      </c>
      <c r="R92" s="99" cm="1">
        <f t="array" ref="R92">($F$3*(1+$Q92)*'User Segmentation'!$I$49)
- Table70[[Fixed Cost]:[Fixed Cost]]
- (Table70[[Funding Rate]:[Funding Rate]]
   *Table70[[Tenure (in months)]:[Tenure (in months)]]
   *$F$3*(1+$Q92)/12)
- (
   IF($Q92&lt;0,
      'Dynamic CM'!$G$3,
      'Dynamic CM'!$G$3*(( $F$3*(1+$Q92) / $F$3 )^'Dynamic CM'!$H$3)
     )
   *Table70[[LGD]:[LGD]]
   *$F$3*(1+$Q92)
 )</f>
        <v>-662.0314244750482</v>
      </c>
      <c r="S92" s="99" cm="1">
        <f t="array" ref="S92">($F$4*(1+$Q92)*'User Segmentation'!$I$49)
- Table70[[Fixed Cost]:[Fixed Cost]]
- (Table70[[Funding Rate]:[Funding Rate]]
   *Table70[[Tenure (in months)]:[Tenure (in months)]]
   *$F$4*(1+$Q92)/12)
- (
   IF($Q92&lt;0,
      'Dynamic CM'!$G$4,
      'Dynamic CM'!$G$4*(( $F$4*(1+$Q92) / $F$4 )^'Dynamic CM'!$H$4)
     )
   *Table70[[LGD]:[LGD]]
   *$F$4*(1+$Q92)
 )</f>
        <v>-128.15491161636038</v>
      </c>
      <c r="T92" s="99" cm="1">
        <f t="array" ref="T92">($F$5*(1+$Q92)*'User Segmentation'!$I$49)
- Table70[[Fixed Cost]:[Fixed Cost]]
- (Table70[[Funding Rate]:[Funding Rate]]
   *Table70[[Tenure (in months)]:[Tenure (in months)]]
   *$F$5*(1+$Q92)/12)
- (
   IF($Q92&lt;0,
      'Dynamic CM'!$G$5,
      'Dynamic CM'!$G$5*(( $F$5*(1+$Q92) / $F$5 )^'Dynamic CM'!$H$5)
     )
   *Table70[[LGD]:[LGD]]
   *$F$5*(1+$Q92)
 )</f>
        <v>-130.1619842596084</v>
      </c>
      <c r="U92" s="99" cm="1">
        <f t="array" ref="U92">($F$6*(1+$Q92)*'User Segmentation'!$I$49)
- Table70[[Fixed Cost]:[Fixed Cost]]
- (Table70[[Funding Rate]:[Funding Rate]]
   *Table70[[Tenure (in months)]:[Tenure (in months)]]
   *$F$6*(1+$Q92)/12)
- (
   IF($Q92&lt;0,
      'Dynamic CM'!$G$6,
      'Dynamic CM'!$G$6*(( $F$6*(1+$Q92) / $F$6)^'Dynamic CM'!$H$6)
     )
   *Table70[[LGD]:[LGD]]
   *$F$6*(1+$Q92)
 )</f>
        <v>-90.985215253634095</v>
      </c>
    </row>
    <row r="93" spans="17:21" x14ac:dyDescent="0.2">
      <c r="Q93" s="64">
        <v>7.5</v>
      </c>
      <c r="R93" s="99" cm="1">
        <f t="array" ref="R93">($F$3*(1+$Q93)*'User Segmentation'!$I$49)
- Table70[[Fixed Cost]:[Fixed Cost]]
- (Table70[[Funding Rate]:[Funding Rate]]
   *Table70[[Tenure (in months)]:[Tenure (in months)]]
   *$F$3*(1+$Q93)/12)
- (
   IF($Q93&lt;0,
      'Dynamic CM'!$G$3,
      'Dynamic CM'!$G$3*(( $F$3*(1+$Q93) / $F$3 )^'Dynamic CM'!$H$3)
     )
   *Table70[[LGD]:[LGD]]
   *$F$3*(1+$Q93)
 )</f>
        <v>-685.32658028543301</v>
      </c>
      <c r="S93" s="99" cm="1">
        <f t="array" ref="S93">($F$4*(1+$Q93)*'User Segmentation'!$I$49)
- Table70[[Fixed Cost]:[Fixed Cost]]
- (Table70[[Funding Rate]:[Funding Rate]]
   *Table70[[Tenure (in months)]:[Tenure (in months)]]
   *$F$4*(1+$Q93)/12)
- (
   IF($Q93&lt;0,
      'Dynamic CM'!$G$4,
      'Dynamic CM'!$G$4*(( $F$4*(1+$Q93) / $F$4 )^'Dynamic CM'!$H$4)
     )
   *Table70[[LGD]:[LGD]]
   *$F$4*(1+$Q93)
 )</f>
        <v>-132.47104250003881</v>
      </c>
      <c r="T93" s="99" cm="1">
        <f t="array" ref="T93">($F$5*(1+$Q93)*'User Segmentation'!$I$49)
- Table70[[Fixed Cost]:[Fixed Cost]]
- (Table70[[Funding Rate]:[Funding Rate]]
   *Table70[[Tenure (in months)]:[Tenure (in months)]]
   *$F$5*(1+$Q93)/12)
- (
   IF($Q93&lt;0,
      'Dynamic CM'!$G$5,
      'Dynamic CM'!$G$5*(( $F$5*(1+$Q93) / $F$5 )^'Dynamic CM'!$H$5)
     )
   *Table70[[LGD]:[LGD]]
   *$F$5*(1+$Q93)
 )</f>
        <v>-136.37012922727615</v>
      </c>
      <c r="U93" s="99" cm="1">
        <f t="array" ref="U93">($F$6*(1+$Q93)*'User Segmentation'!$I$49)
- Table70[[Fixed Cost]:[Fixed Cost]]
- (Table70[[Funding Rate]:[Funding Rate]]
   *Table70[[Tenure (in months)]:[Tenure (in months)]]
   *$F$6*(1+$Q93)/12)
- (
   IF($Q93&lt;0,
      'Dynamic CM'!$G$6,
      'Dynamic CM'!$G$6*(( $F$6*(1+$Q93) / $F$6)^'Dynamic CM'!$H$6)
     )
   *Table70[[LGD]:[LGD]]
   *$F$6*(1+$Q93)
 )</f>
        <v>-93.989252379834539</v>
      </c>
    </row>
    <row r="94" spans="17:21" x14ac:dyDescent="0.2">
      <c r="Q94" s="64">
        <v>7.6</v>
      </c>
      <c r="R94" s="99" cm="1">
        <f t="array" ref="R94">($F$3*(1+$Q94)*'User Segmentation'!$I$49)
- Table70[[Fixed Cost]:[Fixed Cost]]
- (Table70[[Funding Rate]:[Funding Rate]]
   *Table70[[Tenure (in months)]:[Tenure (in months)]]
   *$F$3*(1+$Q94)/12)
- (
   IF($Q94&lt;0,
      'Dynamic CM'!$G$3,
      'Dynamic CM'!$G$3*(( $F$3*(1+$Q94) / $F$3 )^'Dynamic CM'!$H$3)
     )
   *Table70[[LGD]:[LGD]]
   *$F$3*(1+$Q94)
 )</f>
        <v>-709.14978567686023</v>
      </c>
      <c r="S94" s="99" cm="1">
        <f t="array" ref="S94">($F$4*(1+$Q94)*'User Segmentation'!$I$49)
- Table70[[Fixed Cost]:[Fixed Cost]]
- (Table70[[Funding Rate]:[Funding Rate]]
   *Table70[[Tenure (in months)]:[Tenure (in months)]]
   *$F$4*(1+$Q94)/12)
- (
   IF($Q94&lt;0,
      'Dynamic CM'!$G$4,
      'Dynamic CM'!$G$4*(( $F$4*(1+$Q94) / $F$4 )^'Dynamic CM'!$H$4)
     )
   *Table70[[LGD]:[LGD]]
   *$F$4*(1+$Q94)
 )</f>
        <v>-136.86445745807382</v>
      </c>
      <c r="T94" s="99" cm="1">
        <f t="array" ref="T94">($F$5*(1+$Q94)*'User Segmentation'!$I$49)
- Table70[[Fixed Cost]:[Fixed Cost]]
- (Table70[[Funding Rate]:[Funding Rate]]
   *Table70[[Tenure (in months)]:[Tenure (in months)]]
   *$F$5*(1+$Q94)/12)
- (
   IF($Q94&lt;0,
      'Dynamic CM'!$G$5,
      'Dynamic CM'!$G$5*(( $F$5*(1+$Q94) / $F$5 )^'Dynamic CM'!$H$5)
     )
   *Table70[[LGD]:[LGD]]
   *$F$5*(1+$Q94)
 )</f>
        <v>-142.6926975984772</v>
      </c>
      <c r="U94" s="99" cm="1">
        <f t="array" ref="U94">($F$6*(1+$Q94)*'User Segmentation'!$I$49)
- Table70[[Fixed Cost]:[Fixed Cost]]
- (Table70[[Funding Rate]:[Funding Rate]]
   *Table70[[Tenure (in months)]:[Tenure (in months)]]
   *$F$6*(1+$Q94)/12)
- (
   IF($Q94&lt;0,
      'Dynamic CM'!$G$6,
      'Dynamic CM'!$G$6*(( $F$6*(1+$Q94) / $F$6)^'Dynamic CM'!$H$6)
     )
   *Table70[[LGD]:[LGD]]
   *$F$6*(1+$Q94)
 )</f>
        <v>-97.046793865204933</v>
      </c>
    </row>
    <row r="95" spans="17:21" x14ac:dyDescent="0.2">
      <c r="Q95" s="64">
        <v>7.7</v>
      </c>
      <c r="R95" s="99" cm="1">
        <f t="array" ref="R95">($F$3*(1+$Q95)*'User Segmentation'!$I$49)
- Table70[[Fixed Cost]:[Fixed Cost]]
- (Table70[[Funding Rate]:[Funding Rate]]
   *Table70[[Tenure (in months)]:[Tenure (in months)]]
   *$F$3*(1+$Q95)/12)
- (
   IF($Q95&lt;0,
      'Dynamic CM'!$G$3,
      'Dynamic CM'!$G$3*(( $F$3*(1+$Q95) / $F$3 )^'Dynamic CM'!$H$3)
     )
   *Table70[[LGD]:[LGD]]
   *$F$3*(1+$Q95)
 )</f>
        <v>-733.50656609088639</v>
      </c>
      <c r="S95" s="99" cm="1">
        <f t="array" ref="S95">($F$4*(1+$Q95)*'User Segmentation'!$I$49)
- Table70[[Fixed Cost]:[Fixed Cost]]
- (Table70[[Funding Rate]:[Funding Rate]]
   *Table70[[Tenure (in months)]:[Tenure (in months)]]
   *$F$4*(1+$Q95)/12)
- (
   IF($Q95&lt;0,
      'Dynamic CM'!$G$4,
      'Dynamic CM'!$G$4*(( $F$4*(1+$Q95) / $F$4 )^'Dynamic CM'!$H$4)
     )
   *Table70[[LGD]:[LGD]]
   *$F$4*(1+$Q95)
 )</f>
        <v>-141.33544629057673</v>
      </c>
      <c r="T95" s="99" cm="1">
        <f t="array" ref="T95">($F$5*(1+$Q95)*'User Segmentation'!$I$49)
- Table70[[Fixed Cost]:[Fixed Cost]]
- (Table70[[Funding Rate]:[Funding Rate]]
   *Table70[[Tenure (in months)]:[Tenure (in months)]]
   *$F$5*(1+$Q95)/12)
- (
   IF($Q95&lt;0,
      'Dynamic CM'!$G$5,
      'Dynamic CM'!$G$5*(( $F$5*(1+$Q95) / $F$5 )^'Dynamic CM'!$H$5)
     )
   *Table70[[LGD]:[LGD]]
   *$F$5*(1+$Q95)
 )</f>
        <v>-149.12978443403784</v>
      </c>
      <c r="U95" s="99" cm="1">
        <f t="array" ref="U95">($F$6*(1+$Q95)*'User Segmentation'!$I$49)
- Table70[[Fixed Cost]:[Fixed Cost]]
- (Table70[[Funding Rate]:[Funding Rate]]
   *Table70[[Tenure (in months)]:[Tenure (in months)]]
   *$F$6*(1+$Q95)/12)
- (
   IF($Q95&lt;0,
      'Dynamic CM'!$G$6,
      'Dynamic CM'!$G$6*(( $F$6*(1+$Q95) / $F$6)^'Dynamic CM'!$H$6)
     )
   *Table70[[LGD]:[LGD]]
   *$F$6*(1+$Q95)
 )</f>
        <v>-100.15804034059155</v>
      </c>
    </row>
    <row r="96" spans="17:21" x14ac:dyDescent="0.2">
      <c r="Q96" s="64">
        <v>7.8</v>
      </c>
      <c r="R96" s="99" cm="1">
        <f t="array" ref="R96">($F$3*(1+$Q96)*'User Segmentation'!$I$49)
- Table70[[Fixed Cost]:[Fixed Cost]]
- (Table70[[Funding Rate]:[Funding Rate]]
   *Table70[[Tenure (in months)]:[Tenure (in months)]]
   *$F$3*(1+$Q96)/12)
- (
   IF($Q96&lt;0,
      'Dynamic CM'!$G$3,
      'Dynamic CM'!$G$3*(( $F$3*(1+$Q96) / $F$3 )^'Dynamic CM'!$H$3)
     )
   *Table70[[LGD]:[LGD]]
   *$F$3*(1+$Q96)
 )</f>
        <v>-758.40243990581814</v>
      </c>
      <c r="S96" s="99" cm="1">
        <f t="array" ref="S96">($F$4*(1+$Q96)*'User Segmentation'!$I$49)
- Table70[[Fixed Cost]:[Fixed Cost]]
- (Table70[[Funding Rate]:[Funding Rate]]
   *Table70[[Tenure (in months)]:[Tenure (in months)]]
   *$F$4*(1+$Q96)/12)
- (
   IF($Q96&lt;0,
      'Dynamic CM'!$G$4,
      'Dynamic CM'!$G$4*(( $F$4*(1+$Q96) / $F$4 )^'Dynamic CM'!$H$4)
     )
   *Table70[[LGD]:[LGD]]
   *$F$4*(1+$Q96)
 )</f>
        <v>-145.88429651509691</v>
      </c>
      <c r="T96" s="99" cm="1">
        <f t="array" ref="T96">($F$5*(1+$Q96)*'User Segmentation'!$I$49)
- Table70[[Fixed Cost]:[Fixed Cost]]
- (Table70[[Funding Rate]:[Funding Rate]]
   *Table70[[Tenure (in months)]:[Tenure (in months)]]
   *$F$5*(1+$Q96)/12)
- (
   IF($Q96&lt;0,
      'Dynamic CM'!$G$5,
      'Dynamic CM'!$G$5*(( $F$5*(1+$Q96) / $F$5 )^'Dynamic CM'!$H$5)
     )
   *Table70[[LGD]:[LGD]]
   *$F$5*(1+$Q96)
 )</f>
        <v>-155.68148377335524</v>
      </c>
      <c r="U96" s="99" cm="1">
        <f t="array" ref="U96">($F$6*(1+$Q96)*'User Segmentation'!$I$49)
- Table70[[Fixed Cost]:[Fixed Cost]]
- (Table70[[Funding Rate]:[Funding Rate]]
   *Table70[[Tenure (in months)]:[Tenure (in months)]]
   *$F$6*(1+$Q96)/12)
- (
   IF($Q96&lt;0,
      'Dynamic CM'!$G$6,
      'Dynamic CM'!$G$6*(( $F$6*(1+$Q96) / $F$6)^'Dynamic CM'!$H$6)
     )
   *Table70[[LGD]:[LGD]]
   *$F$6*(1+$Q96)
 )</f>
        <v>-103.32319085660555</v>
      </c>
    </row>
    <row r="97" spans="17:21" x14ac:dyDescent="0.2">
      <c r="Q97" s="64">
        <v>7.9</v>
      </c>
      <c r="R97" s="99" cm="1">
        <f t="array" ref="R97">($F$3*(1+$Q97)*'User Segmentation'!$I$49)
- Table70[[Fixed Cost]:[Fixed Cost]]
- (Table70[[Funding Rate]:[Funding Rate]]
   *Table70[[Tenure (in months)]:[Tenure (in months)]]
   *$F$3*(1+$Q97)/12)
- (
   IF($Q97&lt;0,
      'Dynamic CM'!$G$3,
      'Dynamic CM'!$G$3*(( $F$3*(1+$Q97) / $F$3 )^'Dynamic CM'!$H$3)
     )
   *Table70[[LGD]:[LGD]]
   *$F$3*(1+$Q97)
 )</f>
        <v>-783.84291852677563</v>
      </c>
      <c r="S97" s="99" cm="1">
        <f t="array" ref="S97">($F$4*(1+$Q97)*'User Segmentation'!$I$49)
- Table70[[Fixed Cost]:[Fixed Cost]]
- (Table70[[Funding Rate]:[Funding Rate]]
   *Table70[[Tenure (in months)]:[Tenure (in months)]]
   *$F$4*(1+$Q97)/12)
- (
   IF($Q97&lt;0,
      'Dynamic CM'!$G$4,
      'Dynamic CM'!$G$4*(( $F$4*(1+$Q97) / $F$4 )^'Dynamic CM'!$H$4)
     )
   *Table70[[LGD]:[LGD]]
   *$F$4*(1+$Q97)
 )</f>
        <v>-150.51129341053087</v>
      </c>
      <c r="T97" s="99" cm="1">
        <f t="array" ref="T97">($F$5*(1+$Q97)*'User Segmentation'!$I$49)
- Table70[[Fixed Cost]:[Fixed Cost]]
- (Table70[[Funding Rate]:[Funding Rate]]
   *Table70[[Tenure (in months)]:[Tenure (in months)]]
   *$F$5*(1+$Q97)/12)
- (
   IF($Q97&lt;0,
      'Dynamic CM'!$G$5,
      'Dynamic CM'!$G$5*(( $F$5*(1+$Q97) / $F$5 )^'Dynamic CM'!$H$5)
     )
   *Table70[[LGD]:[LGD]]
   *$F$5*(1+$Q97)
 )</f>
        <v>-162.34788865692667</v>
      </c>
      <c r="U97" s="99" cm="1">
        <f t="array" ref="U97">($F$6*(1+$Q97)*'User Segmentation'!$I$49)
- Table70[[Fixed Cost]:[Fixed Cost]]
- (Table70[[Funding Rate]:[Funding Rate]]
   *Table70[[Tenure (in months)]:[Tenure (in months)]]
   *$F$6*(1+$Q97)/12)
- (
   IF($Q97&lt;0,
      'Dynamic CM'!$G$6,
      'Dynamic CM'!$G$6*(( $F$6*(1+$Q97) / $F$6)^'Dynamic CM'!$H$6)
     )
   *Table70[[LGD]:[LGD]]
   *$F$6*(1+$Q97)
 )</f>
        <v>-106.54244291402139</v>
      </c>
    </row>
    <row r="98" spans="17:21" x14ac:dyDescent="0.2">
      <c r="Q98" s="64">
        <v>8</v>
      </c>
      <c r="R98" s="99" cm="1">
        <f t="array" ref="R98">($F$3*(1+$Q98)*'User Segmentation'!$I$49)
- Table70[[Fixed Cost]:[Fixed Cost]]
- (Table70[[Funding Rate]:[Funding Rate]]
   *Table70[[Tenure (in months)]:[Tenure (in months)]]
   *$F$3*(1+$Q98)/12)
- (
   IF($Q98&lt;0,
      'Dynamic CM'!$G$3,
      'Dynamic CM'!$G$3*(( $F$3*(1+$Q98) / $F$3 )^'Dynamic CM'!$H$3)
     )
   *Table70[[LGD]:[LGD]]
   *$F$3*(1+$Q98)
 )</f>
        <v>-809.83350647360885</v>
      </c>
      <c r="S98" s="99" cm="1">
        <f t="array" ref="S98">($F$4*(1+$Q98)*'User Segmentation'!$I$49)
- Table70[[Fixed Cost]:[Fixed Cost]]
- (Table70[[Funding Rate]:[Funding Rate]]
   *Table70[[Tenure (in months)]:[Tenure (in months)]]
   *$F$4*(1+$Q98)/12)
- (
   IF($Q98&lt;0,
      'Dynamic CM'!$G$4,
      'Dynamic CM'!$G$4*(( $F$4*(1+$Q98) / $F$4 )^'Dynamic CM'!$H$4)
     )
   *Table70[[LGD]:[LGD]]
   *$F$4*(1+$Q98)
 )</f>
        <v>-155.21672005970072</v>
      </c>
      <c r="T98" s="99" cm="1">
        <f t="array" ref="T98">($F$5*(1+$Q98)*'User Segmentation'!$I$49)
- Table70[[Fixed Cost]:[Fixed Cost]]
- (Table70[[Funding Rate]:[Funding Rate]]
   *Table70[[Tenure (in months)]:[Tenure (in months)]]
   *$F$5*(1+$Q98)/12)
- (
   IF($Q98&lt;0,
      'Dynamic CM'!$G$5,
      'Dynamic CM'!$G$5*(( $F$5*(1+$Q98) / $F$5 )^'Dynamic CM'!$H$5)
     )
   *Table70[[LGD]:[LGD]]
   *$F$5*(1+$Q98)
 )</f>
        <v>-169.12909114813306</v>
      </c>
      <c r="U98" s="99" cm="1">
        <f t="array" ref="U98">($F$6*(1+$Q98)*'User Segmentation'!$I$49)
- Table70[[Fixed Cost]:[Fixed Cost]]
- (Table70[[Funding Rate]:[Funding Rate]]
   *Table70[[Tenure (in months)]:[Tenure (in months)]]
   *$F$6*(1+$Q98)/12)
- (
   IF($Q98&lt;0,
      'Dynamic CM'!$G$6,
      'Dynamic CM'!$G$6*(( $F$6*(1+$Q98) / $F$6)^'Dynamic CM'!$H$6)
     )
   *Table70[[LGD]:[LGD]]
   *$F$6*(1+$Q98)
 )</f>
        <v>-109.81599249325436</v>
      </c>
    </row>
    <row r="99" spans="17:21" x14ac:dyDescent="0.2">
      <c r="Q99" s="64">
        <v>8.1</v>
      </c>
      <c r="R99" s="99" cm="1">
        <f t="array" ref="R99">($F$3*(1+$Q99)*'User Segmentation'!$I$49)
- Table70[[Fixed Cost]:[Fixed Cost]]
- (Table70[[Funding Rate]:[Funding Rate]]
   *Table70[[Tenure (in months)]:[Tenure (in months)]]
   *$F$3*(1+$Q99)/12)
- (
   IF($Q99&lt;0,
      'Dynamic CM'!$G$3,
      'Dynamic CM'!$G$3*(( $F$3*(1+$Q99) / $F$3 )^'Dynamic CM'!$H$3)
     )
   *Table70[[LGD]:[LGD]]
   *$F$3*(1+$Q99)
 )</f>
        <v>-836.3797014667191</v>
      </c>
      <c r="S99" s="99" cm="1">
        <f t="array" ref="S99">($F$4*(1+$Q99)*'User Segmentation'!$I$49)
- Table70[[Fixed Cost]:[Fixed Cost]]
- (Table70[[Funding Rate]:[Funding Rate]]
   *Table70[[Tenure (in months)]:[Tenure (in months)]]
   *$F$4*(1+$Q99)/12)
- (
   IF($Q99&lt;0,
      'Dynamic CM'!$G$4,
      'Dynamic CM'!$G$4*(( $F$4*(1+$Q99) / $F$4 )^'Dynamic CM'!$H$4)
     )
   *Table70[[LGD]:[LGD]]
   *$F$4*(1+$Q99)
 )</f>
        <v>-160.00085739065389</v>
      </c>
      <c r="T99" s="99" cm="1">
        <f t="array" ref="T99">($F$5*(1+$Q99)*'User Segmentation'!$I$49)
- Table70[[Fixed Cost]:[Fixed Cost]]
- (Table70[[Funding Rate]:[Funding Rate]]
   *Table70[[Tenure (in months)]:[Tenure (in months)]]
   *$F$5*(1+$Q99)/12)
- (
   IF($Q99&lt;0,
      'Dynamic CM'!$G$5,
      'Dynamic CM'!$G$5*(( $F$5*(1+$Q99) / $F$5 )^'Dynamic CM'!$H$5)
     )
   *Table70[[LGD]:[LGD]]
   *$F$5*(1+$Q99)
 )</f>
        <v>-176.02518235430961</v>
      </c>
      <c r="U99" s="99" cm="1">
        <f t="array" ref="U99">($F$6*(1+$Q99)*'User Segmentation'!$I$49)
- Table70[[Fixed Cost]:[Fixed Cost]]
- (Table70[[Funding Rate]:[Funding Rate]]
   *Table70[[Tenure (in months)]:[Tenure (in months)]]
   *$F$6*(1+$Q99)/12)
- (
   IF($Q99&lt;0,
      'Dynamic CM'!$G$6,
      'Dynamic CM'!$G$6*(( $F$6*(1+$Q99) / $F$6)^'Dynamic CM'!$H$6)
     )
   *Table70[[LGD]:[LGD]]
   *$F$6*(1+$Q99)
 )</f>
        <v>-113.14403408295266</v>
      </c>
    </row>
    <row r="100" spans="17:21" x14ac:dyDescent="0.2">
      <c r="Q100" s="64">
        <v>8.1999999999999993</v>
      </c>
      <c r="R100" s="99" cm="1">
        <f t="array" ref="R100">($F$3*(1+$Q100)*'User Segmentation'!$I$49)
- Table70[[Fixed Cost]:[Fixed Cost]]
- (Table70[[Funding Rate]:[Funding Rate]]
   *Table70[[Tenure (in months)]:[Tenure (in months)]]
   *$F$3*(1+$Q100)/12)
- (
   IF($Q100&lt;0,
      'Dynamic CM'!$G$3,
      'Dynamic CM'!$G$3*(( $F$3*(1+$Q100) / $F$3 )^'Dynamic CM'!$H$3)
     )
   *Table70[[LGD]:[LGD]]
   *$F$3*(1+$Q100)
 )</f>
        <v>-863.4869945108818</v>
      </c>
      <c r="S100" s="99" cm="1">
        <f t="array" ref="S100">($F$4*(1+$Q100)*'User Segmentation'!$I$49)
- Table70[[Fixed Cost]:[Fixed Cost]]
- (Table70[[Funding Rate]:[Funding Rate]]
   *Table70[[Tenure (in months)]:[Tenure (in months)]]
   *$F$4*(1+$Q100)/12)
- (
   IF($Q100&lt;0,
      'Dynamic CM'!$G$4,
      'Dynamic CM'!$G$4*(( $F$4*(1+$Q100) / $F$4 )^'Dynamic CM'!$H$4)
     )
   *Table70[[LGD]:[LGD]]
   *$F$4*(1+$Q100)
 )</f>
        <v>-164.86398421673749</v>
      </c>
      <c r="T100" s="99" cm="1">
        <f t="array" ref="T100">($F$5*(1+$Q100)*'User Segmentation'!$I$49)
- Table70[[Fixed Cost]:[Fixed Cost]]
- (Table70[[Funding Rate]:[Funding Rate]]
   *Table70[[Tenure (in months)]:[Tenure (in months)]]
   *$F$5*(1+$Q100)/12)
- (
   IF($Q100&lt;0,
      'Dynamic CM'!$G$5,
      'Dynamic CM'!$G$5*(( $F$5*(1+$Q100) / $F$5 )^'Dynamic CM'!$H$5)
     )
   *Table70[[LGD]:[LGD]]
   *$F$5*(1+$Q100)
 )</f>
        <v>-183.03625244713311</v>
      </c>
      <c r="U100" s="99" cm="1">
        <f t="array" ref="U100">($F$6*(1+$Q100)*'User Segmentation'!$I$49)
- Table70[[Fixed Cost]:[Fixed Cost]]
- (Table70[[Funding Rate]:[Funding Rate]]
   *Table70[[Tenure (in months)]:[Tenure (in months)]]
   *$F$6*(1+$Q100)/12)
- (
   IF($Q100&lt;0,
      'Dynamic CM'!$G$6,
      'Dynamic CM'!$G$6*(( $F$6*(1+$Q100) / $F$6)^'Dynamic CM'!$H$6)
     )
   *Table70[[LGD]:[LGD]]
   *$F$6*(1+$Q100)
 )</f>
        <v>-116.52676070774132</v>
      </c>
    </row>
    <row r="101" spans="17:21" x14ac:dyDescent="0.2">
      <c r="Q101" s="64">
        <v>8.3000000000000096</v>
      </c>
      <c r="R101" s="99" cm="1">
        <f t="array" ref="R101">($F$3*(1+$Q101)*'User Segmentation'!$I$49)
- Table70[[Fixed Cost]:[Fixed Cost]]
- (Table70[[Funding Rate]:[Funding Rate]]
   *Table70[[Tenure (in months)]:[Tenure (in months)]]
   *$F$3*(1+$Q101)/12)
- (
   IF($Q101&lt;0,
      'Dynamic CM'!$G$3,
      'Dynamic CM'!$G$3*(( $F$3*(1+$Q101) / $F$3 )^'Dynamic CM'!$H$3)
     )
   *Table70[[LGD]:[LGD]]
   *$F$3*(1+$Q101)
 )</f>
        <v>-891.16086997711261</v>
      </c>
      <c r="S101" s="99" cm="1">
        <f t="array" ref="S101">($F$4*(1+$Q101)*'User Segmentation'!$I$49)
- Table70[[Fixed Cost]:[Fixed Cost]]
- (Table70[[Funding Rate]:[Funding Rate]]
   *Table70[[Tenure (in months)]:[Tenure (in months)]]
   *$F$4*(1+$Q101)/12)
- (
   IF($Q101&lt;0,
      'Dynamic CM'!$G$4,
      'Dynamic CM'!$G$4*(( $F$4*(1+$Q101) / $F$4 )^'Dynamic CM'!$H$4)
     )
   *Table70[[LGD]:[LGD]]
   *$F$4*(1+$Q101)
 )</f>
        <v>-169.80637727549845</v>
      </c>
      <c r="T101" s="99" cm="1">
        <f t="array" ref="T101">($F$5*(1+$Q101)*'User Segmentation'!$I$49)
- Table70[[Fixed Cost]:[Fixed Cost]]
- (Table70[[Funding Rate]:[Funding Rate]]
   *Table70[[Tenure (in months)]:[Tenure (in months)]]
   *$F$5*(1+$Q101)/12)
- (
   IF($Q101&lt;0,
      'Dynamic CM'!$G$5,
      'Dynamic CM'!$G$5*(( $F$5*(1+$Q101) / $F$5 )^'Dynamic CM'!$H$5)
     )
   *Table70[[LGD]:[LGD]]
   *$F$5*(1+$Q101)
 )</f>
        <v>-190.16239068235774</v>
      </c>
      <c r="U101" s="99" cm="1">
        <f t="array" ref="U101">($F$6*(1+$Q101)*'User Segmentation'!$I$49)
- Table70[[Fixed Cost]:[Fixed Cost]]
- (Table70[[Funding Rate]:[Funding Rate]]
   *Table70[[Tenure (in months)]:[Tenure (in months)]]
   *$F$6*(1+$Q101)/12)
- (
   IF($Q101&lt;0,
      'Dynamic CM'!$G$6,
      'Dynamic CM'!$G$6*(( $F$6*(1+$Q101) / $F$6)^'Dynamic CM'!$H$6)
     )
   *Table70[[LGD]:[LGD]]
   *$F$6*(1+$Q101)
 )</f>
        <v>-119.96436395515275</v>
      </c>
    </row>
    <row r="102" spans="17:21" x14ac:dyDescent="0.2">
      <c r="Q102" s="64">
        <v>8.4</v>
      </c>
      <c r="R102" s="99" cm="1">
        <f t="array" ref="R102">($F$3*(1+$Q102)*'User Segmentation'!$I$49)
- Table70[[Fixed Cost]:[Fixed Cost]]
- (Table70[[Funding Rate]:[Funding Rate]]
   *Table70[[Tenure (in months)]:[Tenure (in months)]]
   *$F$3*(1+$Q102)/12)
- (
   IF($Q102&lt;0,
      'Dynamic CM'!$G$3,
      'Dynamic CM'!$G$3*(( $F$3*(1+$Q102) / $F$3 )^'Dynamic CM'!$H$3)
     )
   *Table70[[LGD]:[LGD]]
   *$F$3*(1+$Q102)
 )</f>
        <v>-919.40680568265975</v>
      </c>
      <c r="S102" s="99" cm="1">
        <f t="array" ref="S102">($F$4*(1+$Q102)*'User Segmentation'!$I$49)
- Table70[[Fixed Cost]:[Fixed Cost]]
- (Table70[[Funding Rate]:[Funding Rate]]
   *Table70[[Tenure (in months)]:[Tenure (in months)]]
   *$F$4*(1+$Q102)/12)
- (
   IF($Q102&lt;0,
      'Dynamic CM'!$G$4,
      'Dynamic CM'!$G$4*(( $F$4*(1+$Q102) / $F$4 )^'Dynamic CM'!$H$4)
     )
   *Table70[[LGD]:[LGD]]
   *$F$4*(1+$Q102)
 )</f>
        <v>-174.82831126644976</v>
      </c>
      <c r="T102" s="99" cm="1">
        <f t="array" ref="T102">($F$5*(1+$Q102)*'User Segmentation'!$I$49)
- Table70[[Fixed Cost]:[Fixed Cost]]
- (Table70[[Funding Rate]:[Funding Rate]]
   *Table70[[Tenure (in months)]:[Tenure (in months)]]
   *$F$5*(1+$Q102)/12)
- (
   IF($Q102&lt;0,
      'Dynamic CM'!$G$5,
      'Dynamic CM'!$G$5*(( $F$5*(1+$Q102) / $F$5 )^'Dynamic CM'!$H$5)
     )
   *Table70[[LGD]:[LGD]]
   *$F$5*(1+$Q102)
 )</f>
        <v>-197.40368541892201</v>
      </c>
      <c r="U102" s="99" cm="1">
        <f t="array" ref="U102">($F$6*(1+$Q102)*'User Segmentation'!$I$49)
- Table70[[Fixed Cost]:[Fixed Cost]]
- (Table70[[Funding Rate]:[Funding Rate]]
   *Table70[[Tenure (in months)]:[Tenure (in months)]]
   *$F$6*(1+$Q102)/12)
- (
   IF($Q102&lt;0,
      'Dynamic CM'!$G$6,
      'Dynamic CM'!$G$6*(( $F$6*(1+$Q102) / $F$6)^'Dynamic CM'!$H$6)
     )
   *Table70[[LGD]:[LGD]]
   *$F$6*(1+$Q102)
 )</f>
        <v>-123.4570340017729</v>
      </c>
    </row>
    <row r="103" spans="17:21" x14ac:dyDescent="0.2">
      <c r="Q103" s="64">
        <v>8.5</v>
      </c>
      <c r="R103" s="99" cm="1">
        <f t="array" ref="R103">($F$3*(1+$Q103)*'User Segmentation'!$I$49)
- Table70[[Fixed Cost]:[Fixed Cost]]
- (Table70[[Funding Rate]:[Funding Rate]]
   *Table70[[Tenure (in months)]:[Tenure (in months)]]
   *$F$3*(1+$Q103)/12)
- (
   IF($Q103&lt;0,
      'Dynamic CM'!$G$3,
      'Dynamic CM'!$G$3*(( $F$3*(1+$Q103) / $F$3 )^'Dynamic CM'!$H$3)
     )
   *Table70[[LGD]:[LGD]]
   *$F$3*(1+$Q103)
 )</f>
        <v>-948.23027296920634</v>
      </c>
      <c r="S103" s="99" cm="1">
        <f t="array" ref="S103">($F$4*(1+$Q103)*'User Segmentation'!$I$49)
- Table70[[Fixed Cost]:[Fixed Cost]]
- (Table70[[Funding Rate]:[Funding Rate]]
   *Table70[[Tenure (in months)]:[Tenure (in months)]]
   *$F$4*(1+$Q103)/12)
- (
   IF($Q103&lt;0,
      'Dynamic CM'!$G$4,
      'Dynamic CM'!$G$4*(( $F$4*(1+$Q103) / $F$4 )^'Dynamic CM'!$H$4)
     )
   *Table70[[LGD]:[LGD]]
   *$F$4*(1+$Q103)
 )</f>
        <v>-179.93005888776122</v>
      </c>
      <c r="T103" s="99" cm="1">
        <f t="array" ref="T103">($F$5*(1+$Q103)*'User Segmentation'!$I$49)
- Table70[[Fixed Cost]:[Fixed Cost]]
- (Table70[[Funding Rate]:[Funding Rate]]
   *Table70[[Tenure (in months)]:[Tenure (in months)]]
   *$F$5*(1+$Q103)/12)
- (
   IF($Q103&lt;0,
      'Dynamic CM'!$G$5,
      'Dynamic CM'!$G$5*(( $F$5*(1+$Q103) / $F$5 )^'Dynamic CM'!$H$5)
     )
   *Table70[[LGD]:[LGD]]
   *$F$5*(1+$Q103)
 )</f>
        <v>-204.76022413746477</v>
      </c>
      <c r="U103" s="99" cm="1">
        <f t="array" ref="U103">($F$6*(1+$Q103)*'User Segmentation'!$I$49)
- Table70[[Fixed Cost]:[Fixed Cost]]
- (Table70[[Funding Rate]:[Funding Rate]]
   *Table70[[Tenure (in months)]:[Tenure (in months)]]
   *$F$6*(1+$Q103)/12)
- (
   IF($Q103&lt;0,
      'Dynamic CM'!$G$6,
      'Dynamic CM'!$G$6*(( $F$6*(1+$Q103) / $F$6)^'Dynamic CM'!$H$6)
     )
   *Table70[[LGD]:[LGD]]
   *$F$6*(1+$Q103)
 )</f>
        <v>-127.00495963864235</v>
      </c>
    </row>
    <row r="104" spans="17:21" x14ac:dyDescent="0.2">
      <c r="Q104" s="64">
        <v>8.6000000000000103</v>
      </c>
      <c r="R104" s="99" cm="1">
        <f t="array" ref="R104">($F$3*(1+$Q104)*'User Segmentation'!$I$49)
- Table70[[Fixed Cost]:[Fixed Cost]]
- (Table70[[Funding Rate]:[Funding Rate]]
   *Table70[[Tenure (in months)]:[Tenure (in months)]]
   *$F$3*(1+$Q104)/12)
- (
   IF($Q104&lt;0,
      'Dynamic CM'!$G$3,
      'Dynamic CM'!$G$3*(( $F$3*(1+$Q104) / $F$3 )^'Dynamic CM'!$H$3)
     )
   *Table70[[LGD]:[LGD]]
   *$F$3*(1+$Q104)
 )</f>
        <v>-977.63673677927841</v>
      </c>
      <c r="S104" s="99" cm="1">
        <f t="array" ref="S104">($F$4*(1+$Q104)*'User Segmentation'!$I$49)
- Table70[[Fixed Cost]:[Fixed Cost]]
- (Table70[[Funding Rate]:[Funding Rate]]
   *Table70[[Tenure (in months)]:[Tenure (in months)]]
   *$F$4*(1+$Q104)/12)
- (
   IF($Q104&lt;0,
      'Dynamic CM'!$G$4,
      'Dynamic CM'!$G$4*(( $F$4*(1+$Q104) / $F$4 )^'Dynamic CM'!$H$4)
     )
   *Table70[[LGD]:[LGD]]
   *$F$4*(1+$Q104)
 )</f>
        <v>-185.1118908718974</v>
      </c>
      <c r="T104" s="99" cm="1">
        <f t="array" ref="T104">($F$5*(1+$Q104)*'User Segmentation'!$I$49)
- Table70[[Fixed Cost]:[Fixed Cost]]
- (Table70[[Funding Rate]:[Funding Rate]]
   *Table70[[Tenure (in months)]:[Tenure (in months)]]
   *$F$5*(1+$Q104)/12)
- (
   IF($Q104&lt;0,
      'Dynamic CM'!$G$5,
      'Dynamic CM'!$G$5*(( $F$5*(1+$Q104) / $F$5 )^'Dynamic CM'!$H$5)
     )
   *Table70[[LGD]:[LGD]]
   *$F$5*(1+$Q104)
 )</f>
        <v>-212.23209345825842</v>
      </c>
      <c r="U104" s="99" cm="1">
        <f t="array" ref="U104">($F$6*(1+$Q104)*'User Segmentation'!$I$49)
- Table70[[Fixed Cost]:[Fixed Cost]]
- (Table70[[Funding Rate]:[Funding Rate]]
   *Table70[[Tenure (in months)]:[Tenure (in months)]]
   *$F$6*(1+$Q104)/12)
- (
   IF($Q104&lt;0,
      'Dynamic CM'!$G$6,
      'Dynamic CM'!$G$6*(( $F$6*(1+$Q104) / $F$6)^'Dynamic CM'!$H$6)
     )
   *Table70[[LGD]:[LGD]]
   *$F$6*(1+$Q104)
 )</f>
        <v>-130.60832829592891</v>
      </c>
    </row>
    <row r="105" spans="17:21" x14ac:dyDescent="0.2">
      <c r="Q105" s="64">
        <v>8.7000000000000099</v>
      </c>
      <c r="R105" s="99" cm="1">
        <f t="array" ref="R105">($F$3*(1+$Q105)*'User Segmentation'!$I$49)
- Table70[[Fixed Cost]:[Fixed Cost]]
- (Table70[[Funding Rate]:[Funding Rate]]
   *Table70[[Tenure (in months)]:[Tenure (in months)]]
   *$F$3*(1+$Q105)/12)
- (
   IF($Q105&lt;0,
      'Dynamic CM'!$G$3,
      'Dynamic CM'!$G$3*(( $F$3*(1+$Q105) / $F$3 )^'Dynamic CM'!$H$3)
     )
   *Table70[[LGD]:[LGD]]
   *$F$3*(1+$Q105)
 )</f>
        <v>-1007.6316557309774</v>
      </c>
      <c r="S105" s="99" cm="1">
        <f t="array" ref="S105">($F$4*(1+$Q105)*'User Segmentation'!$I$49)
- Table70[[Fixed Cost]:[Fixed Cost]]
- (Table70[[Funding Rate]:[Funding Rate]]
   *Table70[[Tenure (in months)]:[Tenure (in months)]]
   *$F$4*(1+$Q105)/12)
- (
   IF($Q105&lt;0,
      'Dynamic CM'!$G$4,
      'Dynamic CM'!$G$4*(( $F$4*(1+$Q105) / $F$4 )^'Dynamic CM'!$H$4)
     )
   *Table70[[LGD]:[LGD]]
   *$F$4*(1+$Q105)
 )</f>
        <v>-190.37407602025939</v>
      </c>
      <c r="T105" s="99" cm="1">
        <f t="array" ref="T105">($F$5*(1+$Q105)*'User Segmentation'!$I$49)
- Table70[[Fixed Cost]:[Fixed Cost]]
- (Table70[[Funding Rate]:[Funding Rate]]
   *Table70[[Tenure (in months)]:[Tenure (in months)]]
   *$F$5*(1+$Q105)/12)
- (
   IF($Q105&lt;0,
      'Dynamic CM'!$G$5,
      'Dynamic CM'!$G$5*(( $F$5*(1+$Q105) / $F$5 )^'Dynamic CM'!$H$5)
     )
   *Table70[[LGD]:[LGD]]
   *$F$5*(1+$Q105)
 )</f>
        <v>-219.81937915859339</v>
      </c>
      <c r="U105" s="99" cm="1">
        <f t="array" ref="U105">($F$6*(1+$Q105)*'User Segmentation'!$I$49)
- Table70[[Fixed Cost]:[Fixed Cost]]
- (Table70[[Funding Rate]:[Funding Rate]]
   *Table70[[Tenure (in months)]:[Tenure (in months)]]
   *$F$6*(1+$Q105)/12)
- (
   IF($Q105&lt;0,
      'Dynamic CM'!$G$6,
      'Dynamic CM'!$G$6*(( $F$6*(1+$Q105) / $F$6)^'Dynamic CM'!$H$6)
     )
   *Table70[[LGD]:[LGD]]
   *$F$6*(1+$Q105)
 )</f>
        <v>-134.2673260669103</v>
      </c>
    </row>
    <row r="106" spans="17:21" x14ac:dyDescent="0.2">
      <c r="Q106" s="64">
        <v>8.8000000000000096</v>
      </c>
      <c r="R106" s="99" cm="1">
        <f t="array" ref="R106">($F$3*(1+$Q106)*'User Segmentation'!$I$49)
- Table70[[Fixed Cost]:[Fixed Cost]]
- (Table70[[Funding Rate]:[Funding Rate]]
   *Table70[[Tenure (in months)]:[Tenure (in months)]]
   *$F$3*(1+$Q106)/12)
- (
   IF($Q106&lt;0,
      'Dynamic CM'!$G$3,
      'Dynamic CM'!$G$3*(( $F$3*(1+$Q106) / $F$3 )^'Dynamic CM'!$H$3)
     )
   *Table70[[LGD]:[LGD]]
   *$F$3*(1+$Q106)
 )</f>
        <v>-1038.2204821910836</v>
      </c>
      <c r="S106" s="99" cm="1">
        <f t="array" ref="S106">($F$4*(1+$Q106)*'User Segmentation'!$I$49)
- Table70[[Fixed Cost]:[Fixed Cost]]
- (Table70[[Funding Rate]:[Funding Rate]]
   *Table70[[Tenure (in months)]:[Tenure (in months)]]
   *$F$4*(1+$Q106)/12)
- (
   IF($Q106&lt;0,
      'Dynamic CM'!$G$4,
      'Dynamic CM'!$G$4*(( $F$4*(1+$Q106) / $F$4 )^'Dynamic CM'!$H$4)
     )
   *Table70[[LGD]:[LGD]]
   *$F$4*(1+$Q106)
 )</f>
        <v>-195.71688123686366</v>
      </c>
      <c r="T106" s="99" cm="1">
        <f t="array" ref="T106">($F$5*(1+$Q106)*'User Segmentation'!$I$49)
- Table70[[Fixed Cost]:[Fixed Cost]]
- (Table70[[Funding Rate]:[Funding Rate]]
   *Table70[[Tenure (in months)]:[Tenure (in months)]]
   *$F$5*(1+$Q106)/12)
- (
   IF($Q106&lt;0,
      'Dynamic CM'!$G$5,
      'Dynamic CM'!$G$5*(( $F$5*(1+$Q106) / $F$5 )^'Dynamic CM'!$H$5)
     )
   *Table70[[LGD]:[LGD]]
   *$F$5*(1+$Q106)
 )</f>
        <v>-227.52216618964172</v>
      </c>
      <c r="U106" s="99" cm="1">
        <f t="array" ref="U106">($F$6*(1+$Q106)*'User Segmentation'!$I$49)
- Table70[[Fixed Cost]:[Fixed Cost]]
- (Table70[[Funding Rate]:[Funding Rate]]
   *Table70[[Tenure (in months)]:[Tenure (in months)]]
   *$F$6*(1+$Q106)/12)
- (
   IF($Q106&lt;0,
      'Dynamic CM'!$G$6,
      'Dynamic CM'!$G$6*(( $F$6*(1+$Q106) / $F$6)^'Dynamic CM'!$H$6)
     )
   *Table70[[LGD]:[LGD]]
   *$F$6*(1+$Q106)
 )</f>
        <v>-137.98213773129021</v>
      </c>
    </row>
    <row r="107" spans="17:21" x14ac:dyDescent="0.2">
      <c r="Q107" s="64">
        <v>8.9</v>
      </c>
      <c r="R107" s="99" cm="1">
        <f t="array" ref="R107">($F$3*(1+$Q107)*'User Segmentation'!$I$49)
- Table70[[Fixed Cost]:[Fixed Cost]]
- (Table70[[Funding Rate]:[Funding Rate]]
   *Table70[[Tenure (in months)]:[Tenure (in months)]]
   *$F$3*(1+$Q107)/12)
- (
   IF($Q107&lt;0,
      'Dynamic CM'!$G$3,
      'Dynamic CM'!$G$3*(( $F$3*(1+$Q107) / $F$3 )^'Dynamic CM'!$H$3)
     )
   *Table70[[LGD]:[LGD]]
   *$F$3*(1+$Q107)
 )</f>
        <v>-1069.4086623465446</v>
      </c>
      <c r="S107" s="99" cm="1">
        <f t="array" ref="S107">($F$4*(1+$Q107)*'User Segmentation'!$I$49)
- Table70[[Fixed Cost]:[Fixed Cost]]
- (Table70[[Funding Rate]:[Funding Rate]]
   *Table70[[Tenure (in months)]:[Tenure (in months)]]
   *$F$4*(1+$Q107)/12)
- (
   IF($Q107&lt;0,
      'Dynamic CM'!$G$4,
      'Dynamic CM'!$G$4*(( $F$4*(1+$Q107) / $F$4 )^'Dynamic CM'!$H$4)
     )
   *Table70[[LGD]:[LGD]]
   *$F$4*(1+$Q107)
 )</f>
        <v>-201.14057156109007</v>
      </c>
      <c r="T107" s="99" cm="1">
        <f t="array" ref="T107">($F$5*(1+$Q107)*'User Segmentation'!$I$49)
- Table70[[Fixed Cost]:[Fixed Cost]]
- (Table70[[Funding Rate]:[Funding Rate]]
   *Table70[[Tenure (in months)]:[Tenure (in months)]]
   *$F$5*(1+$Q107)/12)
- (
   IF($Q107&lt;0,
      'Dynamic CM'!$G$5,
      'Dynamic CM'!$G$5*(( $F$5*(1+$Q107) / $F$5 )^'Dynamic CM'!$H$5)
     )
   *Table70[[LGD]:[LGD]]
   *$F$5*(1+$Q107)
 )</f>
        <v>-235.3405386928041</v>
      </c>
      <c r="U107" s="99" cm="1">
        <f t="array" ref="U107">($F$6*(1+$Q107)*'User Segmentation'!$I$49)
- Table70[[Fixed Cost]:[Fixed Cost]]
- (Table70[[Funding Rate]:[Funding Rate]]
   *Table70[[Tenure (in months)]:[Tenure (in months)]]
   *$F$6*(1+$Q107)/12)
- (
   IF($Q107&lt;0,
      'Dynamic CM'!$G$6,
      'Dynamic CM'!$G$6*(( $F$6*(1+$Q107) / $F$6)^'Dynamic CM'!$H$6)
     )
   *Table70[[LGD]:[LGD]]
   *$F$6*(1+$Q107)
 )</f>
        <v>-141.75294677787008</v>
      </c>
    </row>
    <row r="108" spans="17:21" x14ac:dyDescent="0.2">
      <c r="Q108" s="64">
        <v>9.0000000000000107</v>
      </c>
      <c r="R108" s="99" cm="1">
        <f t="array" ref="R108">($F$3*(1+$Q108)*'User Segmentation'!$I$49)
- Table70[[Fixed Cost]:[Fixed Cost]]
- (Table70[[Funding Rate]:[Funding Rate]]
   *Table70[[Tenure (in months)]:[Tenure (in months)]]
   *$F$3*(1+$Q108)/12)
- (
   IF($Q108&lt;0,
      'Dynamic CM'!$G$3,
      'Dynamic CM'!$G$3*(( $F$3*(1+$Q108) / $F$3 )^'Dynamic CM'!$H$3)
     )
   *Table70[[LGD]:[LGD]]
   *$F$3*(1+$Q108)
 )</f>
        <v>-1101.2016362744496</v>
      </c>
      <c r="S108" s="99" cm="1">
        <f t="array" ref="S108">($F$4*(1+$Q108)*'User Segmentation'!$I$49)
- Table70[[Fixed Cost]:[Fixed Cost]]
- (Table70[[Funding Rate]:[Funding Rate]]
   *Table70[[Tenure (in months)]:[Tenure (in months)]]
   *$F$4*(1+$Q108)/12)
- (
   IF($Q108&lt;0,
      'Dynamic CM'!$G$4,
      'Dynamic CM'!$G$4*(( $F$4*(1+$Q108) / $F$4 )^'Dynamic CM'!$H$4)
     )
   *Table70[[LGD]:[LGD]]
   *$F$4*(1+$Q108)
 )</f>
        <v>-206.64541019954157</v>
      </c>
      <c r="T108" s="99" cm="1">
        <f t="array" ref="T108">($F$5*(1+$Q108)*'User Segmentation'!$I$49)
- Table70[[Fixed Cost]:[Fixed Cost]]
- (Table70[[Funding Rate]:[Funding Rate]]
   *Table70[[Tenure (in months)]:[Tenure (in months)]]
   *$F$5*(1+$Q108)/12)
- (
   IF($Q108&lt;0,
      'Dynamic CM'!$G$5,
      'Dynamic CM'!$G$5*(( $F$5*(1+$Q108) / $F$5 )^'Dynamic CM'!$H$5)
     )
   *Table70[[LGD]:[LGD]]
   *$F$5*(1+$Q108)
 )</f>
        <v>-243.27458001558125</v>
      </c>
      <c r="U108" s="99" cm="1">
        <f t="array" ref="U108">($F$6*(1+$Q108)*'User Segmentation'!$I$49)
- Table70[[Fixed Cost]:[Fixed Cost]]
- (Table70[[Funding Rate]:[Funding Rate]]
   *Table70[[Tenure (in months)]:[Tenure (in months)]]
   *$F$6*(1+$Q108)/12)
- (
   IF($Q108&lt;0,
      'Dynamic CM'!$G$6,
      'Dynamic CM'!$G$6*(( $F$6*(1+$Q108) / $F$6)^'Dynamic CM'!$H$6)
     )
   *Table70[[LGD]:[LGD]]
   *$F$6*(1+$Q108)
 )</f>
        <v>-145.57993542660563</v>
      </c>
    </row>
    <row r="109" spans="17:21" x14ac:dyDescent="0.2">
      <c r="Q109" s="64">
        <v>9.1000000000000103</v>
      </c>
      <c r="R109" s="99" cm="1">
        <f t="array" ref="R109">($F$3*(1+$Q109)*'User Segmentation'!$I$49)
- Table70[[Fixed Cost]:[Fixed Cost]]
- (Table70[[Funding Rate]:[Funding Rate]]
   *Table70[[Tenure (in months)]:[Tenure (in months)]]
   *$F$3*(1+$Q109)/12)
- (
   IF($Q109&lt;0,
      'Dynamic CM'!$G$3,
      'Dynamic CM'!$G$3*(( $F$3*(1+$Q109) / $F$3 )^'Dynamic CM'!$H$3)
     )
   *Table70[[LGD]:[LGD]]
   *$F$3*(1+$Q109)
 )</f>
        <v>-1133.6048380104778</v>
      </c>
      <c r="S109" s="99" cm="1">
        <f t="array" ref="S109">($F$4*(1+$Q109)*'User Segmentation'!$I$49)
- Table70[[Fixed Cost]:[Fixed Cost]]
- (Table70[[Funding Rate]:[Funding Rate]]
   *Table70[[Tenure (in months)]:[Tenure (in months)]]
   *$F$4*(1+$Q109)/12)
- (
   IF($Q109&lt;0,
      'Dynamic CM'!$G$4,
      'Dynamic CM'!$G$4*(( $F$4*(1+$Q109) / $F$4 )^'Dynamic CM'!$H$4)
     )
   *Table70[[LGD]:[LGD]]
   *$F$4*(1+$Q109)
 )</f>
        <v>-212.23165855703635</v>
      </c>
      <c r="T109" s="99" cm="1">
        <f t="array" ref="T109">($F$5*(1+$Q109)*'User Segmentation'!$I$49)
- Table70[[Fixed Cost]:[Fixed Cost]]
- (Table70[[Funding Rate]:[Funding Rate]]
   *Table70[[Tenure (in months)]:[Tenure (in months)]]
   *$F$5*(1+$Q109)/12)
- (
   IF($Q109&lt;0,
      'Dynamic CM'!$G$5,
      'Dynamic CM'!$G$5*(( $F$5*(1+$Q109) / $F$5 )^'Dynamic CM'!$H$5)
     )
   *Table70[[LGD]:[LGD]]
   *$F$5*(1+$Q109)
 )</f>
        <v>-251.32437272696239</v>
      </c>
      <c r="U109" s="99" cm="1">
        <f t="array" ref="U109">($F$6*(1+$Q109)*'User Segmentation'!$I$49)
- Table70[[Fixed Cost]:[Fixed Cost]]
- (Table70[[Funding Rate]:[Funding Rate]]
   *Table70[[Tenure (in months)]:[Tenure (in months)]]
   *$F$6*(1+$Q109)/12)
- (
   IF($Q109&lt;0,
      'Dynamic CM'!$G$6,
      'Dynamic CM'!$G$6*(( $F$6*(1+$Q109) / $F$6)^'Dynamic CM'!$H$6)
     )
   *Table70[[LGD]:[LGD]]
   *$F$6*(1+$Q109)
 )</f>
        <v>-149.46328465006366</v>
      </c>
    </row>
    <row r="110" spans="17:21" x14ac:dyDescent="0.2">
      <c r="Q110" s="64">
        <v>9.2000000000000099</v>
      </c>
      <c r="R110" s="99" cm="1">
        <f t="array" ref="R110">($F$3*(1+$Q110)*'User Segmentation'!$I$49)
- Table70[[Fixed Cost]:[Fixed Cost]]
- (Table70[[Funding Rate]:[Funding Rate]]
   *Table70[[Tenure (in months)]:[Tenure (in months)]]
   *$F$3*(1+$Q110)/12)
- (
   IF($Q110&lt;0,
      'Dynamic CM'!$G$3,
      'Dynamic CM'!$G$3*(( $F$3*(1+$Q110) / $F$3 )^'Dynamic CM'!$H$3)
     )
   *Table70[[LGD]:[LGD]]
   *$F$3*(1+$Q110)
 )</f>
        <v>-1166.6236956159505</v>
      </c>
      <c r="S110" s="99" cm="1">
        <f t="array" ref="S110">($F$4*(1+$Q110)*'User Segmentation'!$I$49)
- Table70[[Fixed Cost]:[Fixed Cost]]
- (Table70[[Funding Rate]:[Funding Rate]]
   *Table70[[Tenure (in months)]:[Tenure (in months)]]
   *$F$4*(1+$Q110)/12)
- (
   IF($Q110&lt;0,
      'Dynamic CM'!$G$4,
      'Dynamic CM'!$G$4*(( $F$4*(1+$Q110) / $F$4 )^'Dynamic CM'!$H$4)
     )
   *Table70[[LGD]:[LGD]]
   *$F$4*(1+$Q110)
 )</f>
        <v>-217.89957626678398</v>
      </c>
      <c r="T110" s="99" cm="1">
        <f t="array" ref="T110">($F$5*(1+$Q110)*'User Segmentation'!$I$49)
- Table70[[Fixed Cost]:[Fixed Cost]]
- (Table70[[Funding Rate]:[Funding Rate]]
   *Table70[[Tenure (in months)]:[Tenure (in months)]]
   *$F$5*(1+$Q110)/12)
- (
   IF($Q110&lt;0,
      'Dynamic CM'!$G$5,
      'Dynamic CM'!$G$5*(( $F$5*(1+$Q110) / $F$5 )^'Dynamic CM'!$H$5)
     )
   *Table70[[LGD]:[LGD]]
   *$F$5*(1+$Q110)
 )</f>
        <v>-259.48999863238345</v>
      </c>
      <c r="U110" s="99" cm="1">
        <f t="array" ref="U110">($F$6*(1+$Q110)*'User Segmentation'!$I$49)
- Table70[[Fixed Cost]:[Fixed Cost]]
- (Table70[[Funding Rate]:[Funding Rate]]
   *Table70[[Tenure (in months)]:[Tenure (in months)]]
   *$F$6*(1+$Q110)/12)
- (
   IF($Q110&lt;0,
      'Dynamic CM'!$G$6,
      'Dynamic CM'!$G$6*(( $F$6*(1+$Q110) / $F$6)^'Dynamic CM'!$H$6)
     )
   *Table70[[LGD]:[LGD]]
   *$F$6*(1+$Q110)
 )</f>
        <v>-153.40317419431193</v>
      </c>
    </row>
    <row r="111" spans="17:21" x14ac:dyDescent="0.2">
      <c r="Q111" s="64">
        <v>9.3000000000000096</v>
      </c>
      <c r="R111" s="99" cm="1">
        <f t="array" ref="R111">($F$3*(1+$Q111)*'User Segmentation'!$I$49)
- Table70[[Fixed Cost]:[Fixed Cost]]
- (Table70[[Funding Rate]:[Funding Rate]]
   *Table70[[Tenure (in months)]:[Tenure (in months)]]
   *$F$3*(1+$Q111)/12)
- (
   IF($Q111&lt;0,
      'Dynamic CM'!$G$3,
      'Dynamic CM'!$G$3*(( $F$3*(1+$Q111) / $F$3 )^'Dynamic CM'!$H$3)
     )
   *Table70[[LGD]:[LGD]]
   *$F$3*(1+$Q111)
 )</f>
        <v>-1200.2636312434427</v>
      </c>
      <c r="S111" s="99" cm="1">
        <f t="array" ref="S111">($F$4*(1+$Q111)*'User Segmentation'!$I$49)
- Table70[[Fixed Cost]:[Fixed Cost]]
- (Table70[[Funding Rate]:[Funding Rate]]
   *Table70[[Tenure (in months)]:[Tenure (in months)]]
   *$F$4*(1+$Q111)/12)
- (
   IF($Q111&lt;0,
      'Dynamic CM'!$G$4,
      'Dynamic CM'!$G$4*(( $F$4*(1+$Q111) / $F$4 )^'Dynamic CM'!$H$4)
     )
   *Table70[[LGD]:[LGD]]
   *$F$4*(1+$Q111)
 )</f>
        <v>-223.64942121975236</v>
      </c>
      <c r="T111" s="99" cm="1">
        <f t="array" ref="T111">($F$5*(1+$Q111)*'User Segmentation'!$I$49)
- Table70[[Fixed Cost]:[Fixed Cost]]
- (Table70[[Funding Rate]:[Funding Rate]]
   *Table70[[Tenure (in months)]:[Tenure (in months)]]
   *$F$5*(1+$Q111)/12)
- (
   IF($Q111&lt;0,
      'Dynamic CM'!$G$5,
      'Dynamic CM'!$G$5*(( $F$5*(1+$Q111) / $F$5 )^'Dynamic CM'!$H$5)
     )
   *Table70[[LGD]:[LGD]]
   *$F$5*(1+$Q111)
 )</f>
        <v>-267.77153878823941</v>
      </c>
      <c r="U111" s="99" cm="1">
        <f t="array" ref="U111">($F$6*(1+$Q111)*'User Segmentation'!$I$49)
- Table70[[Fixed Cost]:[Fixed Cost]]
- (Table70[[Funding Rate]:[Funding Rate]]
   *Table70[[Tenure (in months)]:[Tenure (in months)]]
   *$F$6*(1+$Q111)/12)
- (
   IF($Q111&lt;0,
      'Dynamic CM'!$G$6,
      'Dynamic CM'!$G$6*(( $F$6*(1+$Q111) / $F$6)^'Dynamic CM'!$H$6)
     )
   *Table70[[LGD]:[LGD]]
   *$F$6*(1+$Q111)
 )</f>
        <v>-157.39978259925164</v>
      </c>
    </row>
    <row r="112" spans="17:21" x14ac:dyDescent="0.2">
      <c r="Q112" s="64">
        <v>9.4000000000000092</v>
      </c>
      <c r="R112" s="99" cm="1">
        <f t="array" ref="R112">($F$3*(1+$Q112)*'User Segmentation'!$I$49)
- Table70[[Fixed Cost]:[Fixed Cost]]
- (Table70[[Funding Rate]:[Funding Rate]]
   *Table70[[Tenure (in months)]:[Tenure (in months)]]
   *$F$3*(1+$Q112)/12)
- (
   IF($Q112&lt;0,
      'Dynamic CM'!$G$3,
      'Dynamic CM'!$G$3*(( $F$3*(1+$Q112) / $F$3 )^'Dynamic CM'!$H$3)
     )
   *Table70[[LGD]:[LGD]]
   *$F$3*(1+$Q112)
 )</f>
        <v>-1234.5300612010653</v>
      </c>
      <c r="S112" s="99" cm="1">
        <f t="array" ref="S112">($F$4*(1+$Q112)*'User Segmentation'!$I$49)
- Table70[[Fixed Cost]:[Fixed Cost]]
- (Table70[[Funding Rate]:[Funding Rate]]
   *Table70[[Tenure (in months)]:[Tenure (in months)]]
   *$F$4*(1+$Q112)/12)
- (
   IF($Q112&lt;0,
      'Dynamic CM'!$G$4,
      'Dynamic CM'!$G$4*(( $F$4*(1+$Q112) / $F$4 )^'Dynamic CM'!$H$4)
     )
   *Table70[[LGD]:[LGD]]
   *$F$4*(1+$Q112)
 )</f>
        <v>-229.48144959327286</v>
      </c>
      <c r="T112" s="99" cm="1">
        <f t="array" ref="T112">($F$5*(1+$Q112)*'User Segmentation'!$I$49)
- Table70[[Fixed Cost]:[Fixed Cost]]
- (Table70[[Funding Rate]:[Funding Rate]]
   *Table70[[Tenure (in months)]:[Tenure (in months)]]
   *$F$5*(1+$Q112)/12)
- (
   IF($Q112&lt;0,
      'Dynamic CM'!$G$5,
      'Dynamic CM'!$G$5*(( $F$5*(1+$Q112) / $F$5 )^'Dynamic CM'!$H$5)
     )
   *Table70[[LGD]:[LGD]]
   *$F$5*(1+$Q112)
 )</f>
        <v>-276.16907351598951</v>
      </c>
      <c r="U112" s="99" cm="1">
        <f t="array" ref="U112">($F$6*(1+$Q112)*'User Segmentation'!$I$49)
- Table70[[Fixed Cost]:[Fixed Cost]]
- (Table70[[Funding Rate]:[Funding Rate]]
   *Table70[[Tenure (in months)]:[Tenure (in months)]]
   *$F$6*(1+$Q112)/12)
- (
   IF($Q112&lt;0,
      'Dynamic CM'!$G$6,
      'Dynamic CM'!$G$6*(( $F$6*(1+$Q112) / $F$6)^'Dynamic CM'!$H$6)
     )
   *Table70[[LGD]:[LGD]]
   *$F$6*(1+$Q112)
 )</f>
        <v>-161.45328721841969</v>
      </c>
    </row>
    <row r="113" spans="17:21" x14ac:dyDescent="0.2">
      <c r="Q113" s="64">
        <v>9.5000000000000107</v>
      </c>
      <c r="R113" s="99" cm="1">
        <f t="array" ref="R113">($F$3*(1+$Q113)*'User Segmentation'!$I$49)
- Table70[[Fixed Cost]:[Fixed Cost]]
- (Table70[[Funding Rate]:[Funding Rate]]
   *Table70[[Tenure (in months)]:[Tenure (in months)]]
   *$F$3*(1+$Q113)/12)
- (
   IF($Q113&lt;0,
      'Dynamic CM'!$G$3,
      'Dynamic CM'!$G$3*(( $F$3*(1+$Q113) / $F$3 )^'Dynamic CM'!$H$3)
     )
   *Table70[[LGD]:[LGD]]
   *$F$3*(1+$Q113)
 )</f>
        <v>-1269.4283960154071</v>
      </c>
      <c r="S113" s="99" cm="1">
        <f t="array" ref="S113">($F$4*(1+$Q113)*'User Segmentation'!$I$49)
- Table70[[Fixed Cost]:[Fixed Cost]]
- (Table70[[Funding Rate]:[Funding Rate]]
   *Table70[[Tenure (in months)]:[Tenure (in months)]]
   *$F$4*(1+$Q113)/12)
- (
   IF($Q113&lt;0,
      'Dynamic CM'!$G$4,
      'Dynamic CM'!$G$4*(( $F$4*(1+$Q113) / $F$4 )^'Dynamic CM'!$H$4)
     )
   *Table70[[LGD]:[LGD]]
   *$F$4*(1+$Q113)
 )</f>
        <v>-235.39591587889913</v>
      </c>
      <c r="T113" s="99" cm="1">
        <f t="array" ref="T113">($F$5*(1+$Q113)*'User Segmentation'!$I$49)
- Table70[[Fixed Cost]:[Fixed Cost]]
- (Table70[[Funding Rate]:[Funding Rate]]
   *Table70[[Tenure (in months)]:[Tenure (in months)]]
   *$F$5*(1+$Q113)/12)
- (
   IF($Q113&lt;0,
      'Dynamic CM'!$G$5,
      'Dynamic CM'!$G$5*(( $F$5*(1+$Q113) / $F$5 )^'Dynamic CM'!$H$5)
     )
   *Table70[[LGD]:[LGD]]
   *$F$5*(1+$Q113)
 )</f>
        <v>-284.68268241585832</v>
      </c>
      <c r="U113" s="99" cm="1">
        <f t="array" ref="U113">($F$6*(1+$Q113)*'User Segmentation'!$I$49)
- Table70[[Fixed Cost]:[Fixed Cost]]
- (Table70[[Funding Rate]:[Funding Rate]]
   *Table70[[Tenure (in months)]:[Tenure (in months)]]
   *$F$6*(1+$Q113)/12)
- (
   IF($Q113&lt;0,
      'Dynamic CM'!$G$6,
      'Dynamic CM'!$G$6*(( $F$6*(1+$Q113) / $F$6)^'Dynamic CM'!$H$6)
     )
   *Table70[[LGD]:[LGD]]
   *$F$6*(1+$Q113)
 )</f>
        <v>-165.56386423827635</v>
      </c>
    </row>
    <row r="114" spans="17:21" x14ac:dyDescent="0.2">
      <c r="Q114" s="64">
        <v>9.6000000000000103</v>
      </c>
      <c r="R114" s="99" cm="1">
        <f t="array" ref="R114">($F$3*(1+$Q114)*'User Segmentation'!$I$49)
- Table70[[Fixed Cost]:[Fixed Cost]]
- (Table70[[Funding Rate]:[Funding Rate]]
   *Table70[[Tenure (in months)]:[Tenure (in months)]]
   *$F$3*(1+$Q114)/12)
- (
   IF($Q114&lt;0,
      'Dynamic CM'!$G$3,
      'Dynamic CM'!$G$3*(( $F$3*(1+$Q114) / $F$3 )^'Dynamic CM'!$H$3)
     )
   *Table70[[LGD]:[LGD]]
   *$F$3*(1+$Q114)
 )</f>
        <v>-1304.9640404932265</v>
      </c>
      <c r="S114" s="99" cm="1">
        <f t="array" ref="S114">($F$4*(1+$Q114)*'User Segmentation'!$I$49)
- Table70[[Fixed Cost]:[Fixed Cost]]
- (Table70[[Funding Rate]:[Funding Rate]]
   *Table70[[Tenure (in months)]:[Tenure (in months)]]
   *$F$4*(1+$Q114)/12)
- (
   IF($Q114&lt;0,
      'Dynamic CM'!$G$4,
      'Dynamic CM'!$G$4*(( $F$4*(1+$Q114) / $F$4 )^'Dynamic CM'!$H$4)
     )
   *Table70[[LGD]:[LGD]]
   *$F$4*(1+$Q114)
 )</f>
        <v>-241.39307290955318</v>
      </c>
      <c r="T114" s="99" cm="1">
        <f t="array" ref="T114">($F$5*(1+$Q114)*'User Segmentation'!$I$49)
- Table70[[Fixed Cost]:[Fixed Cost]]
- (Table70[[Funding Rate]:[Funding Rate]]
   *Table70[[Tenure (in months)]:[Tenure (in months)]]
   *$F$5*(1+$Q114)/12)
- (
   IF($Q114&lt;0,
      'Dynamic CM'!$G$5,
      'Dynamic CM'!$G$5*(( $F$5*(1+$Q114) / $F$5 )^'Dynamic CM'!$H$5)
     )
   *Table70[[LGD]:[LGD]]
   *$F$5*(1+$Q114)
 )</f>
        <v>-293.31244438015597</v>
      </c>
      <c r="U114" s="99" cm="1">
        <f t="array" ref="U114">($F$6*(1+$Q114)*'User Segmentation'!$I$49)
- Table70[[Fixed Cost]:[Fixed Cost]]
- (Table70[[Funding Rate]:[Funding Rate]]
   *Table70[[Tenure (in months)]:[Tenure (in months)]]
   *$F$6*(1+$Q114)/12)
- (
   IF($Q114&lt;0,
      'Dynamic CM'!$G$6,
      'Dynamic CM'!$G$6*(( $F$6*(1+$Q114) / $F$6)^'Dynamic CM'!$H$6)
     )
   *Table70[[LGD]:[LGD]]
   *$F$6*(1+$Q114)
 )</f>
        <v>-169.73168869699833</v>
      </c>
    </row>
    <row r="115" spans="17:21" x14ac:dyDescent="0.2">
      <c r="Q115" s="64">
        <v>9.7000000000000099</v>
      </c>
      <c r="R115" s="99" cm="1">
        <f t="array" ref="R115">($F$3*(1+$Q115)*'User Segmentation'!$I$49)
- Table70[[Fixed Cost]:[Fixed Cost]]
- (Table70[[Funding Rate]:[Funding Rate]]
   *Table70[[Tenure (in months)]:[Tenure (in months)]]
   *$F$3*(1+$Q115)/12)
- (
   IF($Q115&lt;0,
      'Dynamic CM'!$G$3,
      'Dynamic CM'!$G$3*(( $F$3*(1+$Q115) / $F$3 )^'Dynamic CM'!$H$3)
     )
   *Table70[[LGD]:[LGD]]
   *$F$3*(1+$Q115)
 )</f>
        <v>-1341.1423937818718</v>
      </c>
      <c r="S115" s="99" cm="1">
        <f t="array" ref="S115">($F$4*(1+$Q115)*'User Segmentation'!$I$49)
- Table70[[Fixed Cost]:[Fixed Cost]]
- (Table70[[Funding Rate]:[Funding Rate]]
   *Table70[[Tenure (in months)]:[Tenure (in months)]]
   *$F$4*(1+$Q115)/12)
- (
   IF($Q115&lt;0,
      'Dynamic CM'!$G$4,
      'Dynamic CM'!$G$4*(( $F$4*(1+$Q115) / $F$4 )^'Dynamic CM'!$H$4)
     )
   *Table70[[LGD]:[LGD]]
   *$F$4*(1+$Q115)
 )</f>
        <v>-247.4731718859789</v>
      </c>
      <c r="T115" s="99" cm="1">
        <f t="array" ref="T115">($F$5*(1+$Q115)*'User Segmentation'!$I$49)
- Table70[[Fixed Cost]:[Fixed Cost]]
- (Table70[[Funding Rate]:[Funding Rate]]
   *Table70[[Tenure (in months)]:[Tenure (in months)]]
   *$F$5*(1+$Q115)/12)
- (
   IF($Q115&lt;0,
      'Dynamic CM'!$G$5,
      'Dynamic CM'!$G$5*(( $F$5*(1+$Q115) / $F$5 )^'Dynamic CM'!$H$5)
     )
   *Table70[[LGD]:[LGD]]
   *$F$5*(1+$Q115)
 )</f>
        <v>-302.05843760622628</v>
      </c>
      <c r="U115" s="99" cm="1">
        <f t="array" ref="U115">($F$6*(1+$Q115)*'User Segmentation'!$I$49)
- Table70[[Fixed Cost]:[Fixed Cost]]
- (Table70[[Funding Rate]:[Funding Rate]]
   *Table70[[Tenure (in months)]:[Tenure (in months)]]
   *$F$6*(1+$Q115)/12)
- (
   IF($Q115&lt;0,
      'Dynamic CM'!$G$6,
      'Dynamic CM'!$G$6*(( $F$6*(1+$Q115) / $F$6)^'Dynamic CM'!$H$6)
     )
   *Table70[[LGD]:[LGD]]
   *$F$6*(1+$Q115)
 )</f>
        <v>-173.95693450279305</v>
      </c>
    </row>
    <row r="116" spans="17:21" x14ac:dyDescent="0.2">
      <c r="Q116" s="64">
        <v>9.8000000000000096</v>
      </c>
      <c r="R116" s="99" cm="1">
        <f t="array" ref="R116">($F$3*(1+$Q116)*'User Segmentation'!$I$49)
- Table70[[Fixed Cost]:[Fixed Cost]]
- (Table70[[Funding Rate]:[Funding Rate]]
   *Table70[[Tenure (in months)]:[Tenure (in months)]]
   *$F$3*(1+$Q116)/12)
- (
   IF($Q116&lt;0,
      'Dynamic CM'!$G$3,
      'Dynamic CM'!$G$3*(( $F$3*(1+$Q116) / $F$3 )^'Dynamic CM'!$H$3)
     )
   *Table70[[LGD]:[LGD]]
   *$F$3*(1+$Q116)
 )</f>
        <v>-1377.9688494285435</v>
      </c>
      <c r="S116" s="99" cm="1">
        <f t="array" ref="S116">($F$4*(1+$Q116)*'User Segmentation'!$I$49)
- Table70[[Fixed Cost]:[Fixed Cost]]
- (Table70[[Funding Rate]:[Funding Rate]]
   *Table70[[Tenure (in months)]:[Tenure (in months)]]
   *$F$4*(1+$Q116)/12)
- (
   IF($Q116&lt;0,
      'Dynamic CM'!$G$4,
      'Dynamic CM'!$G$4*(( $F$4*(1+$Q116) / $F$4 )^'Dynamic CM'!$H$4)
     )
   *Table70[[LGD]:[LGD]]
   *$F$4*(1+$Q116)
 )</f>
        <v>-253.63646240253024</v>
      </c>
      <c r="T116" s="99" cm="1">
        <f t="array" ref="T116">($F$5*(1+$Q116)*'User Segmentation'!$I$49)
- Table70[[Fixed Cost]:[Fixed Cost]]
- (Table70[[Funding Rate]:[Funding Rate]]
   *Table70[[Tenure (in months)]:[Tenure (in months)]]
   *$F$5*(1+$Q116)/12)
- (
   IF($Q116&lt;0,
      'Dynamic CM'!$G$5,
      'Dynamic CM'!$G$5*(( $F$5*(1+$Q116) / $F$5 )^'Dynamic CM'!$H$5)
     )
   *Table70[[LGD]:[LGD]]
   *$F$5*(1+$Q116)
 )</f>
        <v>-310.92073960904025</v>
      </c>
      <c r="U116" s="99" cm="1">
        <f t="array" ref="U116">($F$6*(1+$Q116)*'User Segmentation'!$I$49)
- Table70[[Fixed Cost]:[Fixed Cost]]
- (Table70[[Funding Rate]:[Funding Rate]]
   *Table70[[Tenure (in months)]:[Tenure (in months)]]
   *$F$6*(1+$Q116)/12)
- (
   IF($Q116&lt;0,
      'Dynamic CM'!$G$6,
      'Dynamic CM'!$G$6*(( $F$6*(1+$Q116) / $F$6)^'Dynamic CM'!$H$6)
     )
   *Table70[[LGD]:[LGD]]
   *$F$6*(1+$Q116)
 )</f>
        <v>-178.23977445175171</v>
      </c>
    </row>
    <row r="117" spans="17:21" x14ac:dyDescent="0.2">
      <c r="Q117" s="64">
        <v>9.9000000000000092</v>
      </c>
      <c r="R117" s="99" cm="1">
        <f t="array" ref="R117">($F$3*(1+$Q117)*'User Segmentation'!$I$49)
- Table70[[Fixed Cost]:[Fixed Cost]]
- (Table70[[Funding Rate]:[Funding Rate]]
   *Table70[[Tenure (in months)]:[Tenure (in months)]]
   *$F$3*(1+$Q117)/12)
- (
   IF($Q117&lt;0,
      'Dynamic CM'!$G$3,
      'Dynamic CM'!$G$3*(( $F$3*(1+$Q117) / $F$3 )^'Dynamic CM'!$H$3)
     )
   *Table70[[LGD]:[LGD]]
   *$F$3*(1+$Q117)
 )</f>
        <v>-1415.4487954383358</v>
      </c>
      <c r="S117" s="99" cm="1">
        <f t="array" ref="S117">($F$4*(1+$Q117)*'User Segmentation'!$I$49)
- Table70[[Fixed Cost]:[Fixed Cost]]
- (Table70[[Funding Rate]:[Funding Rate]]
   *Table70[[Tenure (in months)]:[Tenure (in months)]]
   *$F$4*(1+$Q117)/12)
- (
   IF($Q117&lt;0,
      'Dynamic CM'!$G$4,
      'Dynamic CM'!$G$4*(( $F$4*(1+$Q117) / $F$4 )^'Dynamic CM'!$H$4)
     )
   *Table70[[LGD]:[LGD]]
   *$F$4*(1+$Q117)
 )</f>
        <v>-259.88319247231385</v>
      </c>
      <c r="T117" s="99" cm="1">
        <f t="array" ref="T117">($F$5*(1+$Q117)*'User Segmentation'!$I$49)
- Table70[[Fixed Cost]:[Fixed Cost]]
- (Table70[[Funding Rate]:[Funding Rate]]
   *Table70[[Tenure (in months)]:[Tenure (in months)]]
   *$F$5*(1+$Q117)/12)
- (
   IF($Q117&lt;0,
      'Dynamic CM'!$G$5,
      'Dynamic CM'!$G$5*(( $F$5*(1+$Q117) / $F$5 )^'Dynamic CM'!$H$5)
     )
   *Table70[[LGD]:[LGD]]
   *$F$5*(1+$Q117)
 )</f>
        <v>-319.89942723344558</v>
      </c>
      <c r="U117" s="99" cm="1">
        <f t="array" ref="U117">($F$6*(1+$Q117)*'User Segmentation'!$I$49)
- Table70[[Fixed Cost]:[Fixed Cost]]
- (Table70[[Funding Rate]:[Funding Rate]]
   *Table70[[Tenure (in months)]:[Tenure (in months)]]
   *$F$6*(1+$Q117)/12)
- (
   IF($Q117&lt;0,
      'Dynamic CM'!$G$6,
      'Dynamic CM'!$G$6*(( $F$6*(1+$Q117) / $F$6)^'Dynamic CM'!$H$6)
     )
   *Table70[[LGD]:[LGD]]
   *$F$6*(1+$Q117)
 )</f>
        <v>-182.58038024525572</v>
      </c>
    </row>
    <row r="118" spans="17:21" x14ac:dyDescent="0.2">
      <c r="Q118" s="64">
        <v>10</v>
      </c>
      <c r="R118" s="99" cm="1">
        <f t="array" ref="R118">($F$3*(1+$Q118)*'User Segmentation'!$I$49)
- Table70[[Fixed Cost]:[Fixed Cost]]
- (Table70[[Funding Rate]:[Funding Rate]]
   *Table70[[Tenure (in months)]:[Tenure (in months)]]
   *$F$3*(1+$Q118)/12)
- (
   IF($Q118&lt;0,
      'Dynamic CM'!$G$3,
      'Dynamic CM'!$G$3*(( $F$3*(1+$Q118) / $F$3 )^'Dynamic CM'!$H$3)
     )
   *Table70[[LGD]:[LGD]]
   *$F$3*(1+$Q118)
 )</f>
        <v>-1453.5876143311884</v>
      </c>
      <c r="S118" s="99" cm="1">
        <f t="array" ref="S118">($F$4*(1+$Q118)*'User Segmentation'!$I$49)
- Table70[[Fixed Cost]:[Fixed Cost]]
- (Table70[[Funding Rate]:[Funding Rate]]
   *Table70[[Tenure (in months)]:[Tenure (in months)]]
   *$F$4*(1+$Q118)/12)
- (
   IF($Q118&lt;0,
      'Dynamic CM'!$G$4,
      'Dynamic CM'!$G$4*(( $F$4*(1+$Q118) / $F$4 )^'Dynamic CM'!$H$4)
     )
   *Table70[[LGD]:[LGD]]
   *$F$4*(1+$Q118)
 )</f>
        <v>-266.2136085517111</v>
      </c>
      <c r="T118" s="99" cm="1">
        <f t="array" ref="T118">($F$5*(1+$Q118)*'User Segmentation'!$I$49)
- Table70[[Fixed Cost]:[Fixed Cost]]
- (Table70[[Funding Rate]:[Funding Rate]]
   *Table70[[Tenure (in months)]:[Tenure (in months)]]
   *$F$5*(1+$Q118)/12)
- (
   IF($Q118&lt;0,
      'Dynamic CM'!$G$5,
      'Dynamic CM'!$G$5*(( $F$5*(1+$Q118) / $F$5 )^'Dynamic CM'!$H$5)
     )
   *Table70[[LGD]:[LGD]]
   *$F$5*(1+$Q118)
 )</f>
        <v>-328.9945766660839</v>
      </c>
      <c r="U118" s="99" cm="1">
        <f t="array" ref="U118">($F$6*(1+$Q118)*'User Segmentation'!$I$49)
- Table70[[Fixed Cost]:[Fixed Cost]]
- (Table70[[Funding Rate]:[Funding Rate]]
   *Table70[[Tenure (in months)]:[Tenure (in months)]]
   *$F$6*(1+$Q118)/12)
- (
   IF($Q118&lt;0,
      'Dynamic CM'!$G$6,
      'Dynamic CM'!$G$6*(( $F$6*(1+$Q118) / $F$6)^'Dynamic CM'!$H$6)
     )
   *Table70[[LGD]:[LGD]]
   *$F$6*(1+$Q118)
 )</f>
        <v>-186.97892250695381</v>
      </c>
    </row>
    <row r="119" spans="17:21" x14ac:dyDescent="0.2">
      <c r="Q119" s="64">
        <v>10.1</v>
      </c>
      <c r="R119" s="99" cm="1">
        <f t="array" ref="R119">($F$3*(1+$Q119)*'User Segmentation'!$I$49)
- Table70[[Fixed Cost]:[Fixed Cost]]
- (Table70[[Funding Rate]:[Funding Rate]]
   *Table70[[Tenure (in months)]:[Tenure (in months)]]
   *$F$3*(1+$Q119)/12)
- (
   IF($Q119&lt;0,
      'Dynamic CM'!$G$3,
      'Dynamic CM'!$G$3*(( $F$3*(1+$Q119) / $F$3 )^'Dynamic CM'!$H$3)
     )
   *Table70[[LGD]:[LGD]]
   *$F$3*(1+$Q119)
 )</f>
        <v>-1492.3906831977206</v>
      </c>
      <c r="S119" s="99" cm="1">
        <f t="array" ref="S119">($F$4*(1+$Q119)*'User Segmentation'!$I$49)
- Table70[[Fixed Cost]:[Fixed Cost]]
- (Table70[[Funding Rate]:[Funding Rate]]
   *Table70[[Tenure (in months)]:[Tenure (in months)]]
   *$F$4*(1+$Q119)/12)
- (
   IF($Q119&lt;0,
      'Dynamic CM'!$G$4,
      'Dynamic CM'!$G$4*(( $F$4*(1+$Q119) / $F$4 )^'Dynamic CM'!$H$4)
     )
   *Table70[[LGD]:[LGD]]
   *$F$4*(1+$Q119)
 )</f>
        <v>-272.62795556429955</v>
      </c>
      <c r="T119" s="99" cm="1">
        <f t="array" ref="T119">($F$5*(1+$Q119)*'User Segmentation'!$I$49)
- Table70[[Fixed Cost]:[Fixed Cost]]
- (Table70[[Funding Rate]:[Funding Rate]]
   *Table70[[Tenure (in months)]:[Tenure (in months)]]
   *$F$5*(1+$Q119)/12)
- (
   IF($Q119&lt;0,
      'Dynamic CM'!$G$5,
      'Dynamic CM'!$G$5*(( $F$5*(1+$Q119) / $F$5 )^'Dynamic CM'!$H$5)
     )
   *Table70[[LGD]:[LGD]]
   *$F$5*(1+$Q119)
 )</f>
        <v>-338.20626344699372</v>
      </c>
      <c r="U119" s="99" cm="1">
        <f t="array" ref="U119">($F$6*(1+$Q119)*'User Segmentation'!$I$49)
- Table70[[Fixed Cost]:[Fixed Cost]]
- (Table70[[Funding Rate]:[Funding Rate]]
   *Table70[[Tenure (in months)]:[Tenure (in months)]]
   *$F$6*(1+$Q119)/12)
- (
   IF($Q119&lt;0,
      'Dynamic CM'!$G$6,
      'Dynamic CM'!$G$6*(( $F$6*(1+$Q119) / $F$6)^'Dynamic CM'!$H$6)
     )
   *Table70[[LGD]:[LGD]]
   *$F$6*(1+$Q119)
 )</f>
        <v>-191.43557079932273</v>
      </c>
    </row>
    <row r="120" spans="17:21" x14ac:dyDescent="0.2">
      <c r="Q120" s="64">
        <v>10.199999999999999</v>
      </c>
      <c r="R120" s="99" cm="1">
        <f t="array" ref="R120">($F$3*(1+$Q120)*'User Segmentation'!$I$49)
- Table70[[Fixed Cost]:[Fixed Cost]]
- (Table70[[Funding Rate]:[Funding Rate]]
   *Table70[[Tenure (in months)]:[Tenure (in months)]]
   *$F$3*(1+$Q120)/12)
- (
   IF($Q120&lt;0,
      'Dynamic CM'!$G$3,
      'Dynamic CM'!$G$3*(( $F$3*(1+$Q120) / $F$3 )^'Dynamic CM'!$H$3)
     )
   *Table70[[LGD]:[LGD]]
   *$F$3*(1+$Q120)
 )</f>
        <v>-1531.8633737539824</v>
      </c>
      <c r="S120" s="99" cm="1">
        <f t="array" ref="S120">($F$4*(1+$Q120)*'User Segmentation'!$I$49)
- Table70[[Fixed Cost]:[Fixed Cost]]
- (Table70[[Funding Rate]:[Funding Rate]]
   *Table70[[Tenure (in months)]:[Tenure (in months)]]
   *$F$4*(1+$Q120)/12)
- (
   IF($Q120&lt;0,
      'Dynamic CM'!$G$4,
      'Dynamic CM'!$G$4*(( $F$4*(1+$Q120) / $F$4 )^'Dynamic CM'!$H$4)
     )
   *Table70[[LGD]:[LGD]]
   *$F$4*(1+$Q120)
 )</f>
        <v>-279.12647692419046</v>
      </c>
      <c r="T120" s="99" cm="1">
        <f t="array" ref="T120">($F$5*(1+$Q120)*'User Segmentation'!$I$49)
- Table70[[Fixed Cost]:[Fixed Cost]]
- (Table70[[Funding Rate]:[Funding Rate]]
   *Table70[[Tenure (in months)]:[Tenure (in months)]]
   *$F$5*(1+$Q120)/12)
- (
   IF($Q120&lt;0,
      'Dynamic CM'!$G$5,
      'Dynamic CM'!$G$5*(( $F$5*(1+$Q120) / $F$5 )^'Dynamic CM'!$H$5)
     )
   *Table70[[LGD]:[LGD]]
   *$F$5*(1+$Q120)
 )</f>
        <v>-347.5345624808981</v>
      </c>
      <c r="U120" s="99" cm="1">
        <f t="array" ref="U120">($F$6*(1+$Q120)*'User Segmentation'!$I$49)
- Table70[[Fixed Cost]:[Fixed Cost]]
- (Table70[[Funding Rate]:[Funding Rate]]
   *Table70[[Tenure (in months)]:[Tenure (in months)]]
   *$F$6*(1+$Q120)/12)
- (
   IF($Q120&lt;0,
      'Dynamic CM'!$G$6,
      'Dynamic CM'!$G$6*(( $F$6*(1+$Q120) / $F$6)^'Dynamic CM'!$H$6)
     )
   *Table70[[LGD]:[LGD]]
   *$F$6*(1+$Q120)
 )</f>
        <v>-195.95049363982412</v>
      </c>
    </row>
    <row r="121" spans="17:21" x14ac:dyDescent="0.2">
      <c r="Q121" s="64">
        <v>10.3</v>
      </c>
      <c r="R121" s="99" cm="1">
        <f t="array" ref="R121">($F$3*(1+$Q121)*'User Segmentation'!$I$49)
- Table70[[Fixed Cost]:[Fixed Cost]]
- (Table70[[Funding Rate]:[Funding Rate]]
   *Table70[[Tenure (in months)]:[Tenure (in months)]]
   *$F$3*(1+$Q121)/12)
- (
   IF($Q121&lt;0,
      'Dynamic CM'!$G$3,
      'Dynamic CM'!$G$3*(( $F$3*(1+$Q121) / $F$3 )^'Dynamic CM'!$H$3)
     )
   *Table70[[LGD]:[LGD]]
   *$F$3*(1+$Q121)
 )</f>
        <v>-1572.0110523951842</v>
      </c>
      <c r="S121" s="99" cm="1">
        <f t="array" ref="S121">($F$4*(1+$Q121)*'User Segmentation'!$I$49)
- Table70[[Fixed Cost]:[Fixed Cost]]
- (Table70[[Funding Rate]:[Funding Rate]]
   *Table70[[Tenure (in months)]:[Tenure (in months)]]
   *$F$4*(1+$Q121)/12)
- (
   IF($Q121&lt;0,
      'Dynamic CM'!$G$4,
      'Dynamic CM'!$G$4*(( $F$4*(1+$Q121) / $F$4 )^'Dynamic CM'!$H$4)
     )
   *Table70[[LGD]:[LGD]]
   *$F$4*(1+$Q121)
 )</f>
        <v>-285.70941455880757</v>
      </c>
      <c r="T121" s="99" cm="1">
        <f t="array" ref="T121">($F$5*(1+$Q121)*'User Segmentation'!$I$49)
- Table70[[Fixed Cost]:[Fixed Cost]]
- (Table70[[Funding Rate]:[Funding Rate]]
   *Table70[[Tenure (in months)]:[Tenure (in months)]]
   *$F$5*(1+$Q121)/12)
- (
   IF($Q121&lt;0,
      'Dynamic CM'!$G$5,
      'Dynamic CM'!$G$5*(( $F$5*(1+$Q121) / $F$5 )^'Dynamic CM'!$H$5)
     )
   *Table70[[LGD]:[LGD]]
   *$F$5*(1+$Q121)
 )</f>
        <v>-356.97954804820432</v>
      </c>
      <c r="U121" s="99" cm="1">
        <f t="array" ref="U121">($F$6*(1+$Q121)*'User Segmentation'!$I$49)
- Table70[[Fixed Cost]:[Fixed Cost]]
- (Table70[[Funding Rate]:[Funding Rate]]
   *Table70[[Tenure (in months)]:[Tenure (in months)]]
   *$F$6*(1+$Q121)/12)
- (
   IF($Q121&lt;0,
      'Dynamic CM'!$G$6,
      'Dynamic CM'!$G$6*(( $F$6*(1+$Q121) / $F$6)^'Dynamic CM'!$H$6)
     )
   *Table70[[LGD]:[LGD]]
   *$F$6*(1+$Q121)
 )</f>
        <v>-200.52385851667449</v>
      </c>
    </row>
    <row r="122" spans="17:21" x14ac:dyDescent="0.2">
      <c r="Q122" s="64">
        <v>10.4</v>
      </c>
      <c r="R122" s="99" cm="1">
        <f t="array" ref="R122">($F$3*(1+$Q122)*'User Segmentation'!$I$49)
- Table70[[Fixed Cost]:[Fixed Cost]]
- (Table70[[Funding Rate]:[Funding Rate]]
   *Table70[[Tenure (in months)]:[Tenure (in months)]]
   *$F$3*(1+$Q122)/12)
- (
   IF($Q122&lt;0,
      'Dynamic CM'!$G$3,
      'Dynamic CM'!$G$3*(( $F$3*(1+$Q122) / $F$3 )^'Dynamic CM'!$H$3)
     )
   *Table70[[LGD]:[LGD]]
   *$F$3*(1+$Q122)
 )</f>
        <v>-1612.8390802484046</v>
      </c>
      <c r="S122" s="99" cm="1">
        <f t="array" ref="S122">($F$4*(1+$Q122)*'User Segmentation'!$I$49)
- Table70[[Fixed Cost]:[Fixed Cost]]
- (Table70[[Funding Rate]:[Funding Rate]]
   *Table70[[Tenure (in months)]:[Tenure (in months)]]
   *$F$4*(1+$Q122)/12)
- (
   IF($Q122&lt;0,
      'Dynamic CM'!$G$4,
      'Dynamic CM'!$G$4*(( $F$4*(1+$Q122) / $F$4 )^'Dynamic CM'!$H$4)
     )
   *Table70[[LGD]:[LGD]]
   *$F$4*(1+$Q122)
 )</f>
        <v>-292.37700893112077</v>
      </c>
      <c r="T122" s="99" cm="1">
        <f t="array" ref="T122">($F$5*(1+$Q122)*'User Segmentation'!$I$49)
- Table70[[Fixed Cost]:[Fixed Cost]]
- (Table70[[Funding Rate]:[Funding Rate]]
   *Table70[[Tenure (in months)]:[Tenure (in months)]]
   *$F$5*(1+$Q122)/12)
- (
   IF($Q122&lt;0,
      'Dynamic CM'!$G$5,
      'Dynamic CM'!$G$5*(( $F$5*(1+$Q122) / $F$5 )^'Dynamic CM'!$H$5)
     )
   *Table70[[LGD]:[LGD]]
   *$F$5*(1+$Q122)
 )</f>
        <v>-366.54129381570903</v>
      </c>
      <c r="U122" s="99" cm="1">
        <f t="array" ref="U122">($F$6*(1+$Q122)*'User Segmentation'!$I$49)
- Table70[[Fixed Cost]:[Fixed Cost]]
- (Table70[[Funding Rate]:[Funding Rate]]
   *Table70[[Tenure (in months)]:[Tenure (in months)]]
   *$F$6*(1+$Q122)/12)
- (
   IF($Q122&lt;0,
      'Dynamic CM'!$G$6,
      'Dynamic CM'!$G$6*(( $F$6*(1+$Q122) / $F$6)^'Dynamic CM'!$H$6)
     )
   *Table70[[LGD]:[LGD]]
   *$F$6*(1+$Q122)
 )</f>
        <v>-205.15583190423743</v>
      </c>
    </row>
    <row r="123" spans="17:21" x14ac:dyDescent="0.2">
      <c r="Q123" s="64">
        <v>10.5</v>
      </c>
      <c r="R123" s="99" cm="1">
        <f t="array" ref="R123">($F$3*(1+$Q123)*'User Segmentation'!$I$49)
- Table70[[Fixed Cost]:[Fixed Cost]]
- (Table70[[Funding Rate]:[Funding Rate]]
   *Table70[[Tenure (in months)]:[Tenure (in months)]]
   *$F$3*(1+$Q123)/12)
- (
   IF($Q123&lt;0,
      'Dynamic CM'!$G$3,
      'Dynamic CM'!$G$3*(( $F$3*(1+$Q123) / $F$3 )^'Dynamic CM'!$H$3)
     )
   *Table70[[LGD]:[LGD]]
   *$F$3*(1+$Q123)
 )</f>
        <v>-1654.35281322432</v>
      </c>
      <c r="S123" s="99" cm="1">
        <f t="array" ref="S123">($F$4*(1+$Q123)*'User Segmentation'!$I$49)
- Table70[[Fixed Cost]:[Fixed Cost]]
- (Table70[[Funding Rate]:[Funding Rate]]
   *Table70[[Tenure (in months)]:[Tenure (in months)]]
   *$F$4*(1+$Q123)/12)
- (
   IF($Q123&lt;0,
      'Dynamic CM'!$G$4,
      'Dynamic CM'!$G$4*(( $F$4*(1+$Q123) / $F$4 )^'Dynamic CM'!$H$4)
     )
   *Table70[[LGD]:[LGD]]
   *$F$4*(1+$Q123)
 )</f>
        <v>-299.12949906135458</v>
      </c>
      <c r="T123" s="99" cm="1">
        <f t="array" ref="T123">($F$5*(1+$Q123)*'User Segmentation'!$I$49)
- Table70[[Fixed Cost]:[Fixed Cost]]
- (Table70[[Funding Rate]:[Funding Rate]]
   *Table70[[Tenure (in months)]:[Tenure (in months)]]
   *$F$5*(1+$Q123)/12)
- (
   IF($Q123&lt;0,
      'Dynamic CM'!$G$5,
      'Dynamic CM'!$G$5*(( $F$5*(1+$Q123) / $F$5 )^'Dynamic CM'!$H$5)
     )
   *Table70[[LGD]:[LGD]]
   *$F$5*(1+$Q123)
 )</f>
        <v>-376.21987284703397</v>
      </c>
      <c r="U123" s="99" cm="1">
        <f t="array" ref="U123">($F$6*(1+$Q123)*'User Segmentation'!$I$49)
- Table70[[Fixed Cost]:[Fixed Cost]]
- (Table70[[Funding Rate]:[Funding Rate]]
   *Table70[[Tenure (in months)]:[Tenure (in months)]]
   *$F$6*(1+$Q123)/12)
- (
   IF($Q123&lt;0,
      'Dynamic CM'!$G$6,
      'Dynamic CM'!$G$6*(( $F$6*(1+$Q123) / $F$6)^'Dynamic CM'!$H$6)
     )
   *Table70[[LGD]:[LGD]]
   *$F$6*(1+$Q123)
 )</f>
        <v>-209.84657927805313</v>
      </c>
    </row>
    <row r="124" spans="17:21" x14ac:dyDescent="0.2">
      <c r="Q124" s="64">
        <v>10.6</v>
      </c>
      <c r="R124" s="99" cm="1">
        <f t="array" ref="R124">($F$3*(1+$Q124)*'User Segmentation'!$I$49)
- Table70[[Fixed Cost]:[Fixed Cost]]
- (Table70[[Funding Rate]:[Funding Rate]]
   *Table70[[Tenure (in months)]:[Tenure (in months)]]
   *$F$3*(1+$Q124)/12)
- (
   IF($Q124&lt;0,
      'Dynamic CM'!$G$3,
      'Dynamic CM'!$G$3*(( $F$3*(1+$Q124) / $F$3 )^'Dynamic CM'!$H$3)
     )
   *Table70[[LGD]:[LGD]]
   *$F$3*(1+$Q124)
 )</f>
        <v>-1696.5576020679707</v>
      </c>
      <c r="S124" s="99" cm="1">
        <f t="array" ref="S124">($F$4*(1+$Q124)*'User Segmentation'!$I$49)
- Table70[[Fixed Cost]:[Fixed Cost]]
- (Table70[[Funding Rate]:[Funding Rate]]
   *Table70[[Tenure (in months)]:[Tenure (in months)]]
   *$F$4*(1+$Q124)/12)
- (
   IF($Q124&lt;0,
      'Dynamic CM'!$G$4,
      'Dynamic CM'!$G$4*(( $F$4*(1+$Q124) / $F$4 )^'Dynamic CM'!$H$4)
     )
   *Table70[[LGD]:[LGD]]
   *$F$4*(1+$Q124)
 )</f>
        <v>-305.96712254818806</v>
      </c>
      <c r="T124" s="99" cm="1">
        <f t="array" ref="T124">($F$5*(1+$Q124)*'User Segmentation'!$I$49)
- Table70[[Fixed Cost]:[Fixed Cost]]
- (Table70[[Funding Rate]:[Funding Rate]]
   *Table70[[Tenure (in months)]:[Tenure (in months)]]
   *$F$5*(1+$Q124)/12)
- (
   IF($Q124&lt;0,
      'Dynamic CM'!$G$5,
      'Dynamic CM'!$G$5*(( $F$5*(1+$Q124) / $F$5 )^'Dynamic CM'!$H$5)
     )
   *Table70[[LGD]:[LGD]]
   *$F$5*(1+$Q124)
 )</f>
        <v>-386.01535761279047</v>
      </c>
      <c r="U124" s="99" cm="1">
        <f t="array" ref="U124">($F$6*(1+$Q124)*'User Segmentation'!$I$49)
- Table70[[Fixed Cost]:[Fixed Cost]]
- (Table70[[Funding Rate]:[Funding Rate]]
   *Table70[[Tenure (in months)]:[Tenure (in months)]]
   *$F$6*(1+$Q124)/12)
- (
   IF($Q124&lt;0,
      'Dynamic CM'!$G$6,
      'Dynamic CM'!$G$6*(( $F$6*(1+$Q124) / $F$6)^'Dynamic CM'!$H$6)
     )
   *Table70[[LGD]:[LGD]]
   *$F$6*(1+$Q124)
 )</f>
        <v>-214.59626512951482</v>
      </c>
    </row>
    <row r="125" spans="17:21" x14ac:dyDescent="0.2">
      <c r="Q125" s="64">
        <v>10.7</v>
      </c>
      <c r="R125" s="99" cm="1">
        <f t="array" ref="R125">($F$3*(1+$Q125)*'User Segmentation'!$I$49)
- Table70[[Fixed Cost]:[Fixed Cost]]
- (Table70[[Funding Rate]:[Funding Rate]]
   *Table70[[Tenure (in months)]:[Tenure (in months)]]
   *$F$3*(1+$Q125)/12)
- (
   IF($Q125&lt;0,
      'Dynamic CM'!$G$3,
      'Dynamic CM'!$G$3*(( $F$3*(1+$Q125) / $F$3 )^'Dynamic CM'!$H$3)
     )
   *Table70[[LGD]:[LGD]]
   *$F$3*(1+$Q125)
 )</f>
        <v>-1739.4587924085993</v>
      </c>
      <c r="S125" s="99" cm="1">
        <f t="array" ref="S125">($F$4*(1+$Q125)*'User Segmentation'!$I$49)
- Table70[[Fixed Cost]:[Fixed Cost]]
- (Table70[[Funding Rate]:[Funding Rate]]
   *Table70[[Tenure (in months)]:[Tenure (in months)]]
   *$F$4*(1+$Q125)/12)
- (
   IF($Q125&lt;0,
      'Dynamic CM'!$G$4,
      'Dynamic CM'!$G$4*(( $F$4*(1+$Q125) / $F$4 )^'Dynamic CM'!$H$4)
     )
   *Table70[[LGD]:[LGD]]
   *$F$4*(1+$Q125)
 )</f>
        <v>-312.89011558946083</v>
      </c>
      <c r="T125" s="99" cm="1">
        <f t="array" ref="T125">($F$5*(1+$Q125)*'User Segmentation'!$I$49)
- Table70[[Fixed Cost]:[Fixed Cost]]
- (Table70[[Funding Rate]:[Funding Rate]]
   *Table70[[Tenure (in months)]:[Tenure (in months)]]
   *$F$5*(1+$Q125)/12)
- (
   IF($Q125&lt;0,
      'Dynamic CM'!$G$5,
      'Dynamic CM'!$G$5*(( $F$5*(1+$Q125) / $F$5 )^'Dynamic CM'!$H$5)
     )
   *Table70[[LGD]:[LGD]]
   *$F$5*(1+$Q125)
 )</f>
        <v>-395.92782000048499</v>
      </c>
      <c r="U125" s="99" cm="1">
        <f t="array" ref="U125">($F$6*(1+$Q125)*'User Segmentation'!$I$49)
- Table70[[Fixed Cost]:[Fixed Cost]]
- (Table70[[Funding Rate]:[Funding Rate]]
   *Table70[[Tenure (in months)]:[Tenure (in months)]]
   *$F$6*(1+$Q125)/12)
- (
   IF($Q125&lt;0,
      'Dynamic CM'!$G$6,
      'Dynamic CM'!$G$6*(( $F$6*(1+$Q125) / $F$6)^'Dynamic CM'!$H$6)
     )
   *Table70[[LGD]:[LGD]]
   *$F$6*(1+$Q125)
 )</f>
        <v>-219.40505298020361</v>
      </c>
    </row>
    <row r="126" spans="17:21" x14ac:dyDescent="0.2">
      <c r="Q126" s="64">
        <v>10.8</v>
      </c>
      <c r="R126" s="99" cm="1">
        <f t="array" ref="R126">($F$3*(1+$Q126)*'User Segmentation'!$I$49)
- Table70[[Fixed Cost]:[Fixed Cost]]
- (Table70[[Funding Rate]:[Funding Rate]]
   *Table70[[Tenure (in months)]:[Tenure (in months)]]
   *$F$3*(1+$Q126)/12)
- (
   IF($Q126&lt;0,
      'Dynamic CM'!$G$3,
      'Dynamic CM'!$G$3*(( $F$3*(1+$Q126) / $F$3 )^'Dynamic CM'!$H$3)
     )
   *Table70[[LGD]:[LGD]]
   *$F$3*(1+$Q126)
 )</f>
        <v>-1783.0617248085885</v>
      </c>
      <c r="S126" s="99" cm="1">
        <f t="array" ref="S126">($F$4*(1+$Q126)*'User Segmentation'!$I$49)
- Table70[[Fixed Cost]:[Fixed Cost]]
- (Table70[[Funding Rate]:[Funding Rate]]
   *Table70[[Tenure (in months)]:[Tenure (in months)]]
   *$F$4*(1+$Q126)/12)
- (
   IF($Q126&lt;0,
      'Dynamic CM'!$G$4,
      'Dynamic CM'!$G$4*(( $F$4*(1+$Q126) / $F$4 )^'Dynamic CM'!$H$4)
     )
   *Table70[[LGD]:[LGD]]
   *$F$4*(1+$Q126)
 )</f>
        <v>-319.89871300240401</v>
      </c>
      <c r="T126" s="99" cm="1">
        <f t="array" ref="T126">($F$5*(1+$Q126)*'User Segmentation'!$I$49)
- Table70[[Fixed Cost]:[Fixed Cost]]
- (Table70[[Funding Rate]:[Funding Rate]]
   *Table70[[Tenure (in months)]:[Tenure (in months)]]
   *$F$5*(1+$Q126)/12)
- (
   IF($Q126&lt;0,
      'Dynamic CM'!$G$5,
      'Dynamic CM'!$G$5*(( $F$5*(1+$Q126) / $F$5 )^'Dynamic CM'!$H$5)
     )
   *Table70[[LGD]:[LGD]]
   *$F$5*(1+$Q126)
 )</f>
        <v>-405.95733132418076</v>
      </c>
      <c r="U126" s="99" cm="1">
        <f t="array" ref="U126">($F$6*(1+$Q126)*'User Segmentation'!$I$49)
- Table70[[Fixed Cost]:[Fixed Cost]]
- (Table70[[Funding Rate]:[Funding Rate]]
   *Table70[[Tenure (in months)]:[Tenure (in months)]]
   *$F$6*(1+$Q126)/12)
- (
   IF($Q126&lt;0,
      'Dynamic CM'!$G$6,
      'Dynamic CM'!$G$6*(( $F$6*(1+$Q126) / $F$6)^'Dynamic CM'!$H$6)
     )
   *Table70[[LGD]:[LGD]]
   *$F$6*(1+$Q126)
 )</f>
        <v>-224.27310539589513</v>
      </c>
    </row>
    <row r="127" spans="17:21" x14ac:dyDescent="0.2">
      <c r="Q127" s="64">
        <v>10.9</v>
      </c>
      <c r="R127" s="99" cm="1">
        <f t="array" ref="R127">($F$3*(1+$Q127)*'User Segmentation'!$I$49)
- Table70[[Fixed Cost]:[Fixed Cost]]
- (Table70[[Funding Rate]:[Funding Rate]]
   *Table70[[Tenure (in months)]:[Tenure (in months)]]
   *$F$3*(1+$Q127)/12)
- (
   IF($Q127&lt;0,
      'Dynamic CM'!$G$3,
      'Dynamic CM'!$G$3*(( $F$3*(1+$Q127) / $F$3 )^'Dynamic CM'!$H$3)
     )
   *Table70[[LGD]:[LGD]]
   *$F$3*(1+$Q127)
 )</f>
        <v>-1827.3717348114994</v>
      </c>
      <c r="S127" s="99" cm="1">
        <f t="array" ref="S127">($F$4*(1+$Q127)*'User Segmentation'!$I$49)
- Table70[[Fixed Cost]:[Fixed Cost]]
- (Table70[[Funding Rate]:[Funding Rate]]
   *Table70[[Tenure (in months)]:[Tenure (in months)]]
   *$F$4*(1+$Q127)/12)
- (
   IF($Q127&lt;0,
      'Dynamic CM'!$G$4,
      'Dynamic CM'!$G$4*(( $F$4*(1+$Q127) / $F$4 )^'Dynamic CM'!$H$4)
     )
   *Table70[[LGD]:[LGD]]
   *$F$4*(1+$Q127)
 )</f>
        <v>-326.99314824340684</v>
      </c>
      <c r="T127" s="99" cm="1">
        <f t="array" ref="T127">($F$5*(1+$Q127)*'User Segmentation'!$I$49)
- Table70[[Fixed Cost]:[Fixed Cost]]
- (Table70[[Funding Rate]:[Funding Rate]]
   *Table70[[Tenure (in months)]:[Tenure (in months)]]
   *$F$5*(1+$Q127)/12)
- (
   IF($Q127&lt;0,
      'Dynamic CM'!$G$5,
      'Dynamic CM'!$G$5*(( $F$5*(1+$Q127) / $F$5 )^'Dynamic CM'!$H$5)
     )
   *Table70[[LGD]:[LGD]]
   *$F$5*(1+$Q127)
 )</f>
        <v>-416.10396233391458</v>
      </c>
      <c r="U127" s="99" cm="1">
        <f t="array" ref="U127">($F$6*(1+$Q127)*'User Segmentation'!$I$49)
- Table70[[Fixed Cost]:[Fixed Cost]]
- (Table70[[Funding Rate]:[Funding Rate]]
   *Table70[[Tenure (in months)]:[Tenure (in months)]]
   *$F$6*(1+$Q127)/12)
- (
   IF($Q127&lt;0,
      'Dynamic CM'!$G$6,
      'Dynamic CM'!$G$6*(( $F$6*(1+$Q127) / $F$6)^'Dynamic CM'!$H$6)
     )
   *Table70[[LGD]:[LGD]]
   *$F$6*(1+$Q127)
 )</f>
        <v>-229.2005840002432</v>
      </c>
    </row>
    <row r="128" spans="17:21" x14ac:dyDescent="0.2">
      <c r="Q128" s="64">
        <v>11</v>
      </c>
      <c r="R128" s="99" cm="1">
        <f t="array" ref="R128">($F$3*(1+$Q128)*'User Segmentation'!$I$49)
- Table70[[Fixed Cost]:[Fixed Cost]]
- (Table70[[Funding Rate]:[Funding Rate]]
   *Table70[[Tenure (in months)]:[Tenure (in months)]]
   *$F$3*(1+$Q128)/12)
- (
   IF($Q128&lt;0,
      'Dynamic CM'!$G$3,
      'Dynamic CM'!$G$3*(( $F$3*(1+$Q128) / $F$3 )^'Dynamic CM'!$H$3)
     )
   *Table70[[LGD]:[LGD]]
   *$F$3*(1+$Q128)
 )</f>
        <v>-1872.3941529892779</v>
      </c>
      <c r="S128" s="99" cm="1">
        <f t="array" ref="S128">($F$4*(1+$Q128)*'User Segmentation'!$I$49)
- Table70[[Fixed Cost]:[Fixed Cost]]
- (Table70[[Funding Rate]:[Funding Rate]]
   *Table70[[Tenure (in months)]:[Tenure (in months)]]
   *$F$4*(1+$Q128)/12)
- (
   IF($Q128&lt;0,
      'Dynamic CM'!$G$4,
      'Dynamic CM'!$G$4*(( $F$4*(1+$Q128) / $F$4 )^'Dynamic CM'!$H$4)
     )
   *Table70[[LGD]:[LGD]]
   *$F$4*(1+$Q128)
 )</f>
        <v>-334.17365342733768</v>
      </c>
      <c r="T128" s="99" cm="1">
        <f t="array" ref="T128">($F$5*(1+$Q128)*'User Segmentation'!$I$49)
- Table70[[Fixed Cost]:[Fixed Cost]]
- (Table70[[Funding Rate]:[Funding Rate]]
   *Table70[[Tenure (in months)]:[Tenure (in months)]]
   *$F$5*(1+$Q128)/12)
- (
   IF($Q128&lt;0,
      'Dynamic CM'!$G$5,
      'Dynamic CM'!$G$5*(( $F$5*(1+$Q128) / $F$5 )^'Dynamic CM'!$H$5)
     )
   *Table70[[LGD]:[LGD]]
   *$F$5*(1+$Q128)
 )</f>
        <v>-426.36778322487982</v>
      </c>
      <c r="U128" s="99" cm="1">
        <f t="array" ref="U128">($F$6*(1+$Q128)*'User Segmentation'!$I$49)
- Table70[[Fixed Cost]:[Fixed Cost]]
- (Table70[[Funding Rate]:[Funding Rate]]
   *Table70[[Tenure (in months)]:[Tenure (in months)]]
   *$F$6*(1+$Q128)/12)
- (
   IF($Q128&lt;0,
      'Dynamic CM'!$G$6,
      'Dynamic CM'!$G$6*(( $F$6*(1+$Q128) / $F$6)^'Dynamic CM'!$H$6)
     )
   *Table70[[LGD]:[LGD]]
   *$F$6*(1+$Q128)
 )</f>
        <v>-234.18764948815681</v>
      </c>
    </row>
    <row r="129" spans="17:21" x14ac:dyDescent="0.2">
      <c r="Q129" s="64">
        <v>11.1</v>
      </c>
      <c r="R129" s="99" cm="1">
        <f t="array" ref="R129">($F$3*(1+$Q129)*'User Segmentation'!$I$49)
- Table70[[Fixed Cost]:[Fixed Cost]]
- (Table70[[Funding Rate]:[Funding Rate]]
   *Table70[[Tenure (in months)]:[Tenure (in months)]]
   *$F$3*(1+$Q129)/12)
- (
   IF($Q129&lt;0,
      'Dynamic CM'!$G$3,
      'Dynamic CM'!$G$3*(( $F$3*(1+$Q129) / $F$3 )^'Dynamic CM'!$H$3)
     )
   *Table70[[LGD]:[LGD]]
   *$F$3*(1+$Q129)
 )</f>
        <v>-1918.134304988597</v>
      </c>
      <c r="S129" s="99" cm="1">
        <f t="array" ref="S129">($F$4*(1+$Q129)*'User Segmentation'!$I$49)
- Table70[[Fixed Cost]:[Fixed Cost]]
- (Table70[[Funding Rate]:[Funding Rate]]
   *Table70[[Tenure (in months)]:[Tenure (in months)]]
   *$F$4*(1+$Q129)/12)
- (
   IF($Q129&lt;0,
      'Dynamic CM'!$G$4,
      'Dynamic CM'!$G$4*(( $F$4*(1+$Q129) / $F$4 )^'Dynamic CM'!$H$4)
     )
   *Table70[[LGD]:[LGD]]
   *$F$4*(1+$Q129)
 )</f>
        <v>-341.44045934642941</v>
      </c>
      <c r="T129" s="99" cm="1">
        <f t="array" ref="T129">($F$5*(1+$Q129)*'User Segmentation'!$I$49)
- Table70[[Fixed Cost]:[Fixed Cost]]
- (Table70[[Funding Rate]:[Funding Rate]]
   *Table70[[Tenure (in months)]:[Tenure (in months)]]
   *$F$5*(1+$Q129)/12)
- (
   IF($Q129&lt;0,
      'Dynamic CM'!$G$5,
      'Dynamic CM'!$G$5*(( $F$5*(1+$Q129) / $F$5 )^'Dynamic CM'!$H$5)
     )
   *Table70[[LGD]:[LGD]]
   *$F$5*(1+$Q129)
 )</f>
        <v>-436.74886364638729</v>
      </c>
      <c r="U129" s="99" cm="1">
        <f t="array" ref="U129">($F$6*(1+$Q129)*'User Segmentation'!$I$49)
- Table70[[Fixed Cost]:[Fixed Cost]]
- (Table70[[Funding Rate]:[Funding Rate]]
   *Table70[[Tenure (in months)]:[Tenure (in months)]]
   *$F$6*(1+$Q129)/12)
- (
   IF($Q129&lt;0,
      'Dynamic CM'!$G$6,
      'Dynamic CM'!$G$6*(( $F$6*(1+$Q129) / $F$6)^'Dynamic CM'!$H$6)
     )
   *Table70[[LGD]:[LGD]]
   *$F$6*(1+$Q129)
 )</f>
        <v>-239.23446163887411</v>
      </c>
    </row>
    <row r="130" spans="17:21" x14ac:dyDescent="0.2">
      <c r="Q130" s="64">
        <v>11.2</v>
      </c>
      <c r="R130" s="99" cm="1">
        <f t="array" ref="R130">($F$3*(1+$Q130)*'User Segmentation'!$I$49)
- Table70[[Fixed Cost]:[Fixed Cost]]
- (Table70[[Funding Rate]:[Funding Rate]]
   *Table70[[Tenure (in months)]:[Tenure (in months)]]
   *$F$3*(1+$Q130)/12)
- (
   IF($Q130&lt;0,
      'Dynamic CM'!$G$3,
      'Dynamic CM'!$G$3*(( $F$3*(1+$Q130) / $F$3 )^'Dynamic CM'!$H$3)
     )
   *Table70[[LGD]:[LGD]]
   *$F$3*(1+$Q130)
 )</f>
        <v>-1964.5975115764038</v>
      </c>
      <c r="S130" s="99" cm="1">
        <f t="array" ref="S130">($F$4*(1+$Q130)*'User Segmentation'!$I$49)
- Table70[[Fixed Cost]:[Fixed Cost]]
- (Table70[[Funding Rate]:[Funding Rate]]
   *Table70[[Tenure (in months)]:[Tenure (in months)]]
   *$F$4*(1+$Q130)/12)
- (
   IF($Q130&lt;0,
      'Dynamic CM'!$G$4,
      'Dynamic CM'!$G$4*(( $F$4*(1+$Q130) / $F$4 )^'Dynamic CM'!$H$4)
     )
   *Table70[[LGD]:[LGD]]
   *$F$4*(1+$Q130)
 )</f>
        <v>-348.7937954887455</v>
      </c>
      <c r="T130" s="99" cm="1">
        <f t="array" ref="T130">($F$5*(1+$Q130)*'User Segmentation'!$I$49)
- Table70[[Fixed Cost]:[Fixed Cost]]
- (Table70[[Funding Rate]:[Funding Rate]]
   *Table70[[Tenure (in months)]:[Tenure (in months)]]
   *$F$5*(1+$Q130)/12)
- (
   IF($Q130&lt;0,
      'Dynamic CM'!$G$5,
      'Dynamic CM'!$G$5*(( $F$5*(1+$Q130) / $F$5 )^'Dynamic CM'!$H$5)
     )
   *Table70[[LGD]:[LGD]]
   *$F$5*(1+$Q130)
 )</f>
        <v>-447.24727271060789</v>
      </c>
      <c r="U130" s="99" cm="1">
        <f t="array" ref="U130">($F$6*(1+$Q130)*'User Segmentation'!$I$49)
- Table70[[Fixed Cost]:[Fixed Cost]]
- (Table70[[Funding Rate]:[Funding Rate]]
   *Table70[[Tenure (in months)]:[Tenure (in months)]]
   *$F$6*(1+$Q130)/12)
- (
   IF($Q130&lt;0,
      'Dynamic CM'!$G$6,
      'Dynamic CM'!$G$6*(( $F$6*(1+$Q130) / $F$6)^'Dynamic CM'!$H$6)
     )
   *Table70[[LGD]:[LGD]]
   *$F$6*(1+$Q130)
 )</f>
        <v>-244.34117932874688</v>
      </c>
    </row>
    <row r="131" spans="17:21" x14ac:dyDescent="0.2">
      <c r="Q131" s="64">
        <v>11.3</v>
      </c>
      <c r="R131" s="99" cm="1">
        <f t="array" ref="R131">($F$3*(1+$Q131)*'User Segmentation'!$I$49)
- Table70[[Fixed Cost]:[Fixed Cost]]
- (Table70[[Funding Rate]:[Funding Rate]]
   *Table70[[Tenure (in months)]:[Tenure (in months)]]
   *$F$3*(1+$Q131)/12)
- (
   IF($Q131&lt;0,
      'Dynamic CM'!$G$3,
      'Dynamic CM'!$G$3*(( $F$3*(1+$Q131) / $F$3 )^'Dynamic CM'!$H$3)
     )
   *Table70[[LGD]:[LGD]]
   *$F$3*(1+$Q131)
 )</f>
        <v>-2011.789088684664</v>
      </c>
      <c r="S131" s="99" cm="1">
        <f t="array" ref="S131">($F$4*(1+$Q131)*'User Segmentation'!$I$49)
- Table70[[Fixed Cost]:[Fixed Cost]]
- (Table70[[Funding Rate]:[Funding Rate]]
   *Table70[[Tenure (in months)]:[Tenure (in months)]]
   *$F$4*(1+$Q131)/12)
- (
   IF($Q131&lt;0,
      'Dynamic CM'!$G$4,
      'Dynamic CM'!$G$4*(( $F$4*(1+$Q131) / $F$4 )^'Dynamic CM'!$H$4)
     )
   *Table70[[LGD]:[LGD]]
   *$F$4*(1+$Q131)
 )</f>
        <v>-356.23389005623761</v>
      </c>
      <c r="T131" s="99" cm="1">
        <f t="array" ref="T131">($F$5*(1+$Q131)*'User Segmentation'!$I$49)
- Table70[[Fixed Cost]:[Fixed Cost]]
- (Table70[[Funding Rate]:[Funding Rate]]
   *Table70[[Tenure (in months)]:[Tenure (in months)]]
   *$F$5*(1+$Q131)/12)
- (
   IF($Q131&lt;0,
      'Dynamic CM'!$G$5,
      'Dynamic CM'!$G$5*(( $F$5*(1+$Q131) / $F$5 )^'Dynamic CM'!$H$5)
     )
   *Table70[[LGD]:[LGD]]
   *$F$5*(1+$Q131)
 )</f>
        <v>-457.86307900110205</v>
      </c>
      <c r="U131" s="99" cm="1">
        <f t="array" ref="U131">($F$6*(1+$Q131)*'User Segmentation'!$I$49)
- Table70[[Fixed Cost]:[Fixed Cost]]
- (Table70[[Funding Rate]:[Funding Rate]]
   *Table70[[Tenure (in months)]:[Tenure (in months)]]
   *$F$6*(1+$Q131)/12)
- (
   IF($Q131&lt;0,
      'Dynamic CM'!$G$6,
      'Dynamic CM'!$G$6*(( $F$6*(1+$Q131) / $F$6)^'Dynamic CM'!$H$6)
     )
   *Table70[[LGD]:[LGD]]
   *$F$6*(1+$Q131)
 )</f>
        <v>-249.50796054374149</v>
      </c>
    </row>
    <row r="132" spans="17:21" x14ac:dyDescent="0.2">
      <c r="Q132" s="64">
        <v>11.4</v>
      </c>
      <c r="R132" s="99" cm="1">
        <f t="array" ref="R132">($F$3*(1+$Q132)*'User Segmentation'!$I$49)
- Table70[[Fixed Cost]:[Fixed Cost]]
- (Table70[[Funding Rate]:[Funding Rate]]
   *Table70[[Tenure (in months)]:[Tenure (in months)]]
   *$F$3*(1+$Q132)/12)
- (
   IF($Q132&lt;0,
      'Dynamic CM'!$G$3,
      'Dynamic CM'!$G$3*(( $F$3*(1+$Q132) / $F$3 )^'Dynamic CM'!$H$3)
     )
   *Table70[[LGD]:[LGD]]
   *$F$3*(1+$Q132)
 )</f>
        <v>-2059.7143474543277</v>
      </c>
      <c r="S132" s="99" cm="1">
        <f t="array" ref="S132">($F$4*(1+$Q132)*'User Segmentation'!$I$49)
- Table70[[Fixed Cost]:[Fixed Cost]]
- (Table70[[Funding Rate]:[Funding Rate]]
   *Table70[[Tenure (in months)]:[Tenure (in months)]]
   *$F$4*(1+$Q132)/12)
- (
   IF($Q132&lt;0,
      'Dynamic CM'!$G$4,
      'Dynamic CM'!$G$4*(( $F$4*(1+$Q132) / $F$4 )^'Dynamic CM'!$H$4)
     )
   *Table70[[LGD]:[LGD]]
   *$F$4*(1+$Q132)
 )</f>
        <v>-363.76096998240689</v>
      </c>
      <c r="T132" s="99" cm="1">
        <f t="array" ref="T132">($F$5*(1+$Q132)*'User Segmentation'!$I$49)
- Table70[[Fixed Cost]:[Fixed Cost]]
- (Table70[[Funding Rate]:[Funding Rate]]
   *Table70[[Tenure (in months)]:[Tenure (in months)]]
   *$F$5*(1+$Q132)/12)
- (
   IF($Q132&lt;0,
      'Dynamic CM'!$G$5,
      'Dynamic CM'!$G$5*(( $F$5*(1+$Q132) / $F$5 )^'Dynamic CM'!$H$5)
     )
   *Table70[[LGD]:[LGD]]
   *$F$5*(1+$Q132)
 )</f>
        <v>-468.59635058114554</v>
      </c>
      <c r="U132" s="99" cm="1">
        <f t="array" ref="U132">($F$6*(1+$Q132)*'User Segmentation'!$I$49)
- Table70[[Fixed Cost]:[Fixed Cost]]
- (Table70[[Funding Rate]:[Funding Rate]]
   *Table70[[Tenure (in months)]:[Tenure (in months)]]
   *$F$6*(1+$Q132)/12)
- (
   IF($Q132&lt;0,
      'Dynamic CM'!$G$6,
      'Dynamic CM'!$G$6*(( $F$6*(1+$Q132) / $F$6)^'Dynamic CM'!$H$6)
     )
   *Table70[[LGD]:[LGD]]
   *$F$6*(1+$Q132)
 )</f>
        <v>-254.73496239166627</v>
      </c>
    </row>
    <row r="133" spans="17:21" x14ac:dyDescent="0.2">
      <c r="Q133" s="64">
        <v>11.5</v>
      </c>
      <c r="R133" s="99" cm="1">
        <f t="array" ref="R133">($F$3*(1+$Q133)*'User Segmentation'!$I$49)
- Table70[[Fixed Cost]:[Fixed Cost]]
- (Table70[[Funding Rate]:[Funding Rate]]
   *Table70[[Tenure (in months)]:[Tenure (in months)]]
   *$F$3*(1+$Q133)/12)
- (
   IF($Q133&lt;0,
      'Dynamic CM'!$G$3,
      'Dynamic CM'!$G$3*(( $F$3*(1+$Q133) / $F$3 )^'Dynamic CM'!$H$3)
     )
   *Table70[[LGD]:[LGD]]
   *$F$3*(1+$Q133)
 )</f>
        <v>-2108.3785942785616</v>
      </c>
      <c r="S133" s="99" cm="1">
        <f t="array" ref="S133">($F$4*(1+$Q133)*'User Segmentation'!$I$49)
- Table70[[Fixed Cost]:[Fixed Cost]]
- (Table70[[Funding Rate]:[Funding Rate]]
   *Table70[[Tenure (in months)]:[Tenure (in months)]]
   *$F$4*(1+$Q133)/12)
- (
   IF($Q133&lt;0,
      'Dynamic CM'!$G$4,
      'Dynamic CM'!$G$4*(( $F$4*(1+$Q133) / $F$4 )^'Dynamic CM'!$H$4)
     )
   *Table70[[LGD]:[LGD]]
   *$F$4*(1+$Q133)
 )</f>
        <v>-371.37526094958383</v>
      </c>
      <c r="T133" s="99" cm="1">
        <f t="array" ref="T133">($F$5*(1+$Q133)*'User Segmentation'!$I$49)
- Table70[[Fixed Cost]:[Fixed Cost]]
- (Table70[[Funding Rate]:[Funding Rate]]
   *Table70[[Tenure (in months)]:[Tenure (in months)]]
   *$F$5*(1+$Q133)/12)
- (
   IF($Q133&lt;0,
      'Dynamic CM'!$G$5,
      'Dynamic CM'!$G$5*(( $F$5*(1+$Q133) / $F$5 )^'Dynamic CM'!$H$5)
     )
   *Table70[[LGD]:[LGD]]
   *$F$5*(1+$Q133)
 )</f>
        <v>-479.44715500186192</v>
      </c>
      <c r="U133" s="99" cm="1">
        <f t="array" ref="U133">($F$6*(1+$Q133)*'User Segmentation'!$I$49)
- Table70[[Fixed Cost]:[Fixed Cost]]
- (Table70[[Funding Rate]:[Funding Rate]]
   *Table70[[Tenure (in months)]:[Tenure (in months)]]
   *$F$6*(1+$Q133)/12)
- (
   IF($Q133&lt;0,
      'Dynamic CM'!$G$6,
      'Dynamic CM'!$G$6*(( $F$6*(1+$Q133) / $F$6)^'Dynamic CM'!$H$6)
     )
   *Table70[[LGD]:[LGD]]
   *$F$6*(1+$Q133)
 )</f>
        <v>-260.02234111413497</v>
      </c>
    </row>
    <row r="134" spans="17:21" x14ac:dyDescent="0.2">
      <c r="Q134" s="64">
        <v>11.6</v>
      </c>
      <c r="R134" s="99" cm="1">
        <f t="array" ref="R134">($F$3*(1+$Q134)*'User Segmentation'!$I$49)
- Table70[[Fixed Cost]:[Fixed Cost]]
- (Table70[[Funding Rate]:[Funding Rate]]
   *Table70[[Tenure (in months)]:[Tenure (in months)]]
   *$F$3*(1+$Q134)/12)
- (
   IF($Q134&lt;0,
      'Dynamic CM'!$G$3,
      'Dynamic CM'!$G$3*(( $F$3*(1+$Q134) / $F$3 )^'Dynamic CM'!$H$3)
     )
   *Table70[[LGD]:[LGD]]
   *$F$3*(1+$Q134)
 )</f>
        <v>-2157.7871308452222</v>
      </c>
      <c r="S134" s="99" cm="1">
        <f t="array" ref="S134">($F$4*(1+$Q134)*'User Segmentation'!$I$49)
- Table70[[Fixed Cost]:[Fixed Cost]]
- (Table70[[Funding Rate]:[Funding Rate]]
   *Table70[[Tenure (in months)]:[Tenure (in months)]]
   *$F$4*(1+$Q134)/12)
- (
   IF($Q134&lt;0,
      'Dynamic CM'!$G$4,
      'Dynamic CM'!$G$4*(( $F$4*(1+$Q134) / $F$4 )^'Dynamic CM'!$H$4)
     )
   *Table70[[LGD]:[LGD]]
   *$F$4*(1+$Q134)
 )</f>
        <v>-379.07698740583197</v>
      </c>
      <c r="T134" s="99" cm="1">
        <f t="array" ref="T134">($F$5*(1+$Q134)*'User Segmentation'!$I$49)
- Table70[[Fixed Cost]:[Fixed Cost]]
- (Table70[[Funding Rate]:[Funding Rate]]
   *Table70[[Tenure (in months)]:[Tenure (in months)]]
   *$F$5*(1+$Q134)/12)
- (
   IF($Q134&lt;0,
      'Dynamic CM'!$G$5,
      'Dynamic CM'!$G$5*(( $F$5*(1+$Q134) / $F$5 )^'Dynamic CM'!$H$5)
     )
   *Table70[[LGD]:[LGD]]
   *$F$5*(1+$Q134)
 )</f>
        <v>-490.41555931015745</v>
      </c>
      <c r="U134" s="99" cm="1">
        <f t="array" ref="U134">($F$6*(1+$Q134)*'User Segmentation'!$I$49)
- Table70[[Fixed Cost]:[Fixed Cost]]
- (Table70[[Funding Rate]:[Funding Rate]]
   *Table70[[Tenure (in months)]:[Tenure (in months)]]
   *$F$6*(1+$Q134)/12)
- (
   IF($Q134&lt;0,
      'Dynamic CM'!$G$6,
      'Dynamic CM'!$G$6*(( $F$6*(1+$Q134) / $F$6)^'Dynamic CM'!$H$6)
     )
   *Table70[[LGD]:[LGD]]
   *$F$6*(1+$Q134)
 )</f>
        <v>-265.3702520982684</v>
      </c>
    </row>
    <row r="135" spans="17:21" x14ac:dyDescent="0.2">
      <c r="Q135" s="64">
        <v>11.7</v>
      </c>
      <c r="R135" s="99" cm="1">
        <f t="array" ref="R135">($F$3*(1+$Q135)*'User Segmentation'!$I$49)
- Table70[[Fixed Cost]:[Fixed Cost]]
- (Table70[[Funding Rate]:[Funding Rate]]
   *Table70[[Tenure (in months)]:[Tenure (in months)]]
   *$F$3*(1+$Q135)/12)
- (
   IF($Q135&lt;0,
      'Dynamic CM'!$G$3,
      'Dynamic CM'!$G$3*(( $F$3*(1+$Q135) / $F$3 )^'Dynamic CM'!$H$3)
     )
   *Table70[[LGD]:[LGD]]
   *$F$3*(1+$Q135)
 )</f>
        <v>-2207.9452541786277</v>
      </c>
      <c r="S135" s="99" cm="1">
        <f t="array" ref="S135">($F$4*(1+$Q135)*'User Segmentation'!$I$49)
- Table70[[Fixed Cost]:[Fixed Cost]]
- (Table70[[Funding Rate]:[Funding Rate]]
   *Table70[[Tenure (in months)]:[Tenure (in months)]]
   *$F$4*(1+$Q135)/12)
- (
   IF($Q135&lt;0,
      'Dynamic CM'!$G$4,
      'Dynamic CM'!$G$4*(( $F$4*(1+$Q135) / $F$4 )^'Dynamic CM'!$H$4)
     )
   *Table70[[LGD]:[LGD]]
   *$F$4*(1+$Q135)
 )</f>
        <v>-386.86637258149472</v>
      </c>
      <c r="T135" s="99" cm="1">
        <f t="array" ref="T135">($F$5*(1+$Q135)*'User Segmentation'!$I$49)
- Table70[[Fixed Cost]:[Fixed Cost]]
- (Table70[[Funding Rate]:[Funding Rate]]
   *Table70[[Tenure (in months)]:[Tenure (in months)]]
   *$F$5*(1+$Q135)/12)
- (
   IF($Q135&lt;0,
      'Dynamic CM'!$G$5,
      'Dynamic CM'!$G$5*(( $F$5*(1+$Q135) / $F$5 )^'Dynamic CM'!$H$5)
     )
   *Table70[[LGD]:[LGD]]
   *$F$5*(1+$Q135)
 )</f>
        <v>-501.50163005647647</v>
      </c>
      <c r="U135" s="99" cm="1">
        <f t="array" ref="U135">($F$6*(1+$Q135)*'User Segmentation'!$I$49)
- Table70[[Fixed Cost]:[Fixed Cost]]
- (Table70[[Funding Rate]:[Funding Rate]]
   *Table70[[Tenure (in months)]:[Tenure (in months)]]
   *$F$6*(1+$Q135)/12)
- (
   IF($Q135&lt;0,
      'Dynamic CM'!$G$6,
      'Dynamic CM'!$G$6*(( $F$6*(1+$Q135) / $F$6)^'Dynamic CM'!$H$6)
     )
   *Table70[[LGD]:[LGD]]
   *$F$6*(1+$Q135)
 )</f>
        <v>-270.77884988815021</v>
      </c>
    </row>
    <row r="136" spans="17:21" x14ac:dyDescent="0.2">
      <c r="Q136" s="64">
        <v>11.8</v>
      </c>
      <c r="R136" s="99" cm="1">
        <f t="array" ref="R136">($F$3*(1+$Q136)*'User Segmentation'!$I$49)
- Table70[[Fixed Cost]:[Fixed Cost]]
- (Table70[[Funding Rate]:[Funding Rate]]
   *Table70[[Tenure (in months)]:[Tenure (in months)]]
   *$F$3*(1+$Q136)/12)
- (
   IF($Q136&lt;0,
      'Dynamic CM'!$G$3,
      'Dynamic CM'!$G$3*(( $F$3*(1+$Q136) / $F$3 )^'Dynamic CM'!$H$3)
     )
   *Table70[[LGD]:[LGD]]
   *$F$3*(1+$Q136)
 )</f>
        <v>-2258.8582566806167</v>
      </c>
      <c r="S136" s="99" cm="1">
        <f t="array" ref="S136">($F$4*(1+$Q136)*'User Segmentation'!$I$49)
- Table70[[Fixed Cost]:[Fixed Cost]]
- (Table70[[Funding Rate]:[Funding Rate]]
   *Table70[[Tenure (in months)]:[Tenure (in months)]]
   *$F$4*(1+$Q136)/12)
- (
   IF($Q136&lt;0,
      'Dynamic CM'!$G$4,
      'Dynamic CM'!$G$4*(( $F$4*(1+$Q136) / $F$4 )^'Dynamic CM'!$H$4)
     )
   *Table70[[LGD]:[LGD]]
   *$F$4*(1+$Q136)
 )</f>
        <v>-394.74363850538612</v>
      </c>
      <c r="T136" s="99" cm="1">
        <f t="array" ref="T136">($F$5*(1+$Q136)*'User Segmentation'!$I$49)
- Table70[[Fixed Cost]:[Fixed Cost]]
- (Table70[[Funding Rate]:[Funding Rate]]
   *Table70[[Tenure (in months)]:[Tenure (in months)]]
   *$F$5*(1+$Q136)/12)
- (
   IF($Q136&lt;0,
      'Dynamic CM'!$G$5,
      'Dynamic CM'!$G$5*(( $F$5*(1+$Q136) / $F$5 )^'Dynamic CM'!$H$5)
     )
   *Table70[[LGD]:[LGD]]
   *$F$5*(1+$Q136)
 )</f>
        <v>-512.70543330237069</v>
      </c>
      <c r="U136" s="99" cm="1">
        <f t="array" ref="U136">($F$6*(1+$Q136)*'User Segmentation'!$I$49)
- Table70[[Fixed Cost]:[Fixed Cost]]
- (Table70[[Funding Rate]:[Funding Rate]]
   *Table70[[Tenure (in months)]:[Tenure (in months)]]
   *$F$6*(1+$Q136)/12)
- (
   IF($Q136&lt;0,
      'Dynamic CM'!$G$6,
      'Dynamic CM'!$G$6*(( $F$6*(1+$Q136) / $F$6)^'Dynamic CM'!$H$6)
     )
   *Table70[[LGD]:[LGD]]
   *$F$6*(1+$Q136)
 )</f>
        <v>-276.24828819603658</v>
      </c>
    </row>
    <row r="137" spans="17:21" x14ac:dyDescent="0.2">
      <c r="Q137" s="64">
        <v>11.9</v>
      </c>
      <c r="R137" s="99" cm="1">
        <f t="array" ref="R137">($F$3*(1+$Q137)*'User Segmentation'!$I$49)
- Table70[[Fixed Cost]:[Fixed Cost]]
- (Table70[[Funding Rate]:[Funding Rate]]
   *Table70[[Tenure (in months)]:[Tenure (in months)]]
   *$F$3*(1+$Q137)/12)
- (
   IF($Q137&lt;0,
      'Dynamic CM'!$G$3,
      'Dynamic CM'!$G$3*(( $F$3*(1+$Q137) / $F$3 )^'Dynamic CM'!$H$3)
     )
   *Table70[[LGD]:[LGD]]
   *$F$3*(1+$Q137)
 )</f>
        <v>-2310.5314261709464</v>
      </c>
      <c r="S137" s="99" cm="1">
        <f t="array" ref="S137">($F$4*(1+$Q137)*'User Segmentation'!$I$49)
- Table70[[Fixed Cost]:[Fixed Cost]]
- (Table70[[Funding Rate]:[Funding Rate]]
   *Table70[[Tenure (in months)]:[Tenure (in months)]]
   *$F$4*(1+$Q137)/12)
- (
   IF($Q137&lt;0,
      'Dynamic CM'!$G$4,
      'Dynamic CM'!$G$4*(( $F$4*(1+$Q137) / $F$4 )^'Dynamic CM'!$H$4)
     )
   *Table70[[LGD]:[LGD]]
   *$F$4*(1+$Q137)
 )</f>
        <v>-402.70900602064512</v>
      </c>
      <c r="T137" s="99" cm="1">
        <f t="array" ref="T137">($F$5*(1+$Q137)*'User Segmentation'!$I$49)
- Table70[[Fixed Cost]:[Fixed Cost]]
- (Table70[[Funding Rate]:[Funding Rate]]
   *Table70[[Tenure (in months)]:[Tenure (in months)]]
   *$F$5*(1+$Q137)/12)
- (
   IF($Q137&lt;0,
      'Dynamic CM'!$G$5,
      'Dynamic CM'!$G$5*(( $F$5*(1+$Q137) / $F$5 )^'Dynamic CM'!$H$5)
     )
   *Table70[[LGD]:[LGD]]
   *$F$5*(1+$Q137)
 )</f>
        <v>-524.02703462790214</v>
      </c>
      <c r="U137" s="99" cm="1">
        <f t="array" ref="U137">($F$6*(1+$Q137)*'User Segmentation'!$I$49)
- Table70[[Fixed Cost]:[Fixed Cost]]
- (Table70[[Funding Rate]:[Funding Rate]]
   *Table70[[Tenure (in months)]:[Tenure (in months)]]
   *$F$6*(1+$Q137)/12)
- (
   IF($Q137&lt;0,
      'Dynamic CM'!$G$6,
      'Dynamic CM'!$G$6*(( $F$6*(1+$Q137) / $F$6)^'Dynamic CM'!$H$6)
     )
   *Table70[[LGD]:[LGD]]
   *$F$6*(1+$Q137)
 )</f>
        <v>-281.77871991333126</v>
      </c>
    </row>
    <row r="138" spans="17:21" x14ac:dyDescent="0.2">
      <c r="Q138" s="64">
        <v>12</v>
      </c>
      <c r="R138" s="99" cm="1">
        <f t="array" ref="R138">($F$3*(1+$Q138)*'User Segmentation'!$I$49)
- Table70[[Fixed Cost]:[Fixed Cost]]
- (Table70[[Funding Rate]:[Funding Rate]]
   *Table70[[Tenure (in months)]:[Tenure (in months)]]
   *$F$3*(1+$Q138)/12)
- (
   IF($Q138&lt;0,
      'Dynamic CM'!$G$3,
      'Dynamic CM'!$G$3*(( $F$3*(1+$Q138) / $F$3 )^'Dynamic CM'!$H$3)
     )
   *Table70[[LGD]:[LGD]]
   *$F$3*(1+$Q138)
 )</f>
        <v>-2362.970045927003</v>
      </c>
      <c r="S138" s="99" cm="1">
        <f t="array" ref="S138">($F$4*(1+$Q138)*'User Segmentation'!$I$49)
- Table70[[Fixed Cost]:[Fixed Cost]]
- (Table70[[Funding Rate]:[Funding Rate]]
   *Table70[[Tenure (in months)]:[Tenure (in months)]]
   *$F$4*(1+$Q138)/12)
- (
   IF($Q138&lt;0,
      'Dynamic CM'!$G$4,
      'Dynamic CM'!$G$4*(( $F$4*(1+$Q138) / $F$4 )^'Dynamic CM'!$H$4)
     )
   *Table70[[LGD]:[LGD]]
   *$F$4*(1+$Q138)
 )</f>
        <v>-410.7626948002565</v>
      </c>
      <c r="T138" s="99" cm="1">
        <f t="array" ref="T138">($F$5*(1+$Q138)*'User Segmentation'!$I$49)
- Table70[[Fixed Cost]:[Fixed Cost]]
- (Table70[[Funding Rate]:[Funding Rate]]
   *Table70[[Tenure (in months)]:[Tenure (in months)]]
   *$F$5*(1+$Q138)/12)
- (
   IF($Q138&lt;0,
      'Dynamic CM'!$G$5,
      'Dynamic CM'!$G$5*(( $F$5*(1+$Q138) / $F$5 )^'Dynamic CM'!$H$5)
     )
   *Table70[[LGD]:[LGD]]
   *$F$5*(1+$Q138)
 )</f>
        <v>-535.4664991388712</v>
      </c>
      <c r="U138" s="99" cm="1">
        <f t="array" ref="U138">($F$6*(1+$Q138)*'User Segmentation'!$I$49)
- Table70[[Fixed Cost]:[Fixed Cost]]
- (Table70[[Funding Rate]:[Funding Rate]]
   *Table70[[Tenure (in months)]:[Tenure (in months)]]
   *$F$6*(1+$Q138)/12)
- (
   IF($Q138&lt;0,
      'Dynamic CM'!$G$6,
      'Dynamic CM'!$G$6*(( $F$6*(1+$Q138) / $F$6)^'Dynamic CM'!$H$6)
     )
   *Table70[[LGD]:[LGD]]
   *$F$6*(1+$Q138)
 )</f>
        <v>-287.37029712133142</v>
      </c>
    </row>
    <row r="139" spans="17:21" x14ac:dyDescent="0.2">
      <c r="Q139" s="64">
        <v>12.1</v>
      </c>
      <c r="R139" s="99" cm="1">
        <f t="array" ref="R139">($F$3*(1+$Q139)*'User Segmentation'!$I$49)
- Table70[[Fixed Cost]:[Fixed Cost]]
- (Table70[[Funding Rate]:[Funding Rate]]
   *Table70[[Tenure (in months)]:[Tenure (in months)]]
   *$F$3*(1+$Q139)/12)
- (
   IF($Q139&lt;0,
      'Dynamic CM'!$G$3,
      'Dynamic CM'!$G$3*(( $F$3*(1+$Q139) / $F$3 )^'Dynamic CM'!$H$3)
     )
   *Table70[[LGD]:[LGD]]
   *$F$3*(1+$Q139)
 )</f>
        <v>-2416.1793947228721</v>
      </c>
      <c r="S139" s="99" cm="1">
        <f t="array" ref="S139">($F$4*(1+$Q139)*'User Segmentation'!$I$49)
- Table70[[Fixed Cost]:[Fixed Cost]]
- (Table70[[Funding Rate]:[Funding Rate]]
   *Table70[[Tenure (in months)]:[Tenure (in months)]]
   *$F$4*(1+$Q139)/12)
- (
   IF($Q139&lt;0,
      'Dynamic CM'!$G$4,
      'Dynamic CM'!$G$4*(( $F$4*(1+$Q139) / $F$4 )^'Dynamic CM'!$H$4)
     )
   *Table70[[LGD]:[LGD]]
   *$F$4*(1+$Q139)
 )</f>
        <v>-418.90492336225032</v>
      </c>
      <c r="T139" s="99" cm="1">
        <f t="array" ref="T139">($F$5*(1+$Q139)*'User Segmentation'!$I$49)
- Table70[[Fixed Cost]:[Fixed Cost]]
- (Table70[[Funding Rate]:[Funding Rate]]
   *Table70[[Tenure (in months)]:[Tenure (in months)]]
   *$F$5*(1+$Q139)/12)
- (
   IF($Q139&lt;0,
      'Dynamic CM'!$G$5,
      'Dynamic CM'!$G$5*(( $F$5*(1+$Q139) / $F$5 )^'Dynamic CM'!$H$5)
     )
   *Table70[[LGD]:[LGD]]
   *$F$5*(1+$Q139)
 )</f>
        <v>-547.02389147388385</v>
      </c>
      <c r="U139" s="99" cm="1">
        <f t="array" ref="U139">($F$6*(1+$Q139)*'User Segmentation'!$I$49)
- Table70[[Fixed Cost]:[Fixed Cost]]
- (Table70[[Funding Rate]:[Funding Rate]]
   *Table70[[Tenure (in months)]:[Tenure (in months)]]
   *$F$6*(1+$Q139)/12)
- (
   IF($Q139&lt;0,
      'Dynamic CM'!$G$6,
      'Dynamic CM'!$G$6*(( $F$6*(1+$Q139) / $F$6)^'Dynamic CM'!$H$6)
     )
   *Table70[[LGD]:[LGD]]
   *$F$6*(1+$Q139)
 )</f>
        <v>-293.02317110175028</v>
      </c>
    </row>
    <row r="140" spans="17:21" x14ac:dyDescent="0.2">
      <c r="Q140" s="64">
        <v>12.2</v>
      </c>
      <c r="R140" s="99" cm="1">
        <f t="array" ref="R140">($F$3*(1+$Q140)*'User Segmentation'!$I$49)
- Table70[[Fixed Cost]:[Fixed Cost]]
- (Table70[[Funding Rate]:[Funding Rate]]
   *Table70[[Tenure (in months)]:[Tenure (in months)]]
   *$F$3*(1+$Q140)/12)
- (
   IF($Q140&lt;0,
      'Dynamic CM'!$G$3,
      'Dynamic CM'!$G$3*(( $F$3*(1+$Q140) / $F$3 )^'Dynamic CM'!$H$3)
     )
   *Table70[[LGD]:[LGD]]
   *$F$3*(1+$Q140)
 )</f>
        <v>-2470.1647468677879</v>
      </c>
      <c r="S140" s="99" cm="1">
        <f t="array" ref="S140">($F$4*(1+$Q140)*'User Segmentation'!$I$49)
- Table70[[Fixed Cost]:[Fixed Cost]]
- (Table70[[Funding Rate]:[Funding Rate]]
   *Table70[[Tenure (in months)]:[Tenure (in months)]]
   *$F$4*(1+$Q140)/12)
- (
   IF($Q140&lt;0,
      'Dynamic CM'!$G$4,
      'Dynamic CM'!$G$4*(( $F$4*(1+$Q140) / $F$4 )^'Dynamic CM'!$H$4)
     )
   *Table70[[LGD]:[LGD]]
   *$F$4*(1+$Q140)
 )</f>
        <v>-427.13590908459054</v>
      </c>
      <c r="T140" s="99" cm="1">
        <f t="array" ref="T140">($F$5*(1+$Q140)*'User Segmentation'!$I$49)
- Table70[[Fixed Cost]:[Fixed Cost]]
- (Table70[[Funding Rate]:[Funding Rate]]
   *Table70[[Tenure (in months)]:[Tenure (in months)]]
   *$F$5*(1+$Q140)/12)
- (
   IF($Q140&lt;0,
      'Dynamic CM'!$G$5,
      'Dynamic CM'!$G$5*(( $F$5*(1+$Q140) / $F$5 )^'Dynamic CM'!$H$5)
     )
   *Table70[[LGD]:[LGD]]
   *$F$5*(1+$Q140)
 )</f>
        <v>-558.6992758112616</v>
      </c>
      <c r="U140" s="99" cm="1">
        <f t="array" ref="U140">($F$6*(1+$Q140)*'User Segmentation'!$I$49)
- Table70[[Fixed Cost]:[Fixed Cost]]
- (Table70[[Funding Rate]:[Funding Rate]]
   *Table70[[Tenure (in months)]:[Tenure (in months)]]
   *$F$6*(1+$Q140)/12)
- (
   IF($Q140&lt;0,
      'Dynamic CM'!$G$6,
      'Dynamic CM'!$G$6*(( $F$6*(1+$Q140) / $F$6)^'Dynamic CM'!$H$6)
     )
   *Table70[[LGD]:[LGD]]
   *$F$6*(1+$Q140)
 )</f>
        <v>-298.73749234702427</v>
      </c>
    </row>
    <row r="141" spans="17:21" x14ac:dyDescent="0.2">
      <c r="Q141" s="64">
        <v>12.3</v>
      </c>
      <c r="R141" s="99" cm="1">
        <f t="array" ref="R141">($F$3*(1+$Q141)*'User Segmentation'!$I$49)
- Table70[[Fixed Cost]:[Fixed Cost]]
- (Table70[[Funding Rate]:[Funding Rate]]
   *Table70[[Tenure (in months)]:[Tenure (in months)]]
   *$F$3*(1+$Q141)/12)
- (
   IF($Q141&lt;0,
      'Dynamic CM'!$G$3,
      'Dynamic CM'!$G$3*(( $F$3*(1+$Q141) / $F$3 )^'Dynamic CM'!$H$3)
     )
   *Table70[[LGD]:[LGD]]
   *$F$3*(1+$Q141)
 )</f>
        <v>-2524.9313722439315</v>
      </c>
      <c r="S141" s="99" cm="1">
        <f t="array" ref="S141">($F$4*(1+$Q141)*'User Segmentation'!$I$49)
- Table70[[Fixed Cost]:[Fixed Cost]]
- (Table70[[Funding Rate]:[Funding Rate]]
   *Table70[[Tenure (in months)]:[Tenure (in months)]]
   *$F$4*(1+$Q141)/12)
- (
   IF($Q141&lt;0,
      'Dynamic CM'!$G$4,
      'Dynamic CM'!$G$4*(( $F$4*(1+$Q141) / $F$4 )^'Dynamic CM'!$H$4)
     )
   *Table70[[LGD]:[LGD]]
   *$F$4*(1+$Q141)
 )</f>
        <v>-435.45586821975712</v>
      </c>
      <c r="T141" s="99" cm="1">
        <f t="array" ref="T141">($F$5*(1+$Q141)*'User Segmentation'!$I$49)
- Table70[[Fixed Cost]:[Fixed Cost]]
- (Table70[[Funding Rate]:[Funding Rate]]
   *Table70[[Tenure (in months)]:[Tenure (in months)]]
   *$F$5*(1+$Q141)/12)
- (
   IF($Q141&lt;0,
      'Dynamic CM'!$G$5,
      'Dynamic CM'!$G$5*(( $F$5*(1+$Q141) / $F$5 )^'Dynamic CM'!$H$5)
     )
   *Table70[[LGD]:[LGD]]
   *$F$5*(1+$Q141)
 )</f>
        <v>-570.49271587579142</v>
      </c>
      <c r="U141" s="99" cm="1">
        <f t="array" ref="U141">($F$6*(1+$Q141)*'User Segmentation'!$I$49)
- Table70[[Fixed Cost]:[Fixed Cost]]
- (Table70[[Funding Rate]:[Funding Rate]]
   *Table70[[Tenure (in months)]:[Tenure (in months)]]
   *$F$6*(1+$Q141)/12)
- (
   IF($Q141&lt;0,
      'Dynamic CM'!$G$6,
      'Dynamic CM'!$G$6*(( $F$6*(1+$Q141) / $F$6)^'Dynamic CM'!$H$6)
     )
   *Table70[[LGD]:[LGD]]
   *$F$6*(1+$Q141)
 )</f>
        <v>-304.51341057040872</v>
      </c>
    </row>
    <row r="142" spans="17:21" x14ac:dyDescent="0.2">
      <c r="Q142" s="64">
        <v>12.4</v>
      </c>
      <c r="R142" s="99" cm="1">
        <f t="array" ref="R142">($F$3*(1+$Q142)*'User Segmentation'!$I$49)
- Table70[[Fixed Cost]:[Fixed Cost]]
- (Table70[[Funding Rate]:[Funding Rate]]
   *Table70[[Tenure (in months)]:[Tenure (in months)]]
   *$F$3*(1+$Q142)/12)
- (
   IF($Q142&lt;0,
      'Dynamic CM'!$G$3,
      'Dynamic CM'!$G$3*(( $F$3*(1+$Q142) / $F$3 )^'Dynamic CM'!$H$3)
     )
   *Table70[[LGD]:[LGD]]
   *$F$3*(1+$Q142)
 )</f>
        <v>-2580.4845363436561</v>
      </c>
      <c r="S142" s="99" cm="1">
        <f t="array" ref="S142">($F$4*(1+$Q142)*'User Segmentation'!$I$49)
- Table70[[Fixed Cost]:[Fixed Cost]]
- (Table70[[Funding Rate]:[Funding Rate]]
   *Table70[[Tenure (in months)]:[Tenure (in months)]]
   *$F$4*(1+$Q142)/12)
- (
   IF($Q142&lt;0,
      'Dynamic CM'!$G$4,
      'Dynamic CM'!$G$4*(( $F$4*(1+$Q142) / $F$4 )^'Dynamic CM'!$H$4)
     )
   *Table70[[LGD]:[LGD]]
   *$F$4*(1+$Q142)
 )</f>
        <v>-443.86501590903373</v>
      </c>
      <c r="T142" s="99" cm="1">
        <f t="array" ref="T142">($F$5*(1+$Q142)*'User Segmentation'!$I$49)
- Table70[[Fixed Cost]:[Fixed Cost]]
- (Table70[[Funding Rate]:[Funding Rate]]
   *Table70[[Tenure (in months)]:[Tenure (in months)]]
   *$F$5*(1+$Q142)/12)
- (
   IF($Q142&lt;0,
      'Dynamic CM'!$G$5,
      'Dynamic CM'!$G$5*(( $F$5*(1+$Q142) / $F$5 )^'Dynamic CM'!$H$5)
     )
   *Table70[[LGD]:[LGD]]
   *$F$5*(1+$Q142)
 )</f>
        <v>-582.4042749453331</v>
      </c>
      <c r="U142" s="99" cm="1">
        <f t="array" ref="U142">($F$6*(1+$Q142)*'User Segmentation'!$I$49)
- Table70[[Fixed Cost]:[Fixed Cost]]
- (Table70[[Funding Rate]:[Funding Rate]]
   *Table70[[Tenure (in months)]:[Tenure (in months)]]
   *$F$6*(1+$Q142)/12)
- (
   IF($Q142&lt;0,
      'Dynamic CM'!$G$6,
      'Dynamic CM'!$G$6*(( $F$6*(1+$Q142) / $F$6)^'Dynamic CM'!$H$6)
     )
   *Table70[[LGD]:[LGD]]
   *$F$6*(1+$Q142)
 )</f>
        <v>-310.3510747158694</v>
      </c>
    </row>
    <row r="143" spans="17:21" x14ac:dyDescent="0.2">
      <c r="Q143" s="64">
        <v>12.5</v>
      </c>
      <c r="R143" s="99" cm="1">
        <f t="array" ref="R143">($F$3*(1+$Q143)*'User Segmentation'!$I$49)
- Table70[[Fixed Cost]:[Fixed Cost]]
- (Table70[[Funding Rate]:[Funding Rate]]
   *Table70[[Tenure (in months)]:[Tenure (in months)]]
   *$F$3*(1+$Q143)/12)
- (
   IF($Q143&lt;0,
      'Dynamic CM'!$G$3,
      'Dynamic CM'!$G$3*(( $F$3*(1+$Q143) / $F$3 )^'Dynamic CM'!$H$3)
     )
   *Table70[[LGD]:[LGD]]
   *$F$3*(1+$Q143)
 )</f>
        <v>-2636.8295003061107</v>
      </c>
      <c r="S143" s="99" cm="1">
        <f t="array" ref="S143">($F$4*(1+$Q143)*'User Segmentation'!$I$49)
- Table70[[Fixed Cost]:[Fixed Cost]]
- (Table70[[Funding Rate]:[Funding Rate]]
   *Table70[[Tenure (in months)]:[Tenure (in months)]]
   *$F$4*(1+$Q143)/12)
- (
   IF($Q143&lt;0,
      'Dynamic CM'!$G$4,
      'Dynamic CM'!$G$4*(( $F$4*(1+$Q143) / $F$4 )^'Dynamic CM'!$H$4)
     )
   *Table70[[LGD]:[LGD]]
   *$F$4*(1+$Q143)
 )</f>
        <v>-452.36356619651087</v>
      </c>
      <c r="T143" s="99" cm="1">
        <f t="array" ref="T143">($F$5*(1+$Q143)*'User Segmentation'!$I$49)
- Table70[[Fixed Cost]:[Fixed Cost]]
- (Table70[[Funding Rate]:[Funding Rate]]
   *Table70[[Tenure (in months)]:[Tenure (in months)]]
   *$F$5*(1+$Q143)/12)
- (
   IF($Q143&lt;0,
      'Dynamic CM'!$G$5,
      'Dynamic CM'!$G$5*(( $F$5*(1+$Q143) / $F$5 )^'Dynamic CM'!$H$5)
     )
   *Table70[[LGD]:[LGD]]
   *$F$5*(1+$Q143)
 )</f>
        <v>-594.43401585728043</v>
      </c>
      <c r="U143" s="99" cm="1">
        <f t="array" ref="U143">($F$6*(1+$Q143)*'User Segmentation'!$I$49)
- Table70[[Fixed Cost]:[Fixed Cost]]
- (Table70[[Funding Rate]:[Funding Rate]]
   *Table70[[Tenure (in months)]:[Tenure (in months)]]
   *$F$6*(1+$Q143)/12)
- (
   IF($Q143&lt;0,
      'Dynamic CM'!$G$6,
      'Dynamic CM'!$G$6*(( $F$6*(1+$Q143) / $F$6)^'Dynamic CM'!$H$6)
     )
   *Table70[[LGD]:[LGD]]
   *$F$6*(1+$Q143)
 )</f>
        <v>-316.25063296777671</v>
      </c>
    </row>
    <row r="144" spans="17:21" x14ac:dyDescent="0.2">
      <c r="Q144" s="64">
        <v>12.6</v>
      </c>
      <c r="R144" s="99" cm="1">
        <f t="array" ref="R144">($F$3*(1+$Q144)*'User Segmentation'!$I$49)
- Table70[[Fixed Cost]:[Fixed Cost]]
- (Table70[[Funding Rate]:[Funding Rate]]
   *Table70[[Tenure (in months)]:[Tenure (in months)]]
   *$F$3*(1+$Q144)/12)
- (
   IF($Q144&lt;0,
      'Dynamic CM'!$G$3,
      'Dynamic CM'!$G$3*(( $F$3*(1+$Q144) / $F$3 )^'Dynamic CM'!$H$3)
     )
   *Table70[[LGD]:[LGD]]
   *$F$3*(1+$Q144)
 )</f>
        <v>-2693.9715209532824</v>
      </c>
      <c r="S144" s="99" cm="1">
        <f t="array" ref="S144">($F$4*(1+$Q144)*'User Segmentation'!$I$49)
- Table70[[Fixed Cost]:[Fixed Cost]]
- (Table70[[Funding Rate]:[Funding Rate]]
   *Table70[[Tenure (in months)]:[Tenure (in months)]]
   *$F$4*(1+$Q144)/12)
- (
   IF($Q144&lt;0,
      'Dynamic CM'!$G$4,
      'Dynamic CM'!$G$4*(( $F$4*(1+$Q144) / $F$4 )^'Dynamic CM'!$H$4)
     )
   *Table70[[LGD]:[LGD]]
   *$F$4*(1+$Q144)
 )</f>
        <v>-460.9517320428057</v>
      </c>
      <c r="T144" s="99" cm="1">
        <f t="array" ref="T144">($F$5*(1+$Q144)*'User Segmentation'!$I$49)
- Table70[[Fixed Cost]:[Fixed Cost]]
- (Table70[[Funding Rate]:[Funding Rate]]
   *Table70[[Tenure (in months)]:[Tenure (in months)]]
   *$F$5*(1+$Q144)/12)
- (
   IF($Q144&lt;0,
      'Dynamic CM'!$G$5,
      'Dynamic CM'!$G$5*(( $F$5*(1+$Q144) / $F$5 )^'Dynamic CM'!$H$5)
     )
   *Table70[[LGD]:[LGD]]
   *$F$5*(1+$Q144)
 )</f>
        <v>-606.58200101487887</v>
      </c>
      <c r="U144" s="99" cm="1">
        <f t="array" ref="U144">($F$6*(1+$Q144)*'User Segmentation'!$I$49)
- Table70[[Fixed Cost]:[Fixed Cost]]
- (Table70[[Funding Rate]:[Funding Rate]]
   *Table70[[Tenure (in months)]:[Tenure (in months)]]
   *$F$6*(1+$Q144)/12)
- (
   IF($Q144&lt;0,
      'Dynamic CM'!$G$6,
      'Dynamic CM'!$G$6*(( $F$6*(1+$Q144) / $F$6)^'Dynamic CM'!$H$6)
     )
   *Table70[[LGD]:[LGD]]
   *$F$6*(1+$Q144)
 )</f>
        <v>-322.21223276040394</v>
      </c>
    </row>
    <row r="145" spans="17:21" x14ac:dyDescent="0.2">
      <c r="Q145" s="64">
        <v>12.7</v>
      </c>
      <c r="R145" s="99" cm="1">
        <f t="array" ref="R145">($F$3*(1+$Q145)*'User Segmentation'!$I$49)
- Table70[[Fixed Cost]:[Fixed Cost]]
- (Table70[[Funding Rate]:[Funding Rate]]
   *Table70[[Tenure (in months)]:[Tenure (in months)]]
   *$F$3*(1+$Q145)/12)
- (
   IF($Q145&lt;0,
      'Dynamic CM'!$G$3,
      'Dynamic CM'!$G$3*(( $F$3*(1+$Q145) / $F$3 )^'Dynamic CM'!$H$3)
     )
   *Table70[[LGD]:[LGD]]
   *$F$3*(1+$Q145)
 )</f>
        <v>-2751.9158508254809</v>
      </c>
      <c r="S145" s="99" cm="1">
        <f t="array" ref="S145">($F$4*(1+$Q145)*'User Segmentation'!$I$49)
- Table70[[Fixed Cost]:[Fixed Cost]]
- (Table70[[Funding Rate]:[Funding Rate]]
   *Table70[[Tenure (in months)]:[Tenure (in months)]]
   *$F$4*(1+$Q145)/12)
- (
   IF($Q145&lt;0,
      'Dynamic CM'!$G$4,
      'Dynamic CM'!$G$4*(( $F$4*(1+$Q145) / $F$4 )^'Dynamic CM'!$H$4)
     )
   *Table70[[LGD]:[LGD]]
   *$F$4*(1+$Q145)
 )</f>
        <v>-469.62972533851217</v>
      </c>
      <c r="T145" s="99" cm="1">
        <f t="array" ref="T145">($F$5*(1+$Q145)*'User Segmentation'!$I$49)
- Table70[[Fixed Cost]:[Fixed Cost]]
- (Table70[[Funding Rate]:[Funding Rate]]
   *Table70[[Tenure (in months)]:[Tenure (in months)]]
   *$F$5*(1+$Q145)/12)
- (
   IF($Q145&lt;0,
      'Dynamic CM'!$G$5,
      'Dynamic CM'!$G$5*(( $F$5*(1+$Q145) / $F$5 )^'Dynamic CM'!$H$5)
     )
   *Table70[[LGD]:[LGD]]
   *$F$5*(1+$Q145)
 )</f>
        <v>-618.84829239340638</v>
      </c>
      <c r="U145" s="99" cm="1">
        <f t="array" ref="U145">($F$6*(1+$Q145)*'User Segmentation'!$I$49)
- Table70[[Fixed Cost]:[Fixed Cost]]
- (Table70[[Funding Rate]:[Funding Rate]]
   *Table70[[Tenure (in months)]:[Tenure (in months)]]
   *$F$6*(1+$Q145)/12)
- (
   IF($Q145&lt;0,
      'Dynamic CM'!$G$6,
      'Dynamic CM'!$G$6*(( $F$6*(1+$Q145) / $F$6)^'Dynamic CM'!$H$6)
     )
   *Table70[[LGD]:[LGD]]
   *$F$6*(1+$Q145)
 )</f>
        <v>-328.23602078723923</v>
      </c>
    </row>
    <row r="146" spans="17:21" x14ac:dyDescent="0.2">
      <c r="Q146" s="64">
        <v>12.8</v>
      </c>
      <c r="R146" s="99" cm="1">
        <f t="array" ref="R146">($F$3*(1+$Q146)*'User Segmentation'!$I$49)
- Table70[[Fixed Cost]:[Fixed Cost]]
- (Table70[[Funding Rate]:[Funding Rate]]
   *Table70[[Tenure (in months)]:[Tenure (in months)]]
   *$F$3*(1+$Q146)/12)
- (
   IF($Q146&lt;0,
      'Dynamic CM'!$G$3,
      'Dynamic CM'!$G$3*(( $F$3*(1+$Q146) / $F$3 )^'Dynamic CM'!$H$3)
     )
   *Table70[[LGD]:[LGD]]
   *$F$3*(1+$Q146)
 )</f>
        <v>-2810.6677382162775</v>
      </c>
      <c r="S146" s="99" cm="1">
        <f t="array" ref="S146">($F$4*(1+$Q146)*'User Segmentation'!$I$49)
- Table70[[Fixed Cost]:[Fixed Cost]]
- (Table70[[Funding Rate]:[Funding Rate]]
   *Table70[[Tenure (in months)]:[Tenure (in months)]]
   *$F$4*(1+$Q146)/12)
- (
   IF($Q146&lt;0,
      'Dynamic CM'!$G$4,
      'Dynamic CM'!$G$4*(( $F$4*(1+$Q146) / $F$4 )^'Dynamic CM'!$H$4)
     )
   *Table70[[LGD]:[LGD]]
   *$F$4*(1+$Q146)
 )</f>
        <v>-478.39775691738788</v>
      </c>
      <c r="T146" s="99" cm="1">
        <f t="array" ref="T146">($F$5*(1+$Q146)*'User Segmentation'!$I$49)
- Table70[[Fixed Cost]:[Fixed Cost]]
- (Table70[[Funding Rate]:[Funding Rate]]
   *Table70[[Tenure (in months)]:[Tenure (in months)]]
   *$F$5*(1+$Q146)/12)
- (
   IF($Q146&lt;0,
      'Dynamic CM'!$G$5,
      'Dynamic CM'!$G$5*(( $F$5*(1+$Q146) / $F$5 )^'Dynamic CM'!$H$5)
     )
   *Table70[[LGD]:[LGD]]
   *$F$5*(1+$Q146)
 )</f>
        <v>-631.23295154622747</v>
      </c>
      <c r="U146" s="99" cm="1">
        <f t="array" ref="U146">($F$6*(1+$Q146)*'User Segmentation'!$I$49)
- Table70[[Fixed Cost]:[Fixed Cost]]
- (Table70[[Funding Rate]:[Funding Rate]]
   *Table70[[Tenure (in months)]:[Tenure (in months)]]
   *$F$6*(1+$Q146)/12)
- (
   IF($Q146&lt;0,
      'Dynamic CM'!$G$6,
      'Dynamic CM'!$G$6*(( $F$6*(1+$Q146) / $F$6)^'Dynamic CM'!$H$6)
     )
   *Table70[[LGD]:[LGD]]
   *$F$6*(1+$Q146)
 )</f>
        <v>-334.32214301011464</v>
      </c>
    </row>
    <row r="147" spans="17:21" x14ac:dyDescent="0.2">
      <c r="Q147" s="64">
        <v>12.9</v>
      </c>
      <c r="R147" s="99" cm="1">
        <f t="array" ref="R147">($F$3*(1+$Q147)*'User Segmentation'!$I$49)
- Table70[[Fixed Cost]:[Fixed Cost]]
- (Table70[[Funding Rate]:[Funding Rate]]
   *Table70[[Tenure (in months)]:[Tenure (in months)]]
   *$F$3*(1+$Q147)/12)
- (
   IF($Q147&lt;0,
      'Dynamic CM'!$G$3,
      'Dynamic CM'!$G$3*(( $F$3*(1+$Q147) / $F$3 )^'Dynamic CM'!$H$3)
     )
   *Table70[[LGD]:[LGD]]
   *$F$3*(1+$Q147)
 )</f>
        <v>-2870.2324272068872</v>
      </c>
      <c r="S147" s="99" cm="1">
        <f t="array" ref="S147">($F$4*(1+$Q147)*'User Segmentation'!$I$49)
- Table70[[Fixed Cost]:[Fixed Cost]]
- (Table70[[Funding Rate]:[Funding Rate]]
   *Table70[[Tenure (in months)]:[Tenure (in months)]]
   *$F$4*(1+$Q147)/12)
- (
   IF($Q147&lt;0,
      'Dynamic CM'!$G$4,
      'Dynamic CM'!$G$4*(( $F$4*(1+$Q147) / $F$4 )^'Dynamic CM'!$H$4)
     )
   *Table70[[LGD]:[LGD]]
   *$F$4*(1+$Q147)
 )</f>
        <v>-487.25603656927933</v>
      </c>
      <c r="T147" s="99" cm="1">
        <f t="array" ref="T147">($F$5*(1+$Q147)*'User Segmentation'!$I$49)
- Table70[[Fixed Cost]:[Fixed Cost]]
- (Table70[[Funding Rate]:[Funding Rate]]
   *Table70[[Tenure (in months)]:[Tenure (in months)]]
   *$F$5*(1+$Q147)/12)
- (
   IF($Q147&lt;0,
      'Dynamic CM'!$G$5,
      'Dynamic CM'!$G$5*(( $F$5*(1+$Q147) / $F$5 )^'Dynamic CM'!$H$5)
     )
   *Table70[[LGD]:[LGD]]
   *$F$5*(1+$Q147)
 )</f>
        <v>-643.7360396107083</v>
      </c>
      <c r="U147" s="99" cm="1">
        <f t="array" ref="U147">($F$6*(1+$Q147)*'User Segmentation'!$I$49)
- Table70[[Fixed Cost]:[Fixed Cost]]
- (Table70[[Funding Rate]:[Funding Rate]]
   *Table70[[Tenure (in months)]:[Tenure (in months)]]
   *$F$6*(1+$Q147)/12)
- (
   IF($Q147&lt;0,
      'Dynamic CM'!$G$6,
      'Dynamic CM'!$G$6*(( $F$6*(1+$Q147) / $F$6)^'Dynamic CM'!$H$6)
     )
   *Table70[[LGD]:[LGD]]
   *$F$6*(1+$Q147)
 )</f>
        <v>-340.47074466815479</v>
      </c>
    </row>
    <row r="148" spans="17:21" x14ac:dyDescent="0.2">
      <c r="Q148" s="64">
        <v>13</v>
      </c>
      <c r="R148" s="99" cm="1">
        <f t="array" ref="R148">($F$3*(1+$Q148)*'User Segmentation'!$I$49)
- Table70[[Fixed Cost]:[Fixed Cost]]
- (Table70[[Funding Rate]:[Funding Rate]]
   *Table70[[Tenure (in months)]:[Tenure (in months)]]
   *$F$3*(1+$Q148)/12)
- (
   IF($Q148&lt;0,
      'Dynamic CM'!$G$3,
      'Dynamic CM'!$G$3*(( $F$3*(1+$Q148) / $F$3 )^'Dynamic CM'!$H$3)
     )
   *Table70[[LGD]:[LGD]]
   *$F$3*(1+$Q148)
 )</f>
        <v>-2930.615157700051</v>
      </c>
      <c r="S148" s="99" cm="1">
        <f t="array" ref="S148">($F$4*(1+$Q148)*'User Segmentation'!$I$49)
- Table70[[Fixed Cost]:[Fixed Cost]]
- (Table70[[Funding Rate]:[Funding Rate]]
   *Table70[[Tenure (in months)]:[Tenure (in months)]]
   *$F$4*(1+$Q148)/12)
- (
   IF($Q148&lt;0,
      'Dynamic CM'!$G$4,
      'Dynamic CM'!$G$4*(( $F$4*(1+$Q148) / $F$4 )^'Dynamic CM'!$H$4)
     )
   *Table70[[LGD]:[LGD]]
   *$F$4*(1+$Q148)
 )</f>
        <v>-496.20477305280303</v>
      </c>
      <c r="T148" s="99" cm="1">
        <f t="array" ref="T148">($F$5*(1+$Q148)*'User Segmentation'!$I$49)
- Table70[[Fixed Cost]:[Fixed Cost]]
- (Table70[[Funding Rate]:[Funding Rate]]
   *Table70[[Tenure (in months)]:[Tenure (in months)]]
   *$F$5*(1+$Q148)/12)
- (
   IF($Q148&lt;0,
      'Dynamic CM'!$G$5,
      'Dynamic CM'!$G$5*(( $F$5*(1+$Q148) / $F$5 )^'Dynamic CM'!$H$5)
     )
   *Table70[[LGD]:[LGD]]
   *$F$5*(1+$Q148)
 )</f>
        <v>-656.35761731401726</v>
      </c>
      <c r="U148" s="99" cm="1">
        <f t="array" ref="U148">($F$6*(1+$Q148)*'User Segmentation'!$I$49)
- Table70[[Fixed Cost]:[Fixed Cost]]
- (Table70[[Funding Rate]:[Funding Rate]]
   *Table70[[Tenure (in months)]:[Tenure (in months)]]
   *$F$6*(1+$Q148)/12)
- (
   IF($Q148&lt;0,
      'Dynamic CM'!$G$6,
      'Dynamic CM'!$G$6*(( $F$6*(1+$Q148) / $F$6)^'Dynamic CM'!$H$6)
     )
   *Table70[[LGD]:[LGD]]
   *$F$6*(1+$Q148)
 )</f>
        <v>-346.68197028655595</v>
      </c>
    </row>
    <row r="149" spans="17:21" x14ac:dyDescent="0.2">
      <c r="Q149" s="64">
        <v>13.1</v>
      </c>
      <c r="R149" s="99" cm="1">
        <f t="array" ref="R149">($F$3*(1+$Q149)*'User Segmentation'!$I$49)
- Table70[[Fixed Cost]:[Fixed Cost]]
- (Table70[[Funding Rate]:[Funding Rate]]
   *Table70[[Tenure (in months)]:[Tenure (in months)]]
   *$F$3*(1+$Q149)/12)
- (
   IF($Q149&lt;0,
      'Dynamic CM'!$G$3,
      'Dynamic CM'!$G$3*(( $F$3*(1+$Q149) / $F$3 )^'Dynamic CM'!$H$3)
     )
   *Table70[[LGD]:[LGD]]
   *$F$3*(1+$Q149)
 )</f>
        <v>-2991.8211654533925</v>
      </c>
      <c r="S149" s="99" cm="1">
        <f t="array" ref="S149">($F$4*(1+$Q149)*'User Segmentation'!$I$49)
- Table70[[Fixed Cost]:[Fixed Cost]]
- (Table70[[Funding Rate]:[Funding Rate]]
   *Table70[[Tenure (in months)]:[Tenure (in months)]]
   *$F$4*(1+$Q149)/12)
- (
   IF($Q149&lt;0,
      'Dynamic CM'!$G$4,
      'Dynamic CM'!$G$4*(( $F$4*(1+$Q149) / $F$4 )^'Dynamic CM'!$H$4)
     )
   *Table70[[LGD]:[LGD]]
   *$F$4*(1+$Q149)
 )</f>
        <v>-505.24417410777738</v>
      </c>
      <c r="T149" s="99" cm="1">
        <f t="array" ref="T149">($F$5*(1+$Q149)*'User Segmentation'!$I$49)
- Table70[[Fixed Cost]:[Fixed Cost]]
- (Table70[[Funding Rate]:[Funding Rate]]
   *Table70[[Tenure (in months)]:[Tenure (in months)]]
   *$F$5*(1+$Q149)/12)
- (
   IF($Q149&lt;0,
      'Dynamic CM'!$G$5,
      'Dynamic CM'!$G$5*(( $F$5*(1+$Q149) / $F$5 )^'Dynamic CM'!$H$5)
     )
   *Table70[[LGD]:[LGD]]
   *$F$5*(1+$Q149)
 )</f>
        <v>-669.09774497879789</v>
      </c>
      <c r="U149" s="99" cm="1">
        <f t="array" ref="U149">($F$6*(1+$Q149)*'User Segmentation'!$I$49)
- Table70[[Fixed Cost]:[Fixed Cost]]
- (Table70[[Funding Rate]:[Funding Rate]]
   *Table70[[Tenure (in months)]:[Tenure (in months)]]
   *$F$6*(1+$Q149)/12)
- (
   IF($Q149&lt;0,
      'Dynamic CM'!$G$6,
      'Dynamic CM'!$G$6*(( $F$6*(1+$Q149) / $F$6)^'Dynamic CM'!$H$6)
     )
   *Table70[[LGD]:[LGD]]
   *$F$6*(1+$Q149)
 )</f>
        <v>-352.95596368519199</v>
      </c>
    </row>
    <row r="150" spans="17:21" x14ac:dyDescent="0.2">
      <c r="Q150" s="64">
        <v>13.2</v>
      </c>
      <c r="R150" s="99" cm="1">
        <f t="array" ref="R150">($F$3*(1+$Q150)*'User Segmentation'!$I$49)
- Table70[[Fixed Cost]:[Fixed Cost]]
- (Table70[[Funding Rate]:[Funding Rate]]
   *Table70[[Tenure (in months)]:[Tenure (in months)]]
   *$F$3*(1+$Q150)/12)
- (
   IF($Q150&lt;0,
      'Dynamic CM'!$G$3,
      'Dynamic CM'!$G$3*(( $F$3*(1+$Q150) / $F$3 )^'Dynamic CM'!$H$3)
     )
   *Table70[[LGD]:[LGD]]
   *$F$3*(1+$Q150)
 )</f>
        <v>-3053.8556821122538</v>
      </c>
      <c r="S150" s="99" cm="1">
        <f t="array" ref="S150">($F$4*(1+$Q150)*'User Segmentation'!$I$49)
- Table70[[Fixed Cost]:[Fixed Cost]]
- (Table70[[Funding Rate]:[Funding Rate]]
   *Table70[[Tenure (in months)]:[Tenure (in months)]]
   *$F$4*(1+$Q150)/12)
- (
   IF($Q150&lt;0,
      'Dynamic CM'!$G$4,
      'Dynamic CM'!$G$4*(( $F$4*(1+$Q150) / $F$4 )^'Dynamic CM'!$H$4)
     )
   *Table70[[LGD]:[LGD]]
   *$F$4*(1+$Q150)
 )</f>
        <v>-514.37444646741983</v>
      </c>
      <c r="T150" s="99" cm="1">
        <f t="array" ref="T150">($F$5*(1+$Q150)*'User Segmentation'!$I$49)
- Table70[[Fixed Cost]:[Fixed Cost]]
- (Table70[[Funding Rate]:[Funding Rate]]
   *Table70[[Tenure (in months)]:[Tenure (in months)]]
   *$F$5*(1+$Q150)/12)
- (
   IF($Q150&lt;0,
      'Dynamic CM'!$G$5,
      'Dynamic CM'!$G$5*(( $F$5*(1+$Q150) / $F$5 )^'Dynamic CM'!$H$5)
     )
   *Table70[[LGD]:[LGD]]
   *$F$5*(1+$Q150)
 )</f>
        <v>-681.95648252872161</v>
      </c>
      <c r="U150" s="99" cm="1">
        <f t="array" ref="U150">($F$6*(1+$Q150)*'User Segmentation'!$I$49)
- Table70[[Fixed Cost]:[Fixed Cost]]
- (Table70[[Funding Rate]:[Funding Rate]]
   *Table70[[Tenure (in months)]:[Tenure (in months)]]
   *$F$6*(1+$Q150)/12)
- (
   IF($Q150&lt;0,
      'Dynamic CM'!$G$6,
      'Dynamic CM'!$G$6*(( $F$6*(1+$Q150) / $F$6)^'Dynamic CM'!$H$6)
     )
   *Table70[[LGD]:[LGD]]
   *$F$6*(1+$Q150)
 )</f>
        <v>-359.29286798705976</v>
      </c>
    </row>
    <row r="151" spans="17:21" x14ac:dyDescent="0.2">
      <c r="Q151" s="64">
        <v>13.3</v>
      </c>
      <c r="R151" s="99" cm="1">
        <f t="array" ref="R151">($F$3*(1+$Q151)*'User Segmentation'!$I$49)
- Table70[[Fixed Cost]:[Fixed Cost]]
- (Table70[[Funding Rate]:[Funding Rate]]
   *Table70[[Tenure (in months)]:[Tenure (in months)]]
   *$F$3*(1+$Q151)/12)
- (
   IF($Q151&lt;0,
      'Dynamic CM'!$G$3,
      'Dynamic CM'!$G$3*(( $F$3*(1+$Q151) / $F$3 )^'Dynamic CM'!$H$3)
     )
   *Table70[[LGD]:[LGD]]
   *$F$3*(1+$Q151)
 )</f>
        <v>-3116.7239352420829</v>
      </c>
      <c r="S151" s="99" cm="1">
        <f t="array" ref="S151">($F$4*(1+$Q151)*'User Segmentation'!$I$49)
- Table70[[Fixed Cost]:[Fixed Cost]]
- (Table70[[Funding Rate]:[Funding Rate]]
   *Table70[[Tenure (in months)]:[Tenure (in months)]]
   *$F$4*(1+$Q151)/12)
- (
   IF($Q151&lt;0,
      'Dynamic CM'!$G$4,
      'Dynamic CM'!$G$4*(( $F$4*(1+$Q151) / $F$4 )^'Dynamic CM'!$H$4)
     )
   *Table70[[LGD]:[LGD]]
   *$F$4*(1+$Q151)
 )</f>
        <v>-523.59579587031067</v>
      </c>
      <c r="T151" s="99" cm="1">
        <f t="array" ref="T151">($F$5*(1+$Q151)*'User Segmentation'!$I$49)
- Table70[[Fixed Cost]:[Fixed Cost]]
- (Table70[[Funding Rate]:[Funding Rate]]
   *Table70[[Tenure (in months)]:[Tenure (in months)]]
   *$F$5*(1+$Q151)/12)
- (
   IF($Q151&lt;0,
      'Dynamic CM'!$G$5,
      'Dynamic CM'!$G$5*(( $F$5*(1+$Q151) / $F$5 )^'Dynamic CM'!$H$5)
     )
   *Table70[[LGD]:[LGD]]
   *$F$5*(1+$Q151)
 )</f>
        <v>-694.93388949393147</v>
      </c>
      <c r="U151" s="99" cm="1">
        <f t="array" ref="U151">($F$6*(1+$Q151)*'User Segmentation'!$I$49)
- Table70[[Fixed Cost]:[Fixed Cost]]
- (Table70[[Funding Rate]:[Funding Rate]]
   *Table70[[Tenure (in months)]:[Tenure (in months)]]
   *$F$6*(1+$Q151)/12)
- (
   IF($Q151&lt;0,
      'Dynamic CM'!$G$6,
      'Dynamic CM'!$G$6*(( $F$6*(1+$Q151) / $F$6)^'Dynamic CM'!$H$6)
     )
   *Table70[[LGD]:[LGD]]
   *$F$6*(1+$Q151)
 )</f>
        <v>-365.69282562656127</v>
      </c>
    </row>
    <row r="152" spans="17:21" x14ac:dyDescent="0.2">
      <c r="Q152" s="64">
        <v>13.4</v>
      </c>
      <c r="R152" s="99" cm="1">
        <f t="array" ref="R152">($F$3*(1+$Q152)*'User Segmentation'!$I$49)
- Table70[[Fixed Cost]:[Fixed Cost]]
- (Table70[[Funding Rate]:[Funding Rate]]
   *Table70[[Tenure (in months)]:[Tenure (in months)]]
   *$F$3*(1+$Q152)/12)
- (
   IF($Q152&lt;0,
      'Dynamic CM'!$G$3,
      'Dynamic CM'!$G$3*(( $F$3*(1+$Q152) / $F$3 )^'Dynamic CM'!$H$3)
     )
   *Table70[[LGD]:[LGD]]
   *$F$3*(1+$Q152)
 )</f>
        <v>-3180.4311483602878</v>
      </c>
      <c r="S152" s="99" cm="1">
        <f t="array" ref="S152">($F$4*(1+$Q152)*'User Segmentation'!$I$49)
- Table70[[Fixed Cost]:[Fixed Cost]]
- (Table70[[Funding Rate]:[Funding Rate]]
   *Table70[[Tenure (in months)]:[Tenure (in months)]]
   *$F$4*(1+$Q152)/12)
- (
   IF($Q152&lt;0,
      'Dynamic CM'!$G$4,
      'Dynamic CM'!$G$4*(( $F$4*(1+$Q152) / $F$4 )^'Dynamic CM'!$H$4)
     )
   *Table70[[LGD]:[LGD]]
   *$F$4*(1+$Q152)
 )</f>
        <v>-532.90842707213505</v>
      </c>
      <c r="T152" s="99" cm="1">
        <f t="array" ref="T152">($F$5*(1+$Q152)*'User Segmentation'!$I$49)
- Table70[[Fixed Cost]:[Fixed Cost]]
- (Table70[[Funding Rate]:[Funding Rate]]
   *Table70[[Tenure (in months)]:[Tenure (in months)]]
   *$F$5*(1+$Q152)/12)
- (
   IF($Q152&lt;0,
      'Dynamic CM'!$G$5,
      'Dynamic CM'!$G$5*(( $F$5*(1+$Q152) / $F$5 )^'Dynamic CM'!$H$5)
     )
   *Table70[[LGD]:[LGD]]
   *$F$5*(1+$Q152)
 )</f>
        <v>-708.03002501636797</v>
      </c>
      <c r="U152" s="99" cm="1">
        <f t="array" ref="U152">($F$6*(1+$Q152)*'User Segmentation'!$I$49)
- Table70[[Fixed Cost]:[Fixed Cost]]
- (Table70[[Funding Rate]:[Funding Rate]]
   *Table70[[Tenure (in months)]:[Tenure (in months)]]
   *$F$6*(1+$Q152)/12)
- (
   IF($Q152&lt;0,
      'Dynamic CM'!$G$6,
      'Dynamic CM'!$G$6*(( $F$6*(1+$Q152) / $F$6)^'Dynamic CM'!$H$6)
     )
   *Table70[[LGD]:[LGD]]
   *$F$6*(1+$Q152)
 )</f>
        <v>-372.1559783576318</v>
      </c>
    </row>
    <row r="153" spans="17:21" x14ac:dyDescent="0.2">
      <c r="Q153" s="64">
        <v>13.5</v>
      </c>
      <c r="R153" s="99" cm="1">
        <f t="array" ref="R153">($F$3*(1+$Q153)*'User Segmentation'!$I$49)
- Table70[[Fixed Cost]:[Fixed Cost]]
- (Table70[[Funding Rate]:[Funding Rate]]
   *Table70[[Tenure (in months)]:[Tenure (in months)]]
   *$F$3*(1+$Q153)/12)
- (
   IF($Q153&lt;0,
      'Dynamic CM'!$G$3,
      'Dynamic CM'!$G$3*(( $F$3*(1+$Q153) / $F$3 )^'Dynamic CM'!$H$3)
     )
   *Table70[[LGD]:[LGD]]
   *$F$3*(1+$Q153)
 )</f>
        <v>-3244.9825409676714</v>
      </c>
      <c r="S153" s="99" cm="1">
        <f t="array" ref="S153">($F$4*(1+$Q153)*'User Segmentation'!$I$49)
- Table70[[Fixed Cost]:[Fixed Cost]]
- (Table70[[Funding Rate]:[Funding Rate]]
   *Table70[[Tenure (in months)]:[Tenure (in months)]]
   *$F$4*(1+$Q153)/12)
- (
   IF($Q153&lt;0,
      'Dynamic CM'!$G$4,
      'Dynamic CM'!$G$4*(( $F$4*(1+$Q153) / $F$4 )^'Dynamic CM'!$H$4)
     )
   *Table70[[LGD]:[LGD]]
   *$F$4*(1+$Q153)
 )</f>
        <v>-542.31254385720194</v>
      </c>
      <c r="T153" s="99" cm="1">
        <f t="array" ref="T153">($F$5*(1+$Q153)*'User Segmentation'!$I$49)
- Table70[[Fixed Cost]:[Fixed Cost]]
- (Table70[[Funding Rate]:[Funding Rate]]
   *Table70[[Tenure (in months)]:[Tenure (in months)]]
   *$F$5*(1+$Q153)/12)
- (
   IF($Q153&lt;0,
      'Dynamic CM'!$G$5,
      'Dynamic CM'!$G$5*(( $F$5*(1+$Q153) / $F$5 )^'Dynamic CM'!$H$5)
     )
   *Table70[[LGD]:[LGD]]
   *$F$5*(1+$Q153)
 )</f>
        <v>-721.2449478549936</v>
      </c>
      <c r="U153" s="99" cm="1">
        <f t="array" ref="U153">($F$6*(1+$Q153)*'User Segmentation'!$I$49)
- Table70[[Fixed Cost]:[Fixed Cost]]
- (Table70[[Funding Rate]:[Funding Rate]]
   *Table70[[Tenure (in months)]:[Tenure (in months)]]
   *$F$6*(1+$Q153)/12)
- (
   IF($Q153&lt;0,
      'Dynamic CM'!$G$6,
      'Dynamic CM'!$G$6*(( $F$6*(1+$Q153) / $F$6)^'Dynamic CM'!$H$6)
     )
   *Table70[[LGD]:[LGD]]
   *$F$6*(1+$Q153)
 )</f>
        <v>-378.68246726171662</v>
      </c>
    </row>
    <row r="154" spans="17:21" x14ac:dyDescent="0.2">
      <c r="Q154" s="64">
        <v>13.6</v>
      </c>
      <c r="R154" s="99" cm="1">
        <f t="array" ref="R154">($F$3*(1+$Q154)*'User Segmentation'!$I$49)
- Table70[[Fixed Cost]:[Fixed Cost]]
- (Table70[[Funding Rate]:[Funding Rate]]
   *Table70[[Tenure (in months)]:[Tenure (in months)]]
   *$F$3*(1+$Q154)/12)
- (
   IF($Q154&lt;0,
      'Dynamic CM'!$G$3,
      'Dynamic CM'!$G$3*(( $F$3*(1+$Q154) / $F$3 )^'Dynamic CM'!$H$3)
     )
   *Table70[[LGD]:[LGD]]
   *$F$3*(1+$Q154)
 )</f>
        <v>-3310.3833285793644</v>
      </c>
      <c r="S154" s="99" cm="1">
        <f t="array" ref="S154">($F$4*(1+$Q154)*'User Segmentation'!$I$49)
- Table70[[Fixed Cost]:[Fixed Cost]]
- (Table70[[Funding Rate]:[Funding Rate]]
   *Table70[[Tenure (in months)]:[Tenure (in months)]]
   *$F$4*(1+$Q154)/12)
- (
   IF($Q154&lt;0,
      'Dynamic CM'!$G$4,
      'Dynamic CM'!$G$4*(( $F$4*(1+$Q154) / $F$4 )^'Dynamic CM'!$H$4)
     )
   *Table70[[LGD]:[LGD]]
   *$F$4*(1+$Q154)
 )</f>
        <v>-551.80834904975052</v>
      </c>
      <c r="T154" s="99" cm="1">
        <f t="array" ref="T154">($F$5*(1+$Q154)*'User Segmentation'!$I$49)
- Table70[[Fixed Cost]:[Fixed Cost]]
- (Table70[[Funding Rate]:[Funding Rate]]
   *Table70[[Tenure (in months)]:[Tenure (in months)]]
   *$F$5*(1+$Q154)/12)
- (
   IF($Q154&lt;0,
      'Dynamic CM'!$G$5,
      'Dynamic CM'!$G$5*(( $F$5*(1+$Q154) / $F$5 )^'Dynamic CM'!$H$5)
     )
   *Table70[[LGD]:[LGD]]
   *$F$5*(1+$Q154)
 )</f>
        <v>-734.57871639090138</v>
      </c>
      <c r="U154" s="99" cm="1">
        <f t="array" ref="U154">($F$6*(1+$Q154)*'User Segmentation'!$I$49)
- Table70[[Fixed Cost]:[Fixed Cost]]
- (Table70[[Funding Rate]:[Funding Rate]]
   *Table70[[Tenure (in months)]:[Tenure (in months)]]
   *$F$6*(1+$Q154)/12)
- (
   IF($Q154&lt;0,
      'Dynamic CM'!$G$6,
      'Dynamic CM'!$G$6*(( $F$6*(1+$Q154) / $F$6)^'Dynamic CM'!$H$6)
     )
   *Table70[[LGD]:[LGD]]
   *$F$6*(1+$Q154)
 )</f>
        <v>-385.27243275559653</v>
      </c>
    </row>
    <row r="155" spans="17:21" x14ac:dyDescent="0.2">
      <c r="Q155" s="64">
        <v>13.7</v>
      </c>
      <c r="R155" s="99" cm="1">
        <f t="array" ref="R155">($F$3*(1+$Q155)*'User Segmentation'!$I$49)
- Table70[[Fixed Cost]:[Fixed Cost]]
- (Table70[[Funding Rate]:[Funding Rate]]
   *Table70[[Tenure (in months)]:[Tenure (in months)]]
   *$F$3*(1+$Q155)/12)
- (
   IF($Q155&lt;0,
      'Dynamic CM'!$G$3,
      'Dynamic CM'!$G$3*(( $F$3*(1+$Q155) / $F$3 )^'Dynamic CM'!$H$3)
     )
   *Table70[[LGD]:[LGD]]
   *$F$3*(1+$Q155)
 )</f>
        <v>-3376.6387227553328</v>
      </c>
      <c r="S155" s="99" cm="1">
        <f t="array" ref="S155">($F$4*(1+$Q155)*'User Segmentation'!$I$49)
- Table70[[Fixed Cost]:[Fixed Cost]]
- (Table70[[Funding Rate]:[Funding Rate]]
   *Table70[[Tenure (in months)]:[Tenure (in months)]]
   *$F$4*(1+$Q155)/12)
- (
   IF($Q155&lt;0,
      'Dynamic CM'!$G$4,
      'Dynamic CM'!$G$4*(( $F$4*(1+$Q155) / $F$4 )^'Dynamic CM'!$H$4)
     )
   *Table70[[LGD]:[LGD]]
   *$F$4*(1+$Q155)
 )</f>
        <v>-561.39604452504852</v>
      </c>
      <c r="T155" s="99" cm="1">
        <f t="array" ref="T155">($F$5*(1+$Q155)*'User Segmentation'!$I$49)
- Table70[[Fixed Cost]:[Fixed Cost]]
- (Table70[[Funding Rate]:[Funding Rate]]
   *Table70[[Tenure (in months)]:[Tenure (in months)]]
   *$F$5*(1+$Q155)/12)
- (
   IF($Q155&lt;0,
      'Dynamic CM'!$G$5,
      'Dynamic CM'!$G$5*(( $F$5*(1+$Q155) / $F$5 )^'Dynamic CM'!$H$5)
     )
   *Table70[[LGD]:[LGD]]
   *$F$5*(1+$Q155)
 )</f>
        <v>-748.03138863232834</v>
      </c>
      <c r="U155" s="99" cm="1">
        <f t="array" ref="U155">($F$6*(1+$Q155)*'User Segmentation'!$I$49)
- Table70[[Fixed Cost]:[Fixed Cost]]
- (Table70[[Funding Rate]:[Funding Rate]]
   *Table70[[Tenure (in months)]:[Tenure (in months)]]
   *$F$6*(1+$Q155)/12)
- (
   IF($Q155&lt;0,
      'Dynamic CM'!$G$6,
      'Dynamic CM'!$G$6*(( $F$6*(1+$Q155) / $F$6)^'Dynamic CM'!$H$6)
     )
   *Table70[[LGD]:[LGD]]
   *$F$6*(1+$Q155)
 )</f>
        <v>-391.92601459907195</v>
      </c>
    </row>
    <row r="156" spans="17:21" x14ac:dyDescent="0.2">
      <c r="Q156" s="64">
        <v>13.8</v>
      </c>
      <c r="R156" s="99" cm="1">
        <f t="array" ref="R156">($F$3*(1+$Q156)*'User Segmentation'!$I$49)
- Table70[[Fixed Cost]:[Fixed Cost]]
- (Table70[[Funding Rate]:[Funding Rate]]
   *Table70[[Tenure (in months)]:[Tenure (in months)]]
   *$F$3*(1+$Q156)/12)
- (
   IF($Q156&lt;0,
      'Dynamic CM'!$G$3,
      'Dynamic CM'!$G$3*(( $F$3*(1+$Q156) / $F$3 )^'Dynamic CM'!$H$3)
     )
   *Table70[[LGD]:[LGD]]
   *$F$3*(1+$Q156)
 )</f>
        <v>-3443.7539311304386</v>
      </c>
      <c r="S156" s="99" cm="1">
        <f t="array" ref="S156">($F$4*(1+$Q156)*'User Segmentation'!$I$49)
- Table70[[Fixed Cost]:[Fixed Cost]]
- (Table70[[Funding Rate]:[Funding Rate]]
   *Table70[[Tenure (in months)]:[Tenure (in months)]]
   *$F$4*(1+$Q156)/12)
- (
   IF($Q156&lt;0,
      'Dynamic CM'!$G$4,
      'Dynamic CM'!$G$4*(( $F$4*(1+$Q156) / $F$4 )^'Dynamic CM'!$H$4)
     )
   *Table70[[LGD]:[LGD]]
   *$F$4*(1+$Q156)
 )</f>
        <v>-571.07583122028689</v>
      </c>
      <c r="T156" s="99" cm="1">
        <f t="array" ref="T156">($F$5*(1+$Q156)*'User Segmentation'!$I$49)
- Table70[[Fixed Cost]:[Fixed Cost]]
- (Table70[[Funding Rate]:[Funding Rate]]
   *Table70[[Tenure (in months)]:[Tenure (in months)]]
   *$F$5*(1+$Q156)/12)
- (
   IF($Q156&lt;0,
      'Dynamic CM'!$G$5,
      'Dynamic CM'!$G$5*(( $F$5*(1+$Q156) / $F$5 )^'Dynamic CM'!$H$5)
     )
   *Table70[[LGD]:[LGD]]
   *$F$5*(1+$Q156)
 )</f>
        <v>-761.60302221956749</v>
      </c>
      <c r="U156" s="99" cm="1">
        <f t="array" ref="U156">($F$6*(1+$Q156)*'User Segmentation'!$I$49)
- Table70[[Fixed Cost]:[Fixed Cost]]
- (Table70[[Funding Rate]:[Funding Rate]]
   *Table70[[Tenure (in months)]:[Tenure (in months)]]
   *$F$6*(1+$Q156)/12)
- (
   IF($Q156&lt;0,
      'Dynamic CM'!$G$6,
      'Dynamic CM'!$G$6*(( $F$6*(1+$Q156) / $F$6)^'Dynamic CM'!$H$6)
     )
   *Table70[[LGD]:[LGD]]
   *$F$6*(1+$Q156)
 )</f>
        <v>-398.64335190250625</v>
      </c>
    </row>
    <row r="157" spans="17:21" x14ac:dyDescent="0.2">
      <c r="Q157" s="64">
        <v>13.9</v>
      </c>
      <c r="R157" s="99" cm="1">
        <f t="array" ref="R157">($F$3*(1+$Q157)*'User Segmentation'!$I$49)
- Table70[[Fixed Cost]:[Fixed Cost]]
- (Table70[[Funding Rate]:[Funding Rate]]
   *Table70[[Tenure (in months)]:[Tenure (in months)]]
   *$F$3*(1+$Q157)/12)
- (
   IF($Q157&lt;0,
      'Dynamic CM'!$G$3,
      'Dynamic CM'!$G$3*(( $F$3*(1+$Q157) / $F$3 )^'Dynamic CM'!$H$3)
     )
   *Table70[[LGD]:[LGD]]
   *$F$3*(1+$Q157)
 )</f>
        <v>-3511.7341574440707</v>
      </c>
      <c r="S157" s="99" cm="1">
        <f t="array" ref="S157">($F$4*(1+$Q157)*'User Segmentation'!$I$49)
- Table70[[Fixed Cost]:[Fixed Cost]]
- (Table70[[Funding Rate]:[Funding Rate]]
   *Table70[[Tenure (in months)]:[Tenure (in months)]]
   *$F$4*(1+$Q157)/12)
- (
   IF($Q157&lt;0,
      'Dynamic CM'!$G$4,
      'Dynamic CM'!$G$4*(( $F$4*(1+$Q157) / $F$4 )^'Dynamic CM'!$H$4)
     )
   *Table70[[LGD]:[LGD]]
   *$F$4*(1+$Q157)
 )</f>
        <v>-580.84790914527684</v>
      </c>
      <c r="T157" s="99" cm="1">
        <f t="array" ref="T157">($F$5*(1+$Q157)*'User Segmentation'!$I$49)
- Table70[[Fixed Cost]:[Fixed Cost]]
- (Table70[[Funding Rate]:[Funding Rate]]
   *Table70[[Tenure (in months)]:[Tenure (in months)]]
   *$F$5*(1+$Q157)/12)
- (
   IF($Q157&lt;0,
      'Dynamic CM'!$G$5,
      'Dynamic CM'!$G$5*(( $F$5*(1+$Q157) / $F$5 )^'Dynamic CM'!$H$5)
     )
   *Table70[[LGD]:[LGD]]
   *$F$5*(1+$Q157)
 )</f>
        <v>-775.29367442978014</v>
      </c>
      <c r="U157" s="99" cm="1">
        <f t="array" ref="U157">($F$6*(1+$Q157)*'User Segmentation'!$I$49)
- Table70[[Fixed Cost]:[Fixed Cost]]
- (Table70[[Funding Rate]:[Funding Rate]]
   *Table70[[Tenure (in months)]:[Tenure (in months)]]
   *$F$6*(1+$Q157)/12)
- (
   IF($Q157&lt;0,
      'Dynamic CM'!$G$6,
      'Dynamic CM'!$G$6*(( $F$6*(1+$Q157) / $F$6)^'Dynamic CM'!$H$6)
     )
   *Table70[[LGD]:[LGD]]
   *$F$6*(1+$Q157)
 )</f>
        <v>-405.4245831342302</v>
      </c>
    </row>
    <row r="158" spans="17:21" x14ac:dyDescent="0.2">
      <c r="Q158" s="64">
        <v>14</v>
      </c>
      <c r="R158" s="99" cm="1">
        <f t="array" ref="R158">($F$3*(1+$Q158)*'User Segmentation'!$I$49)
- Table70[[Fixed Cost]:[Fixed Cost]]
- (Table70[[Funding Rate]:[Funding Rate]]
   *Table70[[Tenure (in months)]:[Tenure (in months)]]
   *$F$3*(1+$Q158)/12)
- (
   IF($Q158&lt;0,
      'Dynamic CM'!$G$3,
      'Dynamic CM'!$G$3*(( $F$3*(1+$Q158) / $F$3 )^'Dynamic CM'!$H$3)
     )
   *Table70[[LGD]:[LGD]]
   *$F$3*(1+$Q158)
 )</f>
        <v>-3580.5846015693401</v>
      </c>
      <c r="S158" s="99" cm="1">
        <f t="array" ref="S158">($F$4*(1+$Q158)*'User Segmentation'!$I$49)
- Table70[[Fixed Cost]:[Fixed Cost]]
- (Table70[[Funding Rate]:[Funding Rate]]
   *Table70[[Tenure (in months)]:[Tenure (in months)]]
   *$F$4*(1+$Q158)/12)
- (
   IF($Q158&lt;0,
      'Dynamic CM'!$G$4,
      'Dynamic CM'!$G$4*(( $F$4*(1+$Q158) / $F$4 )^'Dynamic CM'!$H$4)
     )
   *Table70[[LGD]:[LGD]]
   *$F$4*(1+$Q158)
 )</f>
        <v>-590.71247739295109</v>
      </c>
      <c r="T158" s="99" cm="1">
        <f t="array" ref="T158">($F$5*(1+$Q158)*'User Segmentation'!$I$49)
- Table70[[Fixed Cost]:[Fixed Cost]]
- (Table70[[Funding Rate]:[Funding Rate]]
   *Table70[[Tenure (in months)]:[Tenure (in months)]]
   *$F$5*(1+$Q158)/12)
- (
   IF($Q158&lt;0,
      'Dynamic CM'!$G$5,
      'Dynamic CM'!$G$5*(( $F$5*(1+$Q158) / $F$5 )^'Dynamic CM'!$H$5)
     )
   *Table70[[LGD]:[LGD]]
   *$F$5*(1+$Q158)
 )</f>
        <v>-789.10340218171268</v>
      </c>
      <c r="U158" s="99" cm="1">
        <f t="array" ref="U158">($F$6*(1+$Q158)*'User Segmentation'!$I$49)
- Table70[[Fixed Cost]:[Fixed Cost]]
- (Table70[[Funding Rate]:[Funding Rate]]
   *Table70[[Tenure (in months)]:[Tenure (in months)]]
   *$F$6*(1+$Q158)/12)
- (
   IF($Q158&lt;0,
      'Dynamic CM'!$G$6,
      'Dynamic CM'!$G$6*(( $F$6*(1+$Q158) / $F$6)^'Dynamic CM'!$H$6)
     )
   *Table70[[LGD]:[LGD]]
   *$F$6*(1+$Q158)
 )</f>
        <v>-412.26984612781234</v>
      </c>
    </row>
    <row r="159" spans="17:21" x14ac:dyDescent="0.2">
      <c r="Q159" s="64">
        <v>14.1</v>
      </c>
      <c r="R159" s="99" cm="1">
        <f t="array" ref="R159">($F$3*(1+$Q159)*'User Segmentation'!$I$49)
- Table70[[Fixed Cost]:[Fixed Cost]]
- (Table70[[Funding Rate]:[Funding Rate]]
   *Table70[[Tenure (in months)]:[Tenure (in months)]]
   *$F$3*(1+$Q159)/12)
- (
   IF($Q159&lt;0,
      'Dynamic CM'!$G$3,
      'Dynamic CM'!$G$3*(( $F$3*(1+$Q159) / $F$3 )^'Dynamic CM'!$H$3)
     )
   *Table70[[LGD]:[LGD]]
   *$F$3*(1+$Q159)
 )</f>
        <v>-3650.3104595418831</v>
      </c>
      <c r="S159" s="99" cm="1">
        <f t="array" ref="S159">($F$4*(1+$Q159)*'User Segmentation'!$I$49)
- Table70[[Fixed Cost]:[Fixed Cost]]
- (Table70[[Funding Rate]:[Funding Rate]]
   *Table70[[Tenure (in months)]:[Tenure (in months)]]
   *$F$4*(1+$Q159)/12)
- (
   IF($Q159&lt;0,
      'Dynamic CM'!$G$4,
      'Dynamic CM'!$G$4*(( $F$4*(1+$Q159) / $F$4 )^'Dynamic CM'!$H$4)
     )
   *Table70[[LGD]:[LGD]]
   *$F$4*(1+$Q159)
 )</f>
        <v>-600.6697341496814</v>
      </c>
      <c r="T159" s="99" cm="1">
        <f t="array" ref="T159">($F$5*(1+$Q159)*'User Segmentation'!$I$49)
- Table70[[Fixed Cost]:[Fixed Cost]]
- (Table70[[Funding Rate]:[Funding Rate]]
   *Table70[[Tenure (in months)]:[Tenure (in months)]]
   *$F$5*(1+$Q159)/12)
- (
   IF($Q159&lt;0,
      'Dynamic CM'!$G$5,
      'Dynamic CM'!$G$5*(( $F$5*(1+$Q159) / $F$5 )^'Dynamic CM'!$H$5)
     )
   *Table70[[LGD]:[LGD]]
   *$F$5*(1+$Q159)
 )</f>
        <v>-803.03226204032626</v>
      </c>
      <c r="U159" s="99" cm="1">
        <f t="array" ref="U159">($F$6*(1+$Q159)*'User Segmentation'!$I$49)
- Table70[[Fixed Cost]:[Fixed Cost]]
- (Table70[[Funding Rate]:[Funding Rate]]
   *Table70[[Tenure (in months)]:[Tenure (in months)]]
   *$F$6*(1+$Q159)/12)
- (
   IF($Q159&lt;0,
      'Dynamic CM'!$G$6,
      'Dynamic CM'!$G$6*(( $F$6*(1+$Q159) / $F$6)^'Dynamic CM'!$H$6)
     )
   *Table70[[LGD]:[LGD]]
   *$F$6*(1+$Q159)
 )</f>
        <v>-419.17927808920251</v>
      </c>
    </row>
    <row r="160" spans="17:21" x14ac:dyDescent="0.2">
      <c r="Q160" s="64">
        <v>14.2</v>
      </c>
      <c r="R160" s="99" cm="1">
        <f t="array" ref="R160">($F$3*(1+$Q160)*'User Segmentation'!$I$49)
- Table70[[Fixed Cost]:[Fixed Cost]]
- (Table70[[Funding Rate]:[Funding Rate]]
   *Table70[[Tenure (in months)]:[Tenure (in months)]]
   *$F$3*(1+$Q160)/12)
- (
   IF($Q160&lt;0,
      'Dynamic CM'!$G$3,
      'Dynamic CM'!$G$3*(( $F$3*(1+$Q160) / $F$3 )^'Dynamic CM'!$H$3)
     )
   *Table70[[LGD]:[LGD]]
   *$F$3*(1+$Q160)
 )</f>
        <v>-3720.9169235882391</v>
      </c>
      <c r="S160" s="99" cm="1">
        <f t="array" ref="S160">($F$4*(1+$Q160)*'User Segmentation'!$I$49)
- Table70[[Fixed Cost]:[Fixed Cost]]
- (Table70[[Funding Rate]:[Funding Rate]]
   *Table70[[Tenure (in months)]:[Tenure (in months)]]
   *$F$4*(1+$Q160)/12)
- (
   IF($Q160&lt;0,
      'Dynamic CM'!$G$4,
      'Dynamic CM'!$G$4*(( $F$4*(1+$Q160) / $F$4 )^'Dynamic CM'!$H$4)
     )
   *Table70[[LGD]:[LGD]]
   *$F$4*(1+$Q160)
 )</f>
        <v>-610.71987670540648</v>
      </c>
      <c r="T160" s="99" cm="1">
        <f t="array" ref="T160">($F$5*(1+$Q160)*'User Segmentation'!$I$49)
- Table70[[Fixed Cost]:[Fixed Cost]]
- (Table70[[Funding Rate]:[Funding Rate]]
   *Table70[[Tenure (in months)]:[Tenure (in months)]]
   *$F$5*(1+$Q160)/12)
- (
   IF($Q160&lt;0,
      'Dynamic CM'!$G$5,
      'Dynamic CM'!$G$5*(( $F$5*(1+$Q160) / $F$5 )^'Dynamic CM'!$H$5)
     )
   *Table70[[LGD]:[LGD]]
   *$F$5*(1+$Q160)
 )</f>
        <v>-817.08031022132616</v>
      </c>
      <c r="U160" s="99" cm="1">
        <f t="array" ref="U160">($F$6*(1+$Q160)*'User Segmentation'!$I$49)
- Table70[[Fixed Cost]:[Fixed Cost]]
- (Table70[[Funding Rate]:[Funding Rate]]
   *Table70[[Tenure (in months)]:[Tenure (in months)]]
   *$F$6*(1+$Q160)/12)
- (
   IF($Q160&lt;0,
      'Dynamic CM'!$G$6,
      'Dynamic CM'!$G$6*(( $F$6*(1+$Q160) / $F$6)^'Dynamic CM'!$H$6)
     )
   *Table70[[LGD]:[LGD]]
   *$F$6*(1+$Q160)
 )</f>
        <v>-426.15301560374309</v>
      </c>
    </row>
    <row r="161" spans="17:21" x14ac:dyDescent="0.2">
      <c r="Q161" s="64">
        <v>14.3</v>
      </c>
      <c r="R161" s="99" cm="1">
        <f t="array" ref="R161">($F$3*(1+$Q161)*'User Segmentation'!$I$49)
- Table70[[Fixed Cost]:[Fixed Cost]]
- (Table70[[Funding Rate]:[Funding Rate]]
   *Table70[[Tenure (in months)]:[Tenure (in months)]]
   *$F$3*(1+$Q161)/12)
- (
   IF($Q161&lt;0,
      'Dynamic CM'!$G$3,
      'Dynamic CM'!$G$3*(( $F$3*(1+$Q161) / $F$3 )^'Dynamic CM'!$H$3)
     )
   *Table70[[LGD]:[LGD]]
   *$F$3*(1+$Q161)
 )</f>
        <v>-3792.4091821538705</v>
      </c>
      <c r="S161" s="99" cm="1">
        <f t="array" ref="S161">($F$4*(1+$Q161)*'User Segmentation'!$I$49)
- Table70[[Fixed Cost]:[Fixed Cost]]
- (Table70[[Funding Rate]:[Funding Rate]]
   *Table70[[Tenure (in months)]:[Tenure (in months)]]
   *$F$4*(1+$Q161)/12)
- (
   IF($Q161&lt;0,
      'Dynamic CM'!$G$4,
      'Dynamic CM'!$G$4*(( $F$4*(1+$Q161) / $F$4 )^'Dynamic CM'!$H$4)
     )
   *Table70[[LGD]:[LGD]]
   *$F$4*(1+$Q161)
 )</f>
        <v>-620.86310146358733</v>
      </c>
      <c r="T161" s="99" cm="1">
        <f t="array" ref="T161">($F$5*(1+$Q161)*'User Segmentation'!$I$49)
- Table70[[Fixed Cost]:[Fixed Cost]]
- (Table70[[Funding Rate]:[Funding Rate]]
   *Table70[[Tenure (in months)]:[Tenure (in months)]]
   *$F$5*(1+$Q161)/12)
- (
   IF($Q161&lt;0,
      'Dynamic CM'!$G$5,
      'Dynamic CM'!$G$5*(( $F$5*(1+$Q161) / $F$5 )^'Dynamic CM'!$H$5)
     )
   *Table70[[LGD]:[LGD]]
   *$F$5*(1+$Q161)
 )</f>
        <v>-831.2476025956197</v>
      </c>
      <c r="U161" s="99" cm="1">
        <f t="array" ref="U161">($F$6*(1+$Q161)*'User Segmentation'!$I$49)
- Table70[[Fixed Cost]:[Fixed Cost]]
- (Table70[[Funding Rate]:[Funding Rate]]
   *Table70[[Tenure (in months)]:[Tenure (in months)]]
   *$F$6*(1+$Q161)/12)
- (
   IF($Q161&lt;0,
      'Dynamic CM'!$G$6,
      'Dynamic CM'!$G$6*(( $F$6*(1+$Q161) / $F$6)^'Dynamic CM'!$H$6)
     )
   *Table70[[LGD]:[LGD]]
   *$F$6*(1+$Q161)
 )</f>
        <v>-433.19119464306044</v>
      </c>
    </row>
    <row r="162" spans="17:21" x14ac:dyDescent="0.2">
      <c r="Q162" s="64">
        <v>14.4</v>
      </c>
      <c r="R162" s="99" cm="1">
        <f t="array" ref="R162">($F$3*(1+$Q162)*'User Segmentation'!$I$49)
- Table70[[Fixed Cost]:[Fixed Cost]]
- (Table70[[Funding Rate]:[Funding Rate]]
   *Table70[[Tenure (in months)]:[Tenure (in months)]]
   *$F$3*(1+$Q162)/12)
- (
   IF($Q162&lt;0,
      'Dynamic CM'!$G$3,
      'Dynamic CM'!$G$3*(( $F$3*(1+$Q162) / $F$3 )^'Dynamic CM'!$H$3)
     )
   *Table70[[LGD]:[LGD]]
   *$F$3*(1+$Q162)
 )</f>
        <v>-3864.7924199307131</v>
      </c>
      <c r="S162" s="99" cm="1">
        <f t="array" ref="S162">($F$4*(1+$Q162)*'User Segmentation'!$I$49)
- Table70[[Fixed Cost]:[Fixed Cost]]
- (Table70[[Funding Rate]:[Funding Rate]]
   *Table70[[Tenure (in months)]:[Tenure (in months)]]
   *$F$4*(1+$Q162)/12)
- (
   IF($Q162&lt;0,
      'Dynamic CM'!$G$4,
      'Dynamic CM'!$G$4*(( $F$4*(1+$Q162) / $F$4 )^'Dynamic CM'!$H$4)
     )
   *Table70[[LGD]:[LGD]]
   *$F$4*(1+$Q162)
 )</f>
        <v>-631.09960395097858</v>
      </c>
      <c r="T162" s="99" cm="1">
        <f t="array" ref="T162">($F$5*(1+$Q162)*'User Segmentation'!$I$49)
- Table70[[Fixed Cost]:[Fixed Cost]]
- (Table70[[Funding Rate]:[Funding Rate]]
   *Table70[[Tenure (in months)]:[Tenure (in months)]]
   *$F$5*(1+$Q162)/12)
- (
   IF($Q162&lt;0,
      'Dynamic CM'!$G$5,
      'Dynamic CM'!$G$5*(( $F$5*(1+$Q162) / $F$5 )^'Dynamic CM'!$H$5)
     )
   *Table70[[LGD]:[LGD]]
   *$F$5*(1+$Q162)
 )</f>
        <v>-845.53419469366838</v>
      </c>
      <c r="U162" s="99" cm="1">
        <f t="array" ref="U162">($F$6*(1+$Q162)*'User Segmentation'!$I$49)
- Table70[[Fixed Cost]:[Fixed Cost]]
- (Table70[[Funding Rate]:[Funding Rate]]
   *Table70[[Tenure (in months)]:[Tenure (in months)]]
   *$F$6*(1+$Q162)/12)
- (
   IF($Q162&lt;0,
      'Dynamic CM'!$G$6,
      'Dynamic CM'!$G$6*(( $F$6*(1+$Q162) / $F$6)^'Dynamic CM'!$H$6)
     )
   *Table70[[LGD]:[LGD]]
   *$F$6*(1+$Q162)
 )</f>
        <v>-440.29395057183132</v>
      </c>
    </row>
    <row r="163" spans="17:21" x14ac:dyDescent="0.2">
      <c r="Q163" s="64">
        <v>14.5</v>
      </c>
      <c r="R163" s="99" cm="1">
        <f t="array" ref="R163">($F$3*(1+$Q163)*'User Segmentation'!$I$49)
- Table70[[Fixed Cost]:[Fixed Cost]]
- (Table70[[Funding Rate]:[Funding Rate]]
   *Table70[[Tenure (in months)]:[Tenure (in months)]]
   *$F$3*(1+$Q163)/12)
- (
   IF($Q163&lt;0,
      'Dynamic CM'!$G$3,
      'Dynamic CM'!$G$3*(( $F$3*(1+$Q163) / $F$3 )^'Dynamic CM'!$H$3)
     )
   *Table70[[LGD]:[LGD]]
   *$F$3*(1+$Q163)
 )</f>
        <v>-3938.0718178844459</v>
      </c>
      <c r="S163" s="99" cm="1">
        <f t="array" ref="S163">($F$4*(1+$Q163)*'User Segmentation'!$I$49)
- Table70[[Fixed Cost]:[Fixed Cost]]
- (Table70[[Funding Rate]:[Funding Rate]]
   *Table70[[Tenure (in months)]:[Tenure (in months)]]
   *$F$4*(1+$Q163)/12)
- (
   IF($Q163&lt;0,
      'Dynamic CM'!$G$4,
      'Dynamic CM'!$G$4*(( $F$4*(1+$Q163) / $F$4 )^'Dynamic CM'!$H$4)
     )
   *Table70[[LGD]:[LGD]]
   *$F$4*(1+$Q163)
 )</f>
        <v>-641.42957882723852</v>
      </c>
      <c r="T163" s="99" cm="1">
        <f t="array" ref="T163">($F$5*(1+$Q163)*'User Segmentation'!$I$49)
- Table70[[Fixed Cost]:[Fixed Cost]]
- (Table70[[Funding Rate]:[Funding Rate]]
   *Table70[[Tenure (in months)]:[Tenure (in months)]]
   *$F$5*(1+$Q163)/12)
- (
   IF($Q163&lt;0,
      'Dynamic CM'!$G$5,
      'Dynamic CM'!$G$5*(( $F$5*(1+$Q163) / $F$5 )^'Dynamic CM'!$H$5)
     )
   *Table70[[LGD]:[LGD]]
   *$F$5*(1+$Q163)
 )</f>
        <v>-859.94014170977346</v>
      </c>
      <c r="U163" s="99" cm="1">
        <f t="array" ref="U163">($F$6*(1+$Q163)*'User Segmentation'!$I$49)
- Table70[[Fixed Cost]:[Fixed Cost]]
- (Table70[[Funding Rate]:[Funding Rate]]
   *Table70[[Tenure (in months)]:[Tenure (in months)]]
   *$F$6*(1+$Q163)/12)
- (
   IF($Q163&lt;0,
      'Dynamic CM'!$G$6,
      'Dynamic CM'!$G$6*(( $F$6*(1+$Q163) / $F$6)^'Dynamic CM'!$H$6)
     )
   *Table70[[LGD]:[LGD]]
   *$F$6*(1+$Q163)
 )</f>
        <v>-447.4614181544344</v>
      </c>
    </row>
    <row r="164" spans="17:21" x14ac:dyDescent="0.2">
      <c r="Q164" s="64">
        <v>14.6</v>
      </c>
      <c r="R164" s="99" cm="1">
        <f t="array" ref="R164">($F$3*(1+$Q164)*'User Segmentation'!$I$49)
- Table70[[Fixed Cost]:[Fixed Cost]]
- (Table70[[Funding Rate]:[Funding Rate]]
   *Table70[[Tenure (in months)]:[Tenure (in months)]]
   *$F$3*(1+$Q164)/12)
- (
   IF($Q164&lt;0,
      'Dynamic CM'!$G$3,
      'Dynamic CM'!$G$3*(( $F$3*(1+$Q164) / $F$3 )^'Dynamic CM'!$H$3)
     )
   *Table70[[LGD]:[LGD]]
   *$F$3*(1+$Q164)
 )</f>
        <v>-4012.2525532813211</v>
      </c>
      <c r="S164" s="99" cm="1">
        <f t="array" ref="S164">($F$4*(1+$Q164)*'User Segmentation'!$I$49)
- Table70[[Fixed Cost]:[Fixed Cost]]
- (Table70[[Funding Rate]:[Funding Rate]]
   *Table70[[Tenure (in months)]:[Tenure (in months)]]
   *$F$4*(1+$Q164)/12)
- (
   IF($Q164&lt;0,
      'Dynamic CM'!$G$4,
      'Dynamic CM'!$G$4*(( $F$4*(1+$Q164) / $F$4 )^'Dynamic CM'!$H$4)
     )
   *Table70[[LGD]:[LGD]]
   *$F$4*(1+$Q164)
 )</f>
        <v>-651.85321989436591</v>
      </c>
      <c r="T164" s="99" cm="1">
        <f t="array" ref="T164">($F$5*(1+$Q164)*'User Segmentation'!$I$49)
- Table70[[Fixed Cost]:[Fixed Cost]]
- (Table70[[Funding Rate]:[Funding Rate]]
   *Table70[[Tenure (in months)]:[Tenure (in months)]]
   *$F$5*(1+$Q164)/12)
- (
   IF($Q164&lt;0,
      'Dynamic CM'!$G$5,
      'Dynamic CM'!$G$5*(( $F$5*(1+$Q164) / $F$5 )^'Dynamic CM'!$H$5)
     )
   *Table70[[LGD]:[LGD]]
   *$F$5*(1+$Q164)
 )</f>
        <v>-874.46549850627287</v>
      </c>
      <c r="U164" s="99" cm="1">
        <f t="array" ref="U164">($F$6*(1+$Q164)*'User Segmentation'!$I$49)
- Table70[[Fixed Cost]:[Fixed Cost]]
- (Table70[[Funding Rate]:[Funding Rate]]
   *Table70[[Tenure (in months)]:[Tenure (in months)]]
   *$F$6*(1+$Q164)/12)
- (
   IF($Q164&lt;0,
      'Dynamic CM'!$G$6,
      'Dynamic CM'!$G$6*(( $F$6*(1+$Q164) / $F$6)^'Dynamic CM'!$H$6)
     )
   *Table70[[LGD]:[LGD]]
   *$F$6*(1+$Q164)
 )</f>
        <v>-454.69373156148401</v>
      </c>
    </row>
    <row r="165" spans="17:21" x14ac:dyDescent="0.2">
      <c r="Q165" s="64">
        <v>14.7</v>
      </c>
      <c r="R165" s="99" cm="1">
        <f t="array" ref="R165">($F$3*(1+$Q165)*'User Segmentation'!$I$49)
- Table70[[Fixed Cost]:[Fixed Cost]]
- (Table70[[Funding Rate]:[Funding Rate]]
   *Table70[[Tenure (in months)]:[Tenure (in months)]]
   *$F$3*(1+$Q165)/12)
- (
   IF($Q165&lt;0,
      'Dynamic CM'!$G$3,
      'Dynamic CM'!$G$3*(( $F$3*(1+$Q165) / $F$3 )^'Dynamic CM'!$H$3)
     )
   *Table70[[LGD]:[LGD]]
   *$F$3*(1+$Q165)
 )</f>
        <v>-4087.3397997146512</v>
      </c>
      <c r="S165" s="99" cm="1">
        <f t="array" ref="S165">($F$4*(1+$Q165)*'User Segmentation'!$I$49)
- Table70[[Fixed Cost]:[Fixed Cost]]
- (Table70[[Funding Rate]:[Funding Rate]]
   *Table70[[Tenure (in months)]:[Tenure (in months)]]
   *$F$4*(1+$Q165)/12)
- (
   IF($Q165&lt;0,
      'Dynamic CM'!$G$4,
      'Dynamic CM'!$G$4*(( $F$4*(1+$Q165) / $F$4 )^'Dynamic CM'!$H$4)
     )
   *Table70[[LGD]:[LGD]]
   *$F$4*(1+$Q165)
 )</f>
        <v>-662.3707201059749</v>
      </c>
      <c r="T165" s="99" cm="1">
        <f t="array" ref="T165">($F$5*(1+$Q165)*'User Segmentation'!$I$49)
- Table70[[Fixed Cost]:[Fixed Cost]]
- (Table70[[Funding Rate]:[Funding Rate]]
   *Table70[[Tenure (in months)]:[Tenure (in months)]]
   *$F$5*(1+$Q165)/12)
- (
   IF($Q165&lt;0,
      'Dynamic CM'!$G$5,
      'Dynamic CM'!$G$5*(( $F$5*(1+$Q165) / $F$5 )^'Dynamic CM'!$H$5)
     )
   *Table70[[LGD]:[LGD]]
   *$F$5*(1+$Q165)
 )</f>
        <v>-889.11031961766116</v>
      </c>
      <c r="U165" s="99" cm="1">
        <f t="array" ref="U165">($F$6*(1+$Q165)*'User Segmentation'!$I$49)
- Table70[[Fixed Cost]:[Fixed Cost]]
- (Table70[[Funding Rate]:[Funding Rate]]
   *Table70[[Tenure (in months)]:[Tenure (in months)]]
   *$F$6*(1+$Q165)/12)
- (
   IF($Q165&lt;0,
      'Dynamic CM'!$G$6,
      'Dynamic CM'!$G$6*(( $F$6*(1+$Q165) / $F$6)^'Dynamic CM'!$H$6)
     )
   *Table70[[LGD]:[LGD]]
   *$F$6*(1+$Q165)
 )</f>
        <v>-461.99102437625191</v>
      </c>
    </row>
    <row r="166" spans="17:21" x14ac:dyDescent="0.2">
      <c r="Q166" s="64">
        <v>14.8</v>
      </c>
      <c r="R166" s="99" cm="1">
        <f t="array" ref="R166">($F$3*(1+$Q166)*'User Segmentation'!$I$49)
- Table70[[Fixed Cost]:[Fixed Cost]]
- (Table70[[Funding Rate]:[Funding Rate]]
   *Table70[[Tenure (in months)]:[Tenure (in months)]]
   *$F$3*(1+$Q166)/12)
- (
   IF($Q166&lt;0,
      'Dynamic CM'!$G$3,
      'Dynamic CM'!$G$3*(( $F$3*(1+$Q166) / $F$3 )^'Dynamic CM'!$H$3)
     )
   *Table70[[LGD]:[LGD]]
   *$F$3*(1+$Q166)
 )</f>
        <v>-4163.3387271309339</v>
      </c>
      <c r="S166" s="99" cm="1">
        <f t="array" ref="S166">($F$4*(1+$Q166)*'User Segmentation'!$I$49)
- Table70[[Fixed Cost]:[Fixed Cost]]
- (Table70[[Funding Rate]:[Funding Rate]]
   *Table70[[Tenure (in months)]:[Tenure (in months)]]
   *$F$4*(1+$Q166)/12)
- (
   IF($Q166&lt;0,
      'Dynamic CM'!$G$4,
      'Dynamic CM'!$G$4*(( $F$4*(1+$Q166) / $F$4 )^'Dynamic CM'!$H$4)
     )
   *Table70[[LGD]:[LGD]]
   *$F$4*(1+$Q166)
 )</f>
        <v>-672.9822715764144</v>
      </c>
      <c r="T166" s="99" cm="1">
        <f t="array" ref="T166">($F$5*(1+$Q166)*'User Segmentation'!$I$49)
- Table70[[Fixed Cost]:[Fixed Cost]]
- (Table70[[Funding Rate]:[Funding Rate]]
   *Table70[[Tenure (in months)]:[Tenure (in months)]]
   *$F$5*(1+$Q166)/12)
- (
   IF($Q166&lt;0,
      'Dynamic CM'!$G$5,
      'Dynamic CM'!$G$5*(( $F$5*(1+$Q166) / $F$5 )^'Dynamic CM'!$H$5)
     )
   *Table70[[LGD]:[LGD]]
   *$F$5*(1+$Q166)
 )</f>
        <v>-903.8746592546288</v>
      </c>
      <c r="U166" s="99" cm="1">
        <f t="array" ref="U166">($F$6*(1+$Q166)*'User Segmentation'!$I$49)
- Table70[[Fixed Cost]:[Fixed Cost]]
- (Table70[[Funding Rate]:[Funding Rate]]
   *Table70[[Tenure (in months)]:[Tenure (in months)]]
   *$F$6*(1+$Q166)/12)
- (
   IF($Q166&lt;0,
      'Dynamic CM'!$G$6,
      'Dynamic CM'!$G$6*(( $F$6*(1+$Q166) / $F$6)^'Dynamic CM'!$H$6)
     )
   *Table70[[LGD]:[LGD]]
   *$F$6*(1+$Q166)
 )</f>
        <v>-469.35342960097921</v>
      </c>
    </row>
    <row r="167" spans="17:21" x14ac:dyDescent="0.2">
      <c r="Q167" s="64">
        <v>14.9</v>
      </c>
      <c r="R167" s="99" cm="1">
        <f t="array" ref="R167">($F$3*(1+$Q167)*'User Segmentation'!$I$49)
- Table70[[Fixed Cost]:[Fixed Cost]]
- (Table70[[Funding Rate]:[Funding Rate]]
   *Table70[[Tenure (in months)]:[Tenure (in months)]]
   *$F$3*(1+$Q167)/12)
- (
   IF($Q167&lt;0,
      'Dynamic CM'!$G$3,
      'Dynamic CM'!$G$3*(( $F$3*(1+$Q167) / $F$3 )^'Dynamic CM'!$H$3)
     )
   *Table70[[LGD]:[LGD]]
   *$F$3*(1+$Q167)
 )</f>
        <v>-4240.2545018556211</v>
      </c>
      <c r="S167" s="99" cm="1">
        <f t="array" ref="S167">($F$4*(1+$Q167)*'User Segmentation'!$I$49)
- Table70[[Fixed Cost]:[Fixed Cost]]
- (Table70[[Funding Rate]:[Funding Rate]]
   *Table70[[Tenure (in months)]:[Tenure (in months)]]
   *$F$4*(1+$Q167)/12)
- (
   IF($Q167&lt;0,
      'Dynamic CM'!$G$4,
      'Dynamic CM'!$G$4*(( $F$4*(1+$Q167) / $F$4 )^'Dynamic CM'!$H$4)
     )
   *Table70[[LGD]:[LGD]]
   *$F$4*(1+$Q167)
 )</f>
        <v>-683.68806558972699</v>
      </c>
      <c r="T167" s="99" cm="1">
        <f t="array" ref="T167">($F$5*(1+$Q167)*'User Segmentation'!$I$49)
- Table70[[Fixed Cost]:[Fixed Cost]]
- (Table70[[Funding Rate]:[Funding Rate]]
   *Table70[[Tenure (in months)]:[Tenure (in months)]]
   *$F$5*(1+$Q167)/12)
- (
   IF($Q167&lt;0,
      'Dynamic CM'!$G$5,
      'Dynamic CM'!$G$5*(( $F$5*(1+$Q167) / $F$5 )^'Dynamic CM'!$H$5)
     )
   *Table70[[LGD]:[LGD]]
   *$F$5*(1+$Q167)
 )</f>
        <v>-918.75857130803274</v>
      </c>
      <c r="U167" s="99" cm="1">
        <f t="array" ref="U167">($F$6*(1+$Q167)*'User Segmentation'!$I$49)
- Table70[[Fixed Cost]:[Fixed Cost]]
- (Table70[[Funding Rate]:[Funding Rate]]
   *Table70[[Tenure (in months)]:[Tenure (in months)]]
   *$F$6*(1+$Q167)/12)
- (
   IF($Q167&lt;0,
      'Dynamic CM'!$G$6,
      'Dynamic CM'!$G$6*(( $F$6*(1+$Q167) / $F$6)^'Dynamic CM'!$H$6)
     )
   *Table70[[LGD]:[LGD]]
   *$F$6*(1+$Q167)
 )</f>
        <v>-476.78107966308016</v>
      </c>
    </row>
    <row r="168" spans="17:21" x14ac:dyDescent="0.2">
      <c r="Q168" s="64">
        <v>15</v>
      </c>
      <c r="R168" s="99" cm="1">
        <f t="array" ref="R168">($F$3*(1+$Q168)*'User Segmentation'!$I$49)
- Table70[[Fixed Cost]:[Fixed Cost]]
- (Table70[[Funding Rate]:[Funding Rate]]
   *Table70[[Tenure (in months)]:[Tenure (in months)]]
   *$F$3*(1+$Q168)/12)
- (
   IF($Q168&lt;0,
      'Dynamic CM'!$G$3,
      'Dynamic CM'!$G$3*(( $F$3*(1+$Q168) / $F$3 )^'Dynamic CM'!$H$3)
     )
   *Table70[[LGD]:[LGD]]
   *$F$3*(1+$Q168)
 )</f>
        <v>-4318.0922866185574</v>
      </c>
      <c r="S168" s="99" cm="1">
        <f t="array" ref="S168">($F$4*(1+$Q168)*'User Segmentation'!$I$49)
- Table70[[Fixed Cost]:[Fixed Cost]]
- (Table70[[Funding Rate]:[Funding Rate]]
   *Table70[[Tenure (in months)]:[Tenure (in months)]]
   *$F$4*(1+$Q168)/12)
- (
   IF($Q168&lt;0,
      'Dynamic CM'!$G$4,
      'Dynamic CM'!$G$4*(( $F$4*(1+$Q168) / $F$4 )^'Dynamic CM'!$H$4)
     )
   *Table70[[LGD]:[LGD]]
   *$F$4*(1+$Q168)
 )</f>
        <v>-694.48829260845969</v>
      </c>
      <c r="T168" s="99" cm="1">
        <f t="array" ref="T168">($F$5*(1+$Q168)*'User Segmentation'!$I$49)
- Table70[[Fixed Cost]:[Fixed Cost]]
- (Table70[[Funding Rate]:[Funding Rate]]
   *Table70[[Tenure (in months)]:[Tenure (in months)]]
   *$F$5*(1+$Q168)/12)
- (
   IF($Q168&lt;0,
      'Dynamic CM'!$G$5,
      'Dynamic CM'!$G$5*(( $F$5*(1+$Q168) / $F$5 )^'Dynamic CM'!$H$5)
     )
   *Table70[[LGD]:[LGD]]
   *$F$5*(1+$Q168)
 )</f>
        <v>-933.7621093527855</v>
      </c>
      <c r="U168" s="99" cm="1">
        <f t="array" ref="U168">($F$6*(1+$Q168)*'User Segmentation'!$I$49)
- Table70[[Fixed Cost]:[Fixed Cost]]
- (Table70[[Funding Rate]:[Funding Rate]]
   *Table70[[Tenure (in months)]:[Tenure (in months)]]
   *$F$6*(1+$Q168)/12)
- (
   IF($Q168&lt;0,
      'Dynamic CM'!$G$6,
      'Dynamic CM'!$G$6*(( $F$6*(1+$Q168) / $F$6)^'Dynamic CM'!$H$6)
     )
   *Table70[[LGD]:[LGD]]
   *$F$6*(1+$Q168)
 )</f>
        <v>-484.2741064212413</v>
      </c>
    </row>
  </sheetData>
  <sheetProtection algorithmName="SHA-512" hashValue="dIZVPLyCPNGBn6V45CIrm2TD57RQBTL0BJKu3OevEDzJkzYauVAsKgIkzM39CfHrk1ChTUKypjrXiRhM0GSYXQ==" saltValue="9HumXjMo4tBNqDyHr9RD+w==" spinCount="100000" sheet="1" objects="1" scenarios="1"/>
  <phoneticPr fontId="10" type="noConversion"/>
  <conditionalFormatting sqref="B9:B32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{5D1C4129-6DF5-C146-A668-82684ED4FDB6}</x14:id>
        </ext>
      </extLst>
    </cfRule>
  </conditionalFormatting>
  <conditionalFormatting sqref="C9:C3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{943D0E27-87C1-1748-9A0B-A26B40BFC4A4}</x14:id>
        </ext>
      </extLst>
    </cfRule>
  </conditionalFormatting>
  <conditionalFormatting sqref="D9:D3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{7BA854FF-0ED0-464F-914B-9E0EFEDC2623}</x14:id>
        </ext>
      </extLst>
    </cfRule>
  </conditionalFormatting>
  <conditionalFormatting sqref="E9:E3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{27868318-5E96-9A4C-AFE8-3A401188B468}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C4129-6DF5-C146-A668-82684ED4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B9:B32</xm:sqref>
        </x14:conditionalFormatting>
        <x14:conditionalFormatting xmlns:xm="http://schemas.microsoft.com/office/excel/2006/main">
          <x14:cfRule type="dataBar" id="{943D0E27-87C1-1748-9A0B-A26B40BFC4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C9:C32</xm:sqref>
        </x14:conditionalFormatting>
        <x14:conditionalFormatting xmlns:xm="http://schemas.microsoft.com/office/excel/2006/main">
          <x14:cfRule type="dataBar" id="{7BA854FF-0ED0-464F-914B-9E0EFEDC26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D9:D32</xm:sqref>
        </x14:conditionalFormatting>
        <x14:conditionalFormatting xmlns:xm="http://schemas.microsoft.com/office/excel/2006/main">
          <x14:cfRule type="dataBar" id="{27868318-5E96-9A4C-AFE8-3A401188B4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E9:E32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DFDDC-3FE7-C44A-B8A0-013A0374403D}">
  <sheetPr codeName="Sheet8">
    <tabColor theme="1"/>
  </sheetPr>
  <dimension ref="A1:N38"/>
  <sheetViews>
    <sheetView zoomScale="87" workbookViewId="0">
      <selection activeCell="A3" sqref="A3"/>
    </sheetView>
  </sheetViews>
  <sheetFormatPr baseColWidth="10" defaultRowHeight="16" x14ac:dyDescent="0.2"/>
  <cols>
    <col min="1" max="1" width="25.5" bestFit="1" customWidth="1"/>
    <col min="2" max="2" width="15.33203125" bestFit="1" customWidth="1"/>
    <col min="3" max="3" width="13.5" bestFit="1" customWidth="1"/>
    <col min="4" max="4" width="9.33203125" bestFit="1" customWidth="1"/>
    <col min="5" max="5" width="10.1640625" bestFit="1" customWidth="1"/>
    <col min="6" max="6" width="6.5" bestFit="1" customWidth="1"/>
    <col min="7" max="7" width="10.83203125" bestFit="1" customWidth="1"/>
    <col min="9" max="9" width="22.1640625" bestFit="1" customWidth="1"/>
    <col min="10" max="10" width="13.5" bestFit="1" customWidth="1"/>
    <col min="11" max="11" width="12.1640625" bestFit="1" customWidth="1"/>
    <col min="12" max="12" width="12.1640625" hidden="1" customWidth="1"/>
    <col min="13" max="14" width="12.1640625" bestFit="1" customWidth="1"/>
  </cols>
  <sheetData>
    <row r="1" spans="1:14" x14ac:dyDescent="0.2">
      <c r="A1" t="s">
        <v>109</v>
      </c>
      <c r="B1" s="61" t="s">
        <v>38</v>
      </c>
    </row>
    <row r="2" spans="1:14" x14ac:dyDescent="0.2">
      <c r="A2" t="s">
        <v>101</v>
      </c>
      <c r="B2" s="61" cm="1">
        <f t="array" ref="B2">Table48[Portfolio Default Rate]</f>
        <v>1.8198618742484112E-2</v>
      </c>
      <c r="L2" s="10">
        <v>-400</v>
      </c>
    </row>
    <row r="3" spans="1:14" x14ac:dyDescent="0.2">
      <c r="A3" t="s">
        <v>102</v>
      </c>
      <c r="B3" s="10">
        <f>SUM(Table55[[Deep Subprime]:[Super Prime]])/SUM(Table4254[[Deep Subprime]:[Super Prime]])</f>
        <v>6.5153193494338986</v>
      </c>
      <c r="L3" s="10">
        <v>-375</v>
      </c>
    </row>
    <row r="4" spans="1:14" x14ac:dyDescent="0.2">
      <c r="A4" t="s">
        <v>106</v>
      </c>
      <c r="B4" s="106">
        <f>SUMPRODUCT(Table56[[Deep Subprime]:[Super Prime]],Table55[[Deep Subprime]:[Super Prime]])/SUM(Table55[[Deep Subprime]:[Super Prime]])</f>
        <v>144.15824378109292</v>
      </c>
      <c r="L4" s="10">
        <v>-350</v>
      </c>
    </row>
    <row r="5" spans="1:14" x14ac:dyDescent="0.2">
      <c r="A5" t="s">
        <v>107</v>
      </c>
      <c r="B5" s="19">
        <f>SUMPRODUCT(Table57[[Deep Subprime]:[Super Prime]],Table4254[[Deep Subprime]:[Super Prime]])/SUM(Table4254[[Deep Subprime]:[Super Prime]])</f>
        <v>46.961849754368181</v>
      </c>
      <c r="L5" s="10">
        <v>-325</v>
      </c>
    </row>
    <row r="6" spans="1:14" x14ac:dyDescent="0.2">
      <c r="A6" t="s">
        <v>108</v>
      </c>
      <c r="B6" s="99">
        <f>SUMPRODUCT(Table76[[Deep Subprime]:[Super Prime]],Table55[[Deep Subprime]:[Super Prime]])/SUM(Table55[[Deep Subprime]:[Super Prime]])</f>
        <v>0.80327810750110418</v>
      </c>
      <c r="L6" s="10">
        <v>-300</v>
      </c>
    </row>
    <row r="7" spans="1:14" x14ac:dyDescent="0.2">
      <c r="L7" s="10">
        <v>-275</v>
      </c>
    </row>
    <row r="8" spans="1:14" x14ac:dyDescent="0.2">
      <c r="L8" s="10">
        <v>-250</v>
      </c>
    </row>
    <row r="9" spans="1:14" x14ac:dyDescent="0.2">
      <c r="L9" s="10">
        <v>-225</v>
      </c>
    </row>
    <row r="10" spans="1:14" x14ac:dyDescent="0.2">
      <c r="C10" s="65"/>
      <c r="D10" s="65"/>
      <c r="E10" s="65"/>
      <c r="F10" s="65"/>
      <c r="G10" s="65"/>
      <c r="J10" s="10"/>
      <c r="K10" s="10"/>
      <c r="L10" s="10">
        <v>-200</v>
      </c>
      <c r="M10" s="10"/>
      <c r="N10" s="10"/>
    </row>
    <row r="11" spans="1:14" x14ac:dyDescent="0.2">
      <c r="C11" s="65"/>
      <c r="D11" s="65"/>
      <c r="E11" s="65"/>
      <c r="F11" s="65"/>
      <c r="G11" s="65"/>
      <c r="I11" s="61"/>
      <c r="J11" s="10"/>
      <c r="K11" s="10"/>
      <c r="L11" s="10">
        <v>-175</v>
      </c>
      <c r="M11" s="10"/>
      <c r="N11" s="10"/>
    </row>
    <row r="12" spans="1:14" x14ac:dyDescent="0.2">
      <c r="C12" s="65"/>
      <c r="D12" s="65"/>
      <c r="E12" s="65"/>
      <c r="F12" s="65"/>
      <c r="G12" s="65"/>
      <c r="J12" s="10"/>
      <c r="K12" s="10"/>
      <c r="L12" s="10">
        <v>-150</v>
      </c>
      <c r="M12" s="10"/>
      <c r="N12" s="10"/>
    </row>
    <row r="13" spans="1:14" x14ac:dyDescent="0.2">
      <c r="C13" s="65"/>
      <c r="D13" s="65"/>
      <c r="E13" s="65"/>
      <c r="F13" s="65"/>
      <c r="G13" s="65"/>
      <c r="J13" s="10"/>
      <c r="K13" s="10"/>
      <c r="L13" s="10">
        <v>-125</v>
      </c>
      <c r="M13" s="10"/>
      <c r="N13" s="10"/>
    </row>
    <row r="14" spans="1:14" x14ac:dyDescent="0.2">
      <c r="C14" s="65"/>
      <c r="D14" s="65"/>
      <c r="E14" s="65"/>
      <c r="F14" s="65"/>
      <c r="G14" s="65"/>
      <c r="J14" s="10"/>
      <c r="K14" s="10"/>
      <c r="L14" s="10">
        <v>-100</v>
      </c>
      <c r="M14" s="10"/>
      <c r="N14" s="10"/>
    </row>
    <row r="15" spans="1:14" x14ac:dyDescent="0.2">
      <c r="C15" s="65"/>
      <c r="D15" s="65"/>
      <c r="E15" s="65"/>
      <c r="F15" s="65"/>
      <c r="G15" s="65"/>
      <c r="J15" s="10"/>
      <c r="K15" s="10"/>
      <c r="L15" s="10">
        <v>-75</v>
      </c>
      <c r="M15" s="10"/>
      <c r="N15" s="10"/>
    </row>
    <row r="16" spans="1:14" x14ac:dyDescent="0.2">
      <c r="C16" s="65"/>
      <c r="D16" s="65"/>
      <c r="E16" s="65"/>
      <c r="F16" s="65"/>
      <c r="G16" s="65"/>
      <c r="J16" s="10"/>
      <c r="K16" s="10"/>
      <c r="L16" s="10">
        <v>-50</v>
      </c>
      <c r="M16" s="10"/>
      <c r="N16" s="10"/>
    </row>
    <row r="17" spans="3:14" x14ac:dyDescent="0.2">
      <c r="C17" s="65"/>
      <c r="D17" s="65"/>
      <c r="E17" s="65"/>
      <c r="F17" s="65"/>
      <c r="G17" s="65"/>
      <c r="J17" s="10"/>
      <c r="K17" s="10"/>
      <c r="L17" s="10">
        <v>-25</v>
      </c>
      <c r="M17" s="10"/>
      <c r="N17" s="10"/>
    </row>
    <row r="18" spans="3:14" x14ac:dyDescent="0.2">
      <c r="C18" s="65"/>
      <c r="D18" s="65"/>
      <c r="E18" s="65"/>
      <c r="F18" s="65"/>
      <c r="G18" s="65"/>
      <c r="J18" s="10"/>
      <c r="K18" s="10"/>
      <c r="L18" s="10">
        <v>0</v>
      </c>
      <c r="M18" s="10"/>
      <c r="N18" s="10"/>
    </row>
    <row r="19" spans="3:14" x14ac:dyDescent="0.2">
      <c r="C19" s="65"/>
      <c r="D19" s="65"/>
      <c r="E19" s="65"/>
      <c r="F19" s="65"/>
      <c r="G19" s="65"/>
      <c r="J19" s="10"/>
      <c r="K19" s="10"/>
      <c r="L19" s="10">
        <v>25</v>
      </c>
      <c r="M19" s="10"/>
      <c r="N19" s="10"/>
    </row>
    <row r="20" spans="3:14" x14ac:dyDescent="0.2">
      <c r="C20" s="65"/>
      <c r="D20" s="65"/>
      <c r="E20" s="65"/>
      <c r="F20" s="65"/>
      <c r="G20" s="65"/>
      <c r="J20" s="10"/>
      <c r="K20" s="10"/>
      <c r="L20" s="10">
        <v>50</v>
      </c>
      <c r="M20" s="10"/>
      <c r="N20" s="10"/>
    </row>
    <row r="21" spans="3:14" x14ac:dyDescent="0.2">
      <c r="C21" s="65"/>
      <c r="D21" s="65"/>
      <c r="E21" s="65"/>
      <c r="F21" s="65"/>
      <c r="G21" s="65"/>
      <c r="J21" s="10"/>
      <c r="K21" s="10"/>
      <c r="L21" s="10">
        <v>75</v>
      </c>
      <c r="M21" s="10"/>
      <c r="N21" s="10"/>
    </row>
    <row r="22" spans="3:14" x14ac:dyDescent="0.2">
      <c r="L22" s="10">
        <v>100</v>
      </c>
    </row>
    <row r="23" spans="3:14" x14ac:dyDescent="0.2">
      <c r="L23" s="10">
        <v>125</v>
      </c>
    </row>
    <row r="24" spans="3:14" x14ac:dyDescent="0.2">
      <c r="L24" s="10">
        <v>150</v>
      </c>
    </row>
    <row r="25" spans="3:14" x14ac:dyDescent="0.2">
      <c r="L25" s="10">
        <v>175</v>
      </c>
    </row>
    <row r="26" spans="3:14" x14ac:dyDescent="0.2">
      <c r="C26" s="65"/>
      <c r="D26" s="65"/>
      <c r="E26" s="65"/>
      <c r="F26" s="65"/>
      <c r="G26" s="65"/>
      <c r="J26" s="10"/>
      <c r="K26" s="10"/>
      <c r="L26" s="10">
        <v>200</v>
      </c>
      <c r="M26" s="10"/>
      <c r="N26" s="10"/>
    </row>
    <row r="27" spans="3:14" x14ac:dyDescent="0.2">
      <c r="C27" s="65"/>
      <c r="D27" s="65"/>
      <c r="E27" s="65"/>
      <c r="F27" s="65"/>
      <c r="G27" s="65"/>
      <c r="J27" s="10"/>
      <c r="K27" s="10"/>
      <c r="L27" s="10">
        <v>225</v>
      </c>
      <c r="M27" s="10"/>
      <c r="N27" s="10"/>
    </row>
    <row r="28" spans="3:14" x14ac:dyDescent="0.2">
      <c r="C28" s="65"/>
      <c r="D28" s="65"/>
      <c r="E28" s="65"/>
      <c r="F28" s="65"/>
      <c r="G28" s="65"/>
      <c r="J28" s="10"/>
      <c r="K28" s="10"/>
      <c r="L28" s="10">
        <v>250</v>
      </c>
      <c r="M28" s="10"/>
      <c r="N28" s="10"/>
    </row>
    <row r="29" spans="3:14" x14ac:dyDescent="0.2">
      <c r="C29" s="65"/>
      <c r="D29" s="65"/>
      <c r="E29" s="65"/>
      <c r="F29" s="65"/>
      <c r="G29" s="65"/>
      <c r="J29" s="10"/>
      <c r="K29" s="10"/>
      <c r="L29" s="10">
        <v>275</v>
      </c>
      <c r="M29" s="10"/>
      <c r="N29" s="10"/>
    </row>
    <row r="30" spans="3:14" x14ac:dyDescent="0.2">
      <c r="C30" s="65"/>
      <c r="D30" s="65"/>
      <c r="E30" s="65"/>
      <c r="F30" s="65"/>
      <c r="G30" s="65"/>
      <c r="J30" s="10"/>
      <c r="K30" s="10"/>
      <c r="L30" s="10">
        <v>300</v>
      </c>
      <c r="M30" s="10"/>
      <c r="N30" s="10"/>
    </row>
    <row r="31" spans="3:14" x14ac:dyDescent="0.2">
      <c r="C31" s="65"/>
      <c r="D31" s="65"/>
      <c r="E31" s="65"/>
      <c r="F31" s="65"/>
      <c r="G31" s="65"/>
      <c r="J31" s="10"/>
      <c r="K31" s="10"/>
      <c r="L31" s="10">
        <v>325</v>
      </c>
      <c r="M31" s="10"/>
      <c r="N31" s="10"/>
    </row>
    <row r="32" spans="3:14" x14ac:dyDescent="0.2">
      <c r="C32" s="65"/>
      <c r="D32" s="65"/>
      <c r="E32" s="65"/>
      <c r="F32" s="65"/>
      <c r="G32" s="65"/>
      <c r="J32" s="10"/>
      <c r="K32" s="10"/>
      <c r="L32" s="10">
        <v>350</v>
      </c>
      <c r="M32" s="10"/>
      <c r="N32" s="10"/>
    </row>
    <row r="33" spans="3:14" x14ac:dyDescent="0.2">
      <c r="C33" s="65"/>
      <c r="D33" s="65"/>
      <c r="E33" s="65"/>
      <c r="F33" s="65"/>
      <c r="G33" s="65"/>
      <c r="J33" s="10"/>
      <c r="K33" s="10"/>
      <c r="L33" s="10">
        <v>375</v>
      </c>
      <c r="M33" s="10"/>
      <c r="N33" s="10"/>
    </row>
    <row r="34" spans="3:14" x14ac:dyDescent="0.2">
      <c r="C34" s="65"/>
      <c r="D34" s="65"/>
      <c r="E34" s="65"/>
      <c r="F34" s="65"/>
      <c r="G34" s="65"/>
      <c r="J34" s="10"/>
      <c r="K34" s="10"/>
      <c r="L34" s="10">
        <v>400</v>
      </c>
      <c r="M34" s="10"/>
      <c r="N34" s="10"/>
    </row>
    <row r="35" spans="3:14" x14ac:dyDescent="0.2">
      <c r="C35" s="65"/>
      <c r="D35" s="65"/>
      <c r="E35" s="65"/>
      <c r="F35" s="65"/>
      <c r="G35" s="65"/>
      <c r="J35" s="10"/>
      <c r="K35" s="10"/>
      <c r="L35" s="10"/>
      <c r="M35" s="10"/>
      <c r="N35" s="10"/>
    </row>
    <row r="36" spans="3:14" x14ac:dyDescent="0.2">
      <c r="C36" s="65"/>
      <c r="D36" s="65"/>
      <c r="E36" s="65"/>
      <c r="F36" s="65"/>
      <c r="G36" s="65"/>
      <c r="J36" s="10"/>
      <c r="K36" s="10"/>
      <c r="L36" s="10"/>
      <c r="M36" s="10"/>
      <c r="N36" s="10"/>
    </row>
    <row r="37" spans="3:14" x14ac:dyDescent="0.2">
      <c r="C37" s="65"/>
      <c r="D37" s="65"/>
      <c r="E37" s="65"/>
      <c r="F37" s="65"/>
      <c r="G37" s="65"/>
      <c r="J37" s="10"/>
      <c r="K37" s="10"/>
      <c r="L37" s="10"/>
      <c r="M37" s="10"/>
      <c r="N37" s="10"/>
    </row>
    <row r="38" spans="3:14" x14ac:dyDescent="0.2">
      <c r="C38" s="65"/>
      <c r="D38" s="65"/>
      <c r="E38" s="65"/>
      <c r="F38" s="65"/>
      <c r="G38" s="65"/>
      <c r="L38" s="10"/>
    </row>
  </sheetData>
  <sheetProtection algorithmName="SHA-512" hashValue="BmS1KzBswMm1aT5S2MOP8O/9Sx/77FIwjSW9Ik693AjzUt6UYSW+MMIwtrQKK7IpfyODpIXI3Ym2rC/cCoe2Vw==" saltValue="oRYyBnS3OKY49wVSgsukIA==" spinCount="100000" sheet="1" objects="1" scenarios="1"/>
  <conditionalFormatting sqref="C26:G38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J26:K37 M26:N3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{8029685F-0C56-EC45-A8B0-22249DBB4D7F}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9685F-0C56-EC45-A8B0-22249DBB4D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J26:K37 M26:N37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E63F-B777-874F-8BBB-13B05EC9AAB0}">
  <sheetPr codeName="Sheet9">
    <tabColor theme="0"/>
  </sheetPr>
  <dimension ref="A11:AF67"/>
  <sheetViews>
    <sheetView showGridLines="0" tabSelected="1" zoomScale="54" zoomScaleNormal="50" workbookViewId="0">
      <selection activeCell="AC37" sqref="AC37"/>
    </sheetView>
  </sheetViews>
  <sheetFormatPr baseColWidth="10" defaultRowHeight="16" x14ac:dyDescent="0.2"/>
  <cols>
    <col min="1" max="5" width="15.1640625" customWidth="1"/>
    <col min="6" max="7" width="5.83203125" customWidth="1"/>
    <col min="8" max="8" width="6.83203125" customWidth="1"/>
    <col min="9" max="10" width="10.83203125" customWidth="1"/>
    <col min="12" max="12" width="10.83203125" customWidth="1"/>
    <col min="17" max="17" width="10.6640625" customWidth="1"/>
    <col min="18" max="18" width="10.83203125" customWidth="1"/>
    <col min="19" max="19" width="12.33203125" customWidth="1"/>
    <col min="20" max="20" width="11.5" customWidth="1"/>
    <col min="21" max="21" width="2.5" customWidth="1"/>
    <col min="22" max="22" width="4.33203125" customWidth="1"/>
    <col min="23" max="27" width="15" customWidth="1"/>
    <col min="28" max="28" width="16.33203125" customWidth="1"/>
    <col min="29" max="29" width="12.6640625" customWidth="1"/>
    <col min="30" max="30" width="8.83203125" customWidth="1"/>
  </cols>
  <sheetData>
    <row r="11" spans="8:32" x14ac:dyDescent="0.2">
      <c r="H11" s="171" t="s">
        <v>0</v>
      </c>
      <c r="I11" s="171"/>
      <c r="J11" s="171"/>
      <c r="M11" s="171" t="s">
        <v>34</v>
      </c>
      <c r="N11" s="171"/>
      <c r="O11" s="171"/>
      <c r="R11" s="171" t="s">
        <v>57</v>
      </c>
      <c r="S11" s="171"/>
      <c r="T11" s="171"/>
    </row>
    <row r="12" spans="8:32" x14ac:dyDescent="0.2">
      <c r="H12" s="171"/>
      <c r="I12" s="171"/>
      <c r="J12" s="171"/>
      <c r="M12" s="171"/>
      <c r="N12" s="171"/>
      <c r="O12" s="171"/>
      <c r="R12" s="171"/>
      <c r="S12" s="171"/>
      <c r="T12" s="171"/>
    </row>
    <row r="13" spans="8:32" x14ac:dyDescent="0.2">
      <c r="H13" s="171"/>
      <c r="I13" s="171"/>
      <c r="J13" s="171"/>
      <c r="M13" s="171"/>
      <c r="N13" s="171"/>
      <c r="O13" s="171"/>
      <c r="R13" s="171"/>
      <c r="S13" s="171"/>
      <c r="T13" s="171"/>
    </row>
    <row r="14" spans="8:32" x14ac:dyDescent="0.2">
      <c r="AF14" s="107"/>
    </row>
    <row r="15" spans="8:32" ht="16" customHeight="1" x14ac:dyDescent="0.2">
      <c r="H15" s="172" t="s">
        <v>29</v>
      </c>
      <c r="I15" s="172"/>
      <c r="J15" s="172"/>
      <c r="M15" s="172" t="s">
        <v>36</v>
      </c>
      <c r="N15" s="172"/>
      <c r="O15" s="172"/>
      <c r="R15" s="172" t="s">
        <v>60</v>
      </c>
      <c r="S15" s="172"/>
      <c r="T15" s="172"/>
    </row>
    <row r="16" spans="8:32" ht="16" customHeight="1" x14ac:dyDescent="0.2">
      <c r="H16" s="172"/>
      <c r="I16" s="172"/>
      <c r="J16" s="172"/>
      <c r="M16" s="172"/>
      <c r="N16" s="172"/>
      <c r="O16" s="172"/>
      <c r="R16" s="172"/>
      <c r="S16" s="172"/>
      <c r="T16" s="172"/>
    </row>
    <row r="17" spans="8:20" ht="16" customHeight="1" x14ac:dyDescent="0.2">
      <c r="H17" s="172"/>
      <c r="I17" s="172"/>
      <c r="J17" s="172"/>
      <c r="M17" s="172"/>
      <c r="N17" s="172"/>
      <c r="O17" s="172"/>
      <c r="R17" s="172"/>
      <c r="S17" s="172"/>
      <c r="T17" s="172"/>
    </row>
    <row r="18" spans="8:20" ht="16" customHeight="1" x14ac:dyDescent="0.2"/>
    <row r="20" spans="8:20" ht="16" customHeight="1" x14ac:dyDescent="0.2">
      <c r="J20" s="170" t="s">
        <v>143</v>
      </c>
      <c r="K20" s="170"/>
      <c r="L20" s="170"/>
      <c r="P20" s="170" t="s">
        <v>142</v>
      </c>
      <c r="Q20" s="170"/>
      <c r="R20" s="170"/>
    </row>
    <row r="21" spans="8:20" ht="16" customHeight="1" x14ac:dyDescent="0.2">
      <c r="J21" s="170"/>
      <c r="K21" s="170"/>
      <c r="L21" s="170"/>
      <c r="P21" s="170"/>
      <c r="Q21" s="170"/>
      <c r="R21" s="170"/>
    </row>
    <row r="22" spans="8:20" ht="16" customHeight="1" x14ac:dyDescent="0.2">
      <c r="J22" s="170"/>
      <c r="K22" s="170"/>
      <c r="L22" s="170"/>
      <c r="P22" s="170"/>
      <c r="Q22" s="170"/>
      <c r="R22" s="170"/>
    </row>
    <row r="23" spans="8:20" ht="22" x14ac:dyDescent="0.3">
      <c r="J23" s="165" t="s">
        <v>144</v>
      </c>
      <c r="K23" s="165"/>
      <c r="L23" s="165"/>
      <c r="P23" s="165" t="s">
        <v>144</v>
      </c>
      <c r="Q23" s="165"/>
      <c r="R23" s="165"/>
    </row>
    <row r="25" spans="8:20" ht="16" customHeight="1" x14ac:dyDescent="0.2">
      <c r="K25" s="166">
        <v>0</v>
      </c>
      <c r="Q25" s="166">
        <v>0</v>
      </c>
    </row>
    <row r="26" spans="8:20" ht="16" customHeight="1" x14ac:dyDescent="0.2">
      <c r="K26" s="166"/>
      <c r="Q26" s="166"/>
    </row>
    <row r="27" spans="8:20" ht="16" customHeight="1" x14ac:dyDescent="0.2"/>
    <row r="37" spans="1:26" ht="17" thickBot="1" x14ac:dyDescent="0.25"/>
    <row r="38" spans="1:26" ht="30" customHeight="1" x14ac:dyDescent="0.2">
      <c r="A38" s="131" t="s">
        <v>73</v>
      </c>
      <c r="B38" s="132"/>
      <c r="C38" s="123" t="s">
        <v>118</v>
      </c>
      <c r="D38" s="124"/>
      <c r="E38" s="131" t="s">
        <v>140</v>
      </c>
      <c r="F38" s="167"/>
      <c r="W38" s="110"/>
      <c r="X38" s="110"/>
      <c r="Y38" s="110"/>
      <c r="Z38" s="110"/>
    </row>
    <row r="39" spans="1:26" ht="30" customHeight="1" thickBot="1" x14ac:dyDescent="0.25">
      <c r="A39" s="133"/>
      <c r="B39" s="134"/>
      <c r="C39" s="125"/>
      <c r="D39" s="126"/>
      <c r="E39" s="168"/>
      <c r="F39" s="169"/>
      <c r="W39" s="110"/>
      <c r="X39" s="110"/>
      <c r="Y39" s="110"/>
      <c r="Z39" s="110"/>
    </row>
    <row r="40" spans="1:26" ht="30" customHeight="1" x14ac:dyDescent="0.2">
      <c r="A40" s="127" cm="1">
        <f t="array" ref="A40">INDEX('Portfolio x PD x Loan Count'!$C$94:$G$105, MATCH(1,($H$15='Portfolio x PD x Loan Count'!$A$94:$A$105)*($M$15='Portfolio x PD x Loan Count'!$B$131:$B$142),0),MATCH($R$15,'Portfolio x PD x Loan Count'!$C$93:$G$93,0))</f>
        <v>1.0800000000000001E-2</v>
      </c>
      <c r="B40" s="128"/>
      <c r="C40" s="161" cm="1">
        <f t="array" ref="C40">INDEX('Support Tables'!C3:G14, MATCH(1,('Support Tables'!$A$3:$A$14=$H$15)*('Support Tables'!$B$3:$B$14=$M$15),0), MATCH($R$15,'Support Tables'!$C$2:$G$2,0))</f>
        <v>108.75</v>
      </c>
      <c r="D40" s="162"/>
      <c r="E40" s="157" cm="1">
        <f t="array" ref="E40">INDEX('Support Tables'!C18:G29, MATCH(1,('Support Tables'!$A$3:$A$14=$H$15)*('Support Tables'!$B$3:$B$14=$M$15),0), MATCH($R$15,'Support Tables'!$C$2:$G$2,0))</f>
        <v>26.28598735038085</v>
      </c>
      <c r="F40" s="158"/>
      <c r="W40" s="110"/>
      <c r="X40" s="110"/>
      <c r="Y40" s="110"/>
      <c r="Z40" s="110"/>
    </row>
    <row r="41" spans="1:26" ht="30" customHeight="1" x14ac:dyDescent="0.2">
      <c r="A41" s="129"/>
      <c r="B41" s="130"/>
      <c r="C41" s="163"/>
      <c r="D41" s="164"/>
      <c r="E41" s="159"/>
      <c r="F41" s="160"/>
      <c r="W41" s="122" t="s">
        <v>150</v>
      </c>
      <c r="X41" s="122"/>
      <c r="Y41" s="122"/>
      <c r="Z41" s="122"/>
    </row>
    <row r="42" spans="1:26" ht="28" customHeight="1" x14ac:dyDescent="0.2">
      <c r="A42" s="154" t="s">
        <v>152</v>
      </c>
      <c r="B42" s="155"/>
      <c r="C42" s="150" t="s">
        <v>145</v>
      </c>
      <c r="D42" s="151"/>
      <c r="E42" s="147" t="s">
        <v>141</v>
      </c>
      <c r="F42" s="148"/>
      <c r="W42" s="122"/>
      <c r="X42" s="122"/>
      <c r="Y42" s="122"/>
      <c r="Z42" s="122"/>
    </row>
    <row r="43" spans="1:26" ht="28" customHeight="1" x14ac:dyDescent="0.2">
      <c r="A43" s="133"/>
      <c r="B43" s="156"/>
      <c r="C43" s="152"/>
      <c r="D43" s="153"/>
      <c r="E43" s="125"/>
      <c r="F43" s="149"/>
      <c r="H43" s="110"/>
      <c r="W43" s="110"/>
      <c r="X43" s="110"/>
      <c r="Y43" s="110"/>
      <c r="Z43" s="110"/>
    </row>
    <row r="44" spans="1:26" ht="28" customHeight="1" x14ac:dyDescent="0.2">
      <c r="A44" s="135" cm="1">
        <f t="array" ref="A44">INDEX('Contribution Margin'!$C$18:$G$29,MATCH(1,('Contribution Margin'!$A$18:$A$29=$H$15)*('Contribution Margin'!$B$18:$B$29=$M$15),0),MATCH($R$15,'Contribution Margin'!$C$17:$G$17,0))</f>
        <v>1.2821216933487503</v>
      </c>
      <c r="B44" s="136"/>
      <c r="C44" s="139" cm="1">
        <f t="array" ref="C44">INDEX('Portfolio x PD x Loan Count'!$C$79:$G$90, MATCH(1,('Portfolio x PD x Loan Count'!$A$79:$A$90=$H$15)*('Portfolio x PD x Loan Count'!$B$79:$B$90=$M$15),0), MATCH($R$15,'Portfolio x PD x Loan Count'!$C$78:$G$78,0))</f>
        <v>1.2885705836529482E-2</v>
      </c>
      <c r="D44" s="140"/>
      <c r="E44" s="143" cm="1">
        <f t="array" ref="E44">(INDEX('Portfolio x PD x Loan Count'!$C$131:$G$142,MATCH(1,('Portfolio x PD x Loan Count'!$A$131:$A$142=$H$15)*('Portfolio x PD x Loan Count'!$B$131:$B$142=$M$15),0),MATCH($R$15,'Portfolio x PD x Loan Count'!$C$130:$G$130,0))/SUM('Portfolio x PD x Loan Count'!$C$131:$G$142))</f>
        <v>9.5608725688054834E-3</v>
      </c>
      <c r="F44" s="144"/>
      <c r="W44" s="119" t="s">
        <v>151</v>
      </c>
      <c r="X44" s="119"/>
      <c r="Y44" s="119" t="s">
        <v>103</v>
      </c>
      <c r="Z44" s="119"/>
    </row>
    <row r="45" spans="1:26" ht="32" customHeight="1" thickBot="1" x14ac:dyDescent="0.25">
      <c r="A45" s="137"/>
      <c r="B45" s="138"/>
      <c r="C45" s="141"/>
      <c r="D45" s="142"/>
      <c r="E45" s="145"/>
      <c r="F45" s="146"/>
      <c r="W45" s="119"/>
      <c r="X45" s="119"/>
      <c r="Y45" s="119"/>
      <c r="Z45" s="119"/>
    </row>
    <row r="46" spans="1:26" x14ac:dyDescent="0.2">
      <c r="A46" s="110"/>
      <c r="B46" s="110"/>
      <c r="C46" s="110"/>
      <c r="D46" s="110"/>
      <c r="E46" s="110"/>
      <c r="F46" s="110"/>
      <c r="W46" s="120">
        <f>'Portfolio Metrics'!$B$2</f>
        <v>1.8198618742484112E-2</v>
      </c>
      <c r="X46" s="121"/>
      <c r="Y46" s="118">
        <f>'Portfolio Metrics'!$B$4</f>
        <v>144.15824378109292</v>
      </c>
      <c r="Z46" s="118"/>
    </row>
    <row r="47" spans="1:26" x14ac:dyDescent="0.2">
      <c r="W47" s="121"/>
      <c r="X47" s="121"/>
      <c r="Y47" s="118"/>
      <c r="Z47" s="118"/>
    </row>
    <row r="48" spans="1:26" x14ac:dyDescent="0.2">
      <c r="W48" s="121"/>
      <c r="X48" s="121"/>
      <c r="Y48" s="118"/>
      <c r="Z48" s="118"/>
    </row>
    <row r="49" spans="5:27" x14ac:dyDescent="0.2">
      <c r="W49" s="119" t="s">
        <v>153</v>
      </c>
      <c r="X49" s="119"/>
      <c r="Y49" s="119" t="s">
        <v>104</v>
      </c>
      <c r="Z49" s="119"/>
    </row>
    <row r="50" spans="5:27" ht="22" customHeight="1" x14ac:dyDescent="0.2">
      <c r="E50" s="173"/>
      <c r="F50" s="173"/>
      <c r="W50" s="119"/>
      <c r="X50" s="119"/>
      <c r="Y50" s="119"/>
      <c r="Z50" s="119"/>
    </row>
    <row r="51" spans="5:27" ht="25" customHeight="1" x14ac:dyDescent="0.2">
      <c r="E51" s="173"/>
      <c r="F51" s="173"/>
      <c r="W51" s="119"/>
      <c r="X51" s="119"/>
      <c r="Y51" s="119"/>
      <c r="Z51" s="119"/>
    </row>
    <row r="52" spans="5:27" x14ac:dyDescent="0.2">
      <c r="W52" s="118">
        <f>'Portfolio Metrics'!$B$6</f>
        <v>0.80327810750110418</v>
      </c>
      <c r="X52" s="118"/>
      <c r="Y52" s="118">
        <f>'Portfolio Metrics'!$B$5</f>
        <v>46.961849754368181</v>
      </c>
      <c r="Z52" s="118"/>
    </row>
    <row r="53" spans="5:27" x14ac:dyDescent="0.2">
      <c r="W53" s="118"/>
      <c r="X53" s="118"/>
      <c r="Y53" s="118"/>
      <c r="Z53" s="118"/>
    </row>
    <row r="54" spans="5:27" x14ac:dyDescent="0.2">
      <c r="W54" s="118"/>
      <c r="X54" s="118"/>
      <c r="Y54" s="118"/>
      <c r="Z54" s="118"/>
    </row>
    <row r="55" spans="5:27" x14ac:dyDescent="0.2">
      <c r="W55" s="110"/>
      <c r="X55" s="110"/>
      <c r="Y55" s="110"/>
      <c r="Z55" s="110"/>
    </row>
    <row r="56" spans="5:27" ht="1" customHeight="1" x14ac:dyDescent="0.2">
      <c r="W56" s="110"/>
      <c r="X56" s="110"/>
      <c r="Y56" s="110"/>
      <c r="Z56" s="110"/>
    </row>
    <row r="57" spans="5:27" ht="38" customHeight="1" x14ac:dyDescent="0.2">
      <c r="W57" s="117" t="str">
        <f>"Data Source: 2024 US BNPL market statistics (industry reports, census data, credit bureau distributions)
Interactive Features: Use dropdowns to select user profiles or adjust MDR/Funding Rate for scenario analysis."</f>
        <v>Data Source: 2024 US BNPL market statistics (industry reports, census data, credit bureau distributions)
Interactive Features: Use dropdowns to select user profiles or adjust MDR/Funding Rate for scenario analysis.</v>
      </c>
      <c r="X57" s="117"/>
      <c r="Y57" s="117"/>
      <c r="Z57" s="117"/>
    </row>
    <row r="58" spans="5:27" x14ac:dyDescent="0.2">
      <c r="W58" s="117"/>
      <c r="X58" s="117"/>
      <c r="Y58" s="117"/>
      <c r="Z58" s="117"/>
    </row>
    <row r="59" spans="5:27" x14ac:dyDescent="0.2">
      <c r="W59" s="117"/>
      <c r="X59" s="117"/>
      <c r="Y59" s="117"/>
      <c r="Z59" s="117"/>
    </row>
    <row r="60" spans="5:27" ht="14" customHeight="1" x14ac:dyDescent="0.2">
      <c r="W60" s="117"/>
      <c r="X60" s="117"/>
      <c r="Y60" s="117"/>
      <c r="Z60" s="117"/>
    </row>
    <row r="61" spans="5:27" ht="21" customHeight="1" x14ac:dyDescent="0.2">
      <c r="I61" s="119" t="s">
        <v>154</v>
      </c>
      <c r="J61" s="119"/>
      <c r="K61" s="119"/>
      <c r="M61" s="119" t="s">
        <v>168</v>
      </c>
      <c r="N61" s="119"/>
      <c r="O61" s="119"/>
      <c r="Q61" s="119" t="s">
        <v>155</v>
      </c>
      <c r="R61" s="119"/>
      <c r="S61" s="119"/>
      <c r="W61" s="117"/>
      <c r="X61" s="117"/>
      <c r="Y61" s="117"/>
      <c r="Z61" s="117"/>
      <c r="AA61" t="s">
        <v>80</v>
      </c>
    </row>
    <row r="62" spans="5:27" ht="16" customHeight="1" x14ac:dyDescent="0.2">
      <c r="I62" s="119"/>
      <c r="J62" s="119"/>
      <c r="K62" s="119"/>
      <c r="M62" s="119"/>
      <c r="N62" s="119"/>
      <c r="O62" s="119"/>
      <c r="Q62" s="119"/>
      <c r="R62" s="119"/>
      <c r="S62" s="119"/>
      <c r="W62" s="117"/>
      <c r="X62" s="117"/>
      <c r="Y62" s="117"/>
      <c r="Z62" s="117"/>
    </row>
    <row r="63" spans="5:27" ht="26" customHeight="1" x14ac:dyDescent="0.2">
      <c r="I63" s="119"/>
      <c r="J63" s="119"/>
      <c r="K63" s="119"/>
      <c r="M63" s="119"/>
      <c r="N63" s="119"/>
      <c r="O63" s="119"/>
      <c r="Q63" s="119"/>
      <c r="R63" s="119"/>
      <c r="S63" s="119"/>
      <c r="W63" s="117"/>
      <c r="X63" s="117"/>
      <c r="Y63" s="117"/>
      <c r="Z63" s="117"/>
    </row>
    <row r="64" spans="5:27" x14ac:dyDescent="0.2">
      <c r="I64" s="118">
        <f>'Dynamic CM'!$D$37</f>
        <v>108.75</v>
      </c>
      <c r="J64" s="118"/>
      <c r="K64" s="118"/>
      <c r="M64" s="118">
        <f>'Dynamic CM'!$C$35</f>
        <v>184.875</v>
      </c>
      <c r="N64" s="118"/>
      <c r="O64" s="118"/>
      <c r="Q64" s="118">
        <f>'Dynamic CM'!$E$37</f>
        <v>261</v>
      </c>
      <c r="R64" s="118"/>
      <c r="S64" s="118"/>
      <c r="W64" s="117"/>
      <c r="X64" s="117"/>
      <c r="Y64" s="117"/>
      <c r="Z64" s="117"/>
    </row>
    <row r="65" spans="9:26" x14ac:dyDescent="0.2">
      <c r="I65" s="118"/>
      <c r="J65" s="118"/>
      <c r="K65" s="118"/>
      <c r="M65" s="118"/>
      <c r="N65" s="118"/>
      <c r="O65" s="118"/>
      <c r="Q65" s="118"/>
      <c r="R65" s="118"/>
      <c r="S65" s="118"/>
      <c r="W65" s="117"/>
      <c r="X65" s="117"/>
      <c r="Y65" s="117"/>
      <c r="Z65" s="117"/>
    </row>
    <row r="66" spans="9:26" x14ac:dyDescent="0.2">
      <c r="I66" s="118"/>
      <c r="J66" s="118"/>
      <c r="K66" s="118"/>
      <c r="M66" s="118"/>
      <c r="N66" s="118"/>
      <c r="O66" s="118"/>
      <c r="Q66" s="118"/>
      <c r="R66" s="118"/>
      <c r="S66" s="118"/>
      <c r="W66" s="117"/>
      <c r="X66" s="117"/>
      <c r="Y66" s="117"/>
      <c r="Z66" s="117"/>
    </row>
    <row r="67" spans="9:26" x14ac:dyDescent="0.2">
      <c r="W67" s="117"/>
      <c r="X67" s="117"/>
      <c r="Y67" s="117"/>
      <c r="Z67" s="117"/>
    </row>
  </sheetData>
  <sheetProtection algorithmName="SHA-512" hashValue="uRtMq56Yq2J7sQX9HKW0vWvE7pod0ETimxvwEMaJ9hjZVuN+nnnmDjpzG5PPCFgO1N07iVdD57qObNz31OW7pA==" saltValue="h7P4UWysx3s1Gq/b/ZyzSA==" spinCount="100000" sheet="1" objects="1" scenarios="1"/>
  <mergeCells count="41">
    <mergeCell ref="E50:F51"/>
    <mergeCell ref="H11:J13"/>
    <mergeCell ref="M11:O13"/>
    <mergeCell ref="R11:T13"/>
    <mergeCell ref="H15:J17"/>
    <mergeCell ref="M15:O17"/>
    <mergeCell ref="R15:T17"/>
    <mergeCell ref="J23:L23"/>
    <mergeCell ref="Q25:Q26"/>
    <mergeCell ref="K25:K26"/>
    <mergeCell ref="E38:F39"/>
    <mergeCell ref="J20:L22"/>
    <mergeCell ref="P20:R22"/>
    <mergeCell ref="P23:R23"/>
    <mergeCell ref="W41:Z42"/>
    <mergeCell ref="Y44:Z45"/>
    <mergeCell ref="C38:D39"/>
    <mergeCell ref="A40:B41"/>
    <mergeCell ref="A38:B39"/>
    <mergeCell ref="A44:B45"/>
    <mergeCell ref="C44:D45"/>
    <mergeCell ref="E44:F45"/>
    <mergeCell ref="E42:F43"/>
    <mergeCell ref="C42:D43"/>
    <mergeCell ref="A42:B43"/>
    <mergeCell ref="E40:F41"/>
    <mergeCell ref="C40:D41"/>
    <mergeCell ref="I64:K66"/>
    <mergeCell ref="I61:K63"/>
    <mergeCell ref="W44:X45"/>
    <mergeCell ref="Y46:Z48"/>
    <mergeCell ref="W46:X48"/>
    <mergeCell ref="Y49:Z51"/>
    <mergeCell ref="W49:X51"/>
    <mergeCell ref="Y52:Z54"/>
    <mergeCell ref="W52:X54"/>
    <mergeCell ref="W57:Z67"/>
    <mergeCell ref="Q64:S66"/>
    <mergeCell ref="Q61:S63"/>
    <mergeCell ref="M64:O66"/>
    <mergeCell ref="M61:O63"/>
  </mergeCells>
  <dataValidations count="1">
    <dataValidation type="whole" allowBlank="1" showInputMessage="1" showErrorMessage="1" sqref="H24:I26 J24" xr:uid="{0A104C0E-D16E-7B40-B8B0-94FB53FBE8E0}">
      <formula1>-1000000</formula1>
      <formula2>1000000</formula2>
    </dataValidation>
  </dataValidation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89E3DDF-644B-4A4B-9B8B-0CD00971D152}">
          <x14:formula1>
            <xm:f>'Portfolio x PD x Loan Count'!$A$79:$A$90</xm:f>
          </x14:formula1>
          <xm:sqref>H15:J17</xm:sqref>
        </x14:dataValidation>
        <x14:dataValidation type="list" allowBlank="1" showInputMessage="1" showErrorMessage="1" xr:uid="{EF1DC786-875E-5C4E-AA44-37265208AB36}">
          <x14:formula1>
            <xm:f>'Portfolio x PD x Loan Count'!$B$79:$B$90</xm:f>
          </x14:formula1>
          <xm:sqref>M15:O17</xm:sqref>
        </x14:dataValidation>
        <x14:dataValidation type="list" allowBlank="1" showInputMessage="1" showErrorMessage="1" xr:uid="{36AF49EA-531B-834A-959A-9310F08DDABF}">
          <x14:formula1>
            <xm:f>'Portfolio x PD x Loan Count'!$C$78:$G$78</xm:f>
          </x14:formula1>
          <xm:sqref>R15:T17</xm:sqref>
        </x14:dataValidation>
        <x14:dataValidation type="list" allowBlank="1" showInputMessage="1" showErrorMessage="1" xr:uid="{BADF498F-7E2E-DF4D-9E39-34F94A4CD837}">
          <x14:formula1>
            <xm:f>'Portfolio Metrics'!$L$2:$L$34</xm:f>
          </x14:formula1>
          <xm:sqref>K25:K26 Q25:Q26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User Segmentation</vt:lpstr>
      <vt:lpstr>Default Rates</vt:lpstr>
      <vt:lpstr>Portfolio x PD x Loan Count</vt:lpstr>
      <vt:lpstr>Support Tables</vt:lpstr>
      <vt:lpstr>Dynamic PD</vt:lpstr>
      <vt:lpstr>Contribution Margin</vt:lpstr>
      <vt:lpstr>Dynamic CM</vt:lpstr>
      <vt:lpstr>Portfolio Metrics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Sandilya</dc:creator>
  <cp:lastModifiedBy>Dhruv Sandilya</cp:lastModifiedBy>
  <dcterms:created xsi:type="dcterms:W3CDTF">2026-02-09T10:25:52Z</dcterms:created>
  <dcterms:modified xsi:type="dcterms:W3CDTF">2026-02-21T15:51:42Z</dcterms:modified>
</cp:coreProperties>
</file>