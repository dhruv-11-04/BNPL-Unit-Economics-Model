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drawings/drawing3.xml" ContentType="application/vnd.openxmlformats-officedocument.drawing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52.xml" ContentType="application/vnd.openxmlformats-officedocument.spreadsheetml.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drawings/drawing6.xml" ContentType="application/vnd.openxmlformats-officedocument.drawing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dhruv/Desktop/Projects/BNPL Project/"/>
    </mc:Choice>
  </mc:AlternateContent>
  <xr:revisionPtr revIDLastSave="0" documentId="13_ncr:1_{BEF65835-BC68-8E4C-A1AE-1A20F27BBDA2}" xr6:coauthVersionLast="47" xr6:coauthVersionMax="47" xr10:uidLastSave="{00000000-0000-0000-0000-000000000000}"/>
  <bookViews>
    <workbookView xWindow="0" yWindow="720" windowWidth="29400" windowHeight="18400" firstSheet="4" activeTab="13" xr2:uid="{042C2029-F3D0-3046-B4B7-1B39A12B3D88}"/>
  </bookViews>
  <sheets>
    <sheet name="User Segmentation" sheetId="1" r:id="rId1"/>
    <sheet name="Default Rates" sheetId="2" r:id="rId2"/>
    <sheet name="Portfolio x PD x Loan Count" sheetId="5" r:id="rId3"/>
    <sheet name="Support Tables" sheetId="4" r:id="rId4"/>
    <sheet name="EAD Estimate" sheetId="11" r:id="rId5"/>
    <sheet name="Dynamic PD" sheetId="7" r:id="rId6"/>
    <sheet name="Contribution Margin" sheetId="8" r:id="rId7"/>
    <sheet name="Dynamic CM" sheetId="9" r:id="rId8"/>
    <sheet name="Portfolio Metrics" sheetId="3" r:id="rId9"/>
    <sheet name="Dashboard" sheetId="10" r:id="rId10"/>
    <sheet name="Macro Stressers" sheetId="12" r:id="rId11"/>
    <sheet name="Stress Analysis" sheetId="13" r:id="rId12"/>
    <sheet name="Stressed Portfolio Metrics" sheetId="14" r:id="rId13"/>
    <sheet name="Macro Stress Test" sheetId="15" r:id="rId14"/>
  </sheets>
  <definedNames>
    <definedName name="_xlchart.v2.0" hidden="1">'Stressed Portfolio Metrics'!$A$2:$A$4</definedName>
    <definedName name="_xlchart.v2.1" hidden="1">'Stressed Portfolio Metrics'!$G$1</definedName>
    <definedName name="_xlchart.v2.2" hidden="1">'Stressed Portfolio Metrics'!$G$2:$G$4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3" i="5" l="1"/>
  <c r="M133" i="5"/>
  <c r="N133" i="5"/>
  <c r="O133" i="5"/>
  <c r="P133" i="5"/>
  <c r="L134" i="5"/>
  <c r="M134" i="5"/>
  <c r="N134" i="5"/>
  <c r="O134" i="5"/>
  <c r="P134" i="5"/>
  <c r="L135" i="5"/>
  <c r="M135" i="5"/>
  <c r="N135" i="5"/>
  <c r="O135" i="5"/>
  <c r="P135" i="5"/>
  <c r="L136" i="5"/>
  <c r="M136" i="5"/>
  <c r="N136" i="5"/>
  <c r="O136" i="5"/>
  <c r="P136" i="5"/>
  <c r="L137" i="5"/>
  <c r="M137" i="5"/>
  <c r="N137" i="5"/>
  <c r="O137" i="5"/>
  <c r="P137" i="5"/>
  <c r="L138" i="5"/>
  <c r="M138" i="5"/>
  <c r="N138" i="5"/>
  <c r="O138" i="5"/>
  <c r="P138" i="5"/>
  <c r="L139" i="5"/>
  <c r="M139" i="5"/>
  <c r="N139" i="5"/>
  <c r="O139" i="5"/>
  <c r="P139" i="5"/>
  <c r="L140" i="5"/>
  <c r="M140" i="5"/>
  <c r="N140" i="5"/>
  <c r="O140" i="5"/>
  <c r="P140" i="5"/>
  <c r="L141" i="5"/>
  <c r="M141" i="5"/>
  <c r="N141" i="5"/>
  <c r="O141" i="5"/>
  <c r="P141" i="5"/>
  <c r="L142" i="5"/>
  <c r="M142" i="5"/>
  <c r="N142" i="5"/>
  <c r="O142" i="5"/>
  <c r="P142" i="5"/>
  <c r="L143" i="5"/>
  <c r="M143" i="5"/>
  <c r="N143" i="5"/>
  <c r="O143" i="5"/>
  <c r="P143" i="5"/>
  <c r="M132" i="5"/>
  <c r="N132" i="5"/>
  <c r="O132" i="5"/>
  <c r="P132" i="5"/>
  <c r="P22" i="15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I3" i="13" a="1"/>
  <c r="I3" i="13" s="1"/>
  <c r="F3" i="13"/>
  <c r="L107" i="5"/>
  <c r="L108" i="5"/>
  <c r="L109" i="5"/>
  <c r="L110" i="5"/>
  <c r="L111" i="5"/>
  <c r="L112" i="5"/>
  <c r="K48" i="4"/>
  <c r="F5" i="13"/>
  <c r="AS5" i="13" s="1"/>
  <c r="AS3" i="13"/>
  <c r="G3" i="13" a="1"/>
  <c r="G3" i="13" s="1"/>
  <c r="AT3" i="13" s="1"/>
  <c r="AU3" i="13" s="1"/>
  <c r="F4" i="13"/>
  <c r="AS4" i="13" s="1"/>
  <c r="G4" i="13" a="1"/>
  <c r="G4" i="13" s="1"/>
  <c r="G5" i="13" a="1"/>
  <c r="G5" i="13" s="1"/>
  <c r="F6" i="13"/>
  <c r="AS6" i="13" s="1"/>
  <c r="G6" i="13" a="1"/>
  <c r="G6" i="13" s="1"/>
  <c r="AA6" i="13" s="1"/>
  <c r="AB6" i="13" s="1"/>
  <c r="F7" i="13"/>
  <c r="AS7" i="13" s="1"/>
  <c r="G7" i="13" a="1"/>
  <c r="G7" i="13" s="1"/>
  <c r="AT7" i="13" s="1"/>
  <c r="AU7" i="13" s="1"/>
  <c r="F8" i="13"/>
  <c r="AS8" i="13" s="1"/>
  <c r="G8" i="13" a="1"/>
  <c r="G8" i="13" s="1"/>
  <c r="AT8" i="13" s="1"/>
  <c r="AU8" i="13" s="1"/>
  <c r="F9" i="13"/>
  <c r="Z9" i="13" s="1"/>
  <c r="G9" i="13" a="1"/>
  <c r="G9" i="13" s="1"/>
  <c r="AT9" i="13" s="1"/>
  <c r="AU9" i="13" s="1"/>
  <c r="F10" i="13"/>
  <c r="AS10" i="13" s="1"/>
  <c r="G10" i="13" a="1"/>
  <c r="G10" i="13" s="1"/>
  <c r="F11" i="13"/>
  <c r="AS11" i="13" s="1"/>
  <c r="G11" i="13" a="1"/>
  <c r="G11" i="13" s="1"/>
  <c r="AT11" i="13" s="1"/>
  <c r="AV11" i="13" s="1" a="1"/>
  <c r="AV11" i="13" s="1"/>
  <c r="F12" i="13"/>
  <c r="AS12" i="13" s="1"/>
  <c r="G12" i="13" a="1"/>
  <c r="G12" i="13" s="1"/>
  <c r="AT12" i="13" s="1"/>
  <c r="AV12" i="13" s="1" a="1"/>
  <c r="AV12" i="13" s="1"/>
  <c r="F13" i="13"/>
  <c r="AS13" i="13" s="1"/>
  <c r="G13" i="13" a="1"/>
  <c r="G13" i="13" s="1"/>
  <c r="AT13" i="13" s="1"/>
  <c r="AV13" i="13" s="1" a="1"/>
  <c r="AV13" i="13" s="1"/>
  <c r="F14" i="13"/>
  <c r="AS14" i="13" s="1"/>
  <c r="G14" i="13" a="1"/>
  <c r="G14" i="13" s="1"/>
  <c r="AA14" i="13" s="1"/>
  <c r="AB14" i="13" s="1"/>
  <c r="F15" i="13"/>
  <c r="AS15" i="13" s="1"/>
  <c r="G15" i="13" a="1"/>
  <c r="G15" i="13" s="1"/>
  <c r="AT15" i="13" s="1"/>
  <c r="AV15" i="13" s="1" a="1"/>
  <c r="AV15" i="13" s="1"/>
  <c r="F16" i="13"/>
  <c r="AS16" i="13" s="1"/>
  <c r="G16" i="13" a="1"/>
  <c r="G16" i="13" s="1"/>
  <c r="AT16" i="13" s="1"/>
  <c r="AV16" i="13" s="1" a="1"/>
  <c r="AV16" i="13" s="1"/>
  <c r="F17" i="13"/>
  <c r="Z17" i="13" s="1"/>
  <c r="G17" i="13" a="1"/>
  <c r="G17" i="13" s="1"/>
  <c r="AT17" i="13" s="1"/>
  <c r="AU17" i="13" s="1"/>
  <c r="F18" i="13"/>
  <c r="AS18" i="13" s="1"/>
  <c r="G18" i="13" a="1"/>
  <c r="G18" i="13" s="1"/>
  <c r="F19" i="13"/>
  <c r="AS19" i="13" s="1"/>
  <c r="G19" i="13" a="1"/>
  <c r="G19" i="13" s="1"/>
  <c r="F20" i="13"/>
  <c r="AS20" i="13" s="1"/>
  <c r="G20" i="13" a="1"/>
  <c r="G20" i="13" s="1"/>
  <c r="AT20" i="13" s="1"/>
  <c r="AV20" i="13" s="1" a="1"/>
  <c r="AV20" i="13" s="1"/>
  <c r="F21" i="13"/>
  <c r="AS21" i="13" s="1"/>
  <c r="G21" i="13" a="1"/>
  <c r="G21" i="13" s="1"/>
  <c r="AT21" i="13" s="1"/>
  <c r="AV21" i="13" s="1" a="1"/>
  <c r="AV21" i="13" s="1"/>
  <c r="F22" i="13"/>
  <c r="AS22" i="13" s="1"/>
  <c r="G22" i="13" a="1"/>
  <c r="G22" i="13" s="1"/>
  <c r="F23" i="13"/>
  <c r="AS23" i="13" s="1"/>
  <c r="G23" i="13" a="1"/>
  <c r="G23" i="13" s="1"/>
  <c r="AT23" i="13" s="1"/>
  <c r="AU23" i="13" s="1"/>
  <c r="F24" i="13"/>
  <c r="AS24" i="13" s="1"/>
  <c r="G24" i="13" a="1"/>
  <c r="G24" i="13" s="1"/>
  <c r="AT24" i="13" s="1"/>
  <c r="AU24" i="13" s="1"/>
  <c r="F25" i="13"/>
  <c r="Z25" i="13" s="1"/>
  <c r="G25" i="13" a="1"/>
  <c r="G25" i="13" s="1"/>
  <c r="F26" i="13"/>
  <c r="AS26" i="13" s="1"/>
  <c r="G26" i="13" a="1"/>
  <c r="G26" i="13" s="1"/>
  <c r="F27" i="13"/>
  <c r="AS27" i="13" s="1"/>
  <c r="G27" i="13" a="1"/>
  <c r="G27" i="13" s="1"/>
  <c r="AT27" i="13" s="1"/>
  <c r="AV27" i="13" s="1" a="1"/>
  <c r="AV27" i="13" s="1"/>
  <c r="F28" i="13"/>
  <c r="AS28" i="13" s="1"/>
  <c r="G28" i="13" a="1"/>
  <c r="G28" i="13" s="1"/>
  <c r="AT28" i="13" s="1"/>
  <c r="AV28" i="13" s="1" a="1"/>
  <c r="AV28" i="13" s="1"/>
  <c r="F29" i="13"/>
  <c r="AS29" i="13" s="1"/>
  <c r="G29" i="13" a="1"/>
  <c r="G29" i="13" s="1"/>
  <c r="AT29" i="13" s="1"/>
  <c r="AV29" i="13" s="1" a="1"/>
  <c r="AV29" i="13" s="1"/>
  <c r="F30" i="13"/>
  <c r="AS30" i="13" s="1"/>
  <c r="G30" i="13" a="1"/>
  <c r="G30" i="13" s="1"/>
  <c r="AA30" i="13" s="1"/>
  <c r="AB30" i="13" s="1"/>
  <c r="F31" i="13"/>
  <c r="AS31" i="13" s="1"/>
  <c r="G31" i="13" a="1"/>
  <c r="G31" i="13" s="1"/>
  <c r="AT31" i="13" s="1"/>
  <c r="AU31" i="13" s="1"/>
  <c r="F32" i="13"/>
  <c r="AS32" i="13" s="1"/>
  <c r="G32" i="13" a="1"/>
  <c r="G32" i="13" s="1"/>
  <c r="AT32" i="13" s="1"/>
  <c r="AU32" i="13" s="1"/>
  <c r="F33" i="13"/>
  <c r="Z33" i="13" s="1"/>
  <c r="G33" i="13" a="1"/>
  <c r="G33" i="13" s="1"/>
  <c r="AT33" i="13" s="1"/>
  <c r="AU33" i="13" s="1"/>
  <c r="F34" i="13"/>
  <c r="AS34" i="13" s="1"/>
  <c r="G34" i="13" a="1"/>
  <c r="G34" i="13" s="1"/>
  <c r="F35" i="13"/>
  <c r="AS35" i="13" s="1"/>
  <c r="G35" i="13" a="1"/>
  <c r="G35" i="13" s="1"/>
  <c r="F36" i="13"/>
  <c r="AS36" i="13" s="1"/>
  <c r="G36" i="13" a="1"/>
  <c r="G36" i="13" s="1"/>
  <c r="F37" i="13"/>
  <c r="AS37" i="13" s="1"/>
  <c r="G37" i="13" a="1"/>
  <c r="G37" i="13" s="1"/>
  <c r="AT37" i="13" s="1"/>
  <c r="AV37" i="13" s="1" a="1"/>
  <c r="AV37" i="13" s="1"/>
  <c r="F38" i="13"/>
  <c r="AS38" i="13" s="1"/>
  <c r="G38" i="13" a="1"/>
  <c r="G38" i="13" s="1"/>
  <c r="AA38" i="13" s="1"/>
  <c r="AC38" i="13" s="1" a="1"/>
  <c r="AC38" i="13" s="1"/>
  <c r="F39" i="13"/>
  <c r="AS39" i="13" s="1"/>
  <c r="G39" i="13" a="1"/>
  <c r="G39" i="13" s="1"/>
  <c r="AT39" i="13" s="1"/>
  <c r="AU39" i="13" s="1"/>
  <c r="F40" i="13"/>
  <c r="AS40" i="13" s="1"/>
  <c r="G40" i="13" a="1"/>
  <c r="G40" i="13" s="1"/>
  <c r="AT40" i="13" s="1"/>
  <c r="AV40" i="13" s="1" a="1"/>
  <c r="AV40" i="13" s="1"/>
  <c r="F41" i="13"/>
  <c r="Z41" i="13" s="1"/>
  <c r="G41" i="13" a="1"/>
  <c r="G41" i="13" s="1"/>
  <c r="AT41" i="13" s="1"/>
  <c r="AV41" i="13" s="1" a="1"/>
  <c r="AV41" i="13" s="1"/>
  <c r="F42" i="13"/>
  <c r="Z42" i="13" s="1"/>
  <c r="G42" i="13" a="1"/>
  <c r="G42" i="13" s="1"/>
  <c r="AT42" i="13" s="1"/>
  <c r="AV42" i="13" s="1" a="1"/>
  <c r="AV42" i="13" s="1"/>
  <c r="F43" i="13"/>
  <c r="AS43" i="13" s="1"/>
  <c r="G43" i="13" a="1"/>
  <c r="G43" i="13" s="1"/>
  <c r="F44" i="13"/>
  <c r="AS44" i="13" s="1"/>
  <c r="G44" i="13" a="1"/>
  <c r="G44" i="13" s="1"/>
  <c r="AT44" i="13" s="1"/>
  <c r="AU44" i="13" s="1"/>
  <c r="F45" i="13"/>
  <c r="AS45" i="13" s="1"/>
  <c r="G45" i="13" a="1"/>
  <c r="G45" i="13" s="1"/>
  <c r="AT45" i="13" s="1"/>
  <c r="AV45" i="13" s="1" a="1"/>
  <c r="AV45" i="13" s="1"/>
  <c r="F46" i="13"/>
  <c r="AS46" i="13" s="1"/>
  <c r="G46" i="13" a="1"/>
  <c r="G46" i="13" s="1"/>
  <c r="F47" i="13"/>
  <c r="AS47" i="13" s="1"/>
  <c r="G47" i="13" a="1"/>
  <c r="G47" i="13" s="1"/>
  <c r="AT47" i="13" s="1"/>
  <c r="AU47" i="13" s="1"/>
  <c r="F48" i="13"/>
  <c r="AS48" i="13" s="1"/>
  <c r="G48" i="13" a="1"/>
  <c r="G48" i="13" s="1"/>
  <c r="AT48" i="13" s="1"/>
  <c r="AU48" i="13" s="1"/>
  <c r="F49" i="13"/>
  <c r="Z49" i="13" s="1"/>
  <c r="G49" i="13" a="1"/>
  <c r="G49" i="13" s="1"/>
  <c r="AT49" i="13" s="1"/>
  <c r="AU49" i="13" s="1"/>
  <c r="F50" i="13"/>
  <c r="AS50" i="13" s="1"/>
  <c r="G50" i="13" a="1"/>
  <c r="G50" i="13" s="1"/>
  <c r="AT50" i="13" s="1"/>
  <c r="AU50" i="13" s="1"/>
  <c r="F51" i="13"/>
  <c r="AS51" i="13" s="1"/>
  <c r="G51" i="13" a="1"/>
  <c r="G51" i="13" s="1"/>
  <c r="AT51" i="13" s="1"/>
  <c r="AU51" i="13" s="1"/>
  <c r="F52" i="13"/>
  <c r="AS52" i="13" s="1"/>
  <c r="G52" i="13" a="1"/>
  <c r="G52" i="13" s="1"/>
  <c r="F53" i="13"/>
  <c r="AS53" i="13" s="1"/>
  <c r="G53" i="13" a="1"/>
  <c r="G53" i="13" s="1"/>
  <c r="AT53" i="13" s="1"/>
  <c r="AV53" i="13" s="1" a="1"/>
  <c r="AV53" i="13" s="1"/>
  <c r="F54" i="13"/>
  <c r="AS54" i="13" s="1"/>
  <c r="G54" i="13" a="1"/>
  <c r="G54" i="13" s="1"/>
  <c r="F55" i="13"/>
  <c r="AS55" i="13" s="1"/>
  <c r="G55" i="13" a="1"/>
  <c r="G55" i="13" s="1"/>
  <c r="AT55" i="13" s="1"/>
  <c r="AU55" i="13" s="1"/>
  <c r="F56" i="13"/>
  <c r="AS56" i="13" s="1"/>
  <c r="G56" i="13" a="1"/>
  <c r="G56" i="13" s="1"/>
  <c r="AT56" i="13" s="1"/>
  <c r="AU56" i="13" s="1"/>
  <c r="F57" i="13"/>
  <c r="Z57" i="13" s="1"/>
  <c r="G57" i="13" a="1"/>
  <c r="G57" i="13" s="1"/>
  <c r="F58" i="13"/>
  <c r="Z58" i="13" s="1"/>
  <c r="G58" i="13" a="1"/>
  <c r="G58" i="13" s="1"/>
  <c r="F59" i="13"/>
  <c r="AS59" i="13" s="1"/>
  <c r="G59" i="13" a="1"/>
  <c r="G59" i="13" s="1"/>
  <c r="AT59" i="13" s="1"/>
  <c r="AU59" i="13" s="1"/>
  <c r="F60" i="13"/>
  <c r="AS60" i="13" s="1"/>
  <c r="G60" i="13" a="1"/>
  <c r="G60" i="13" s="1"/>
  <c r="F61" i="13"/>
  <c r="AS61" i="13" s="1"/>
  <c r="G61" i="13" a="1"/>
  <c r="G61" i="13" s="1"/>
  <c r="F62" i="13"/>
  <c r="AS62" i="13" s="1"/>
  <c r="G62" i="13" a="1"/>
  <c r="G62" i="13" s="1"/>
  <c r="AA62" i="13" s="1"/>
  <c r="AB62" i="13" s="1"/>
  <c r="AU28" i="13" l="1"/>
  <c r="AU20" i="13"/>
  <c r="AU29" i="13"/>
  <c r="AU13" i="13"/>
  <c r="AU21" i="13"/>
  <c r="AU45" i="13"/>
  <c r="AU12" i="13"/>
  <c r="AU53" i="13"/>
  <c r="AU37" i="13"/>
  <c r="AU15" i="13"/>
  <c r="AU27" i="13"/>
  <c r="AU11" i="13"/>
  <c r="AU42" i="13"/>
  <c r="AB38" i="13"/>
  <c r="AU41" i="13"/>
  <c r="AU40" i="13"/>
  <c r="AU16" i="13"/>
  <c r="AV9" i="13" a="1"/>
  <c r="AV9" i="13" s="1"/>
  <c r="AV59" i="13" a="1"/>
  <c r="AV59" i="13" s="1"/>
  <c r="AV51" i="13" a="1"/>
  <c r="AV51" i="13" s="1"/>
  <c r="AV8" i="13" a="1"/>
  <c r="AV8" i="13" s="1"/>
  <c r="AV44" i="13" a="1"/>
  <c r="AV44" i="13" s="1"/>
  <c r="AV3" i="13" a="1"/>
  <c r="AV3" i="13" s="1"/>
  <c r="AV39" i="13" a="1"/>
  <c r="AV39" i="13" s="1"/>
  <c r="AV33" i="13" a="1"/>
  <c r="AV33" i="13" s="1"/>
  <c r="AV32" i="13" a="1"/>
  <c r="AV32" i="13" s="1"/>
  <c r="AV31" i="13" a="1"/>
  <c r="AV31" i="13" s="1"/>
  <c r="AV50" i="13" a="1"/>
  <c r="AV50" i="13" s="1"/>
  <c r="AV56" i="13" a="1"/>
  <c r="AV56" i="13" s="1"/>
  <c r="AV24" i="13" a="1"/>
  <c r="AV24" i="13" s="1"/>
  <c r="AV7" i="13" a="1"/>
  <c r="AV7" i="13" s="1"/>
  <c r="AV55" i="13" a="1"/>
  <c r="AV55" i="13" s="1"/>
  <c r="AV49" i="13" a="1"/>
  <c r="AV49" i="13" s="1"/>
  <c r="AV23" i="13" a="1"/>
  <c r="AV23" i="13" s="1"/>
  <c r="AV17" i="13" a="1"/>
  <c r="AV17" i="13" s="1"/>
  <c r="AV48" i="13" a="1"/>
  <c r="AV48" i="13" s="1"/>
  <c r="AV47" i="13" a="1"/>
  <c r="AV47" i="13" s="1"/>
  <c r="AC14" i="13" a="1"/>
  <c r="AC14" i="13" s="1"/>
  <c r="AC62" i="13" a="1"/>
  <c r="AC62" i="13" s="1"/>
  <c r="AC30" i="13" a="1"/>
  <c r="AC30" i="13" s="1"/>
  <c r="AC6" i="13" a="1"/>
  <c r="AC6" i="13" s="1"/>
  <c r="I13" i="13" a="1"/>
  <c r="I13" i="13" s="1"/>
  <c r="I7" i="13" a="1"/>
  <c r="I7" i="13" s="1"/>
  <c r="I8" i="13" a="1"/>
  <c r="I8" i="13" s="1"/>
  <c r="I40" i="13" a="1"/>
  <c r="I40" i="13" s="1"/>
  <c r="I29" i="13" a="1"/>
  <c r="I29" i="13" s="1"/>
  <c r="I24" i="13" a="1"/>
  <c r="I24" i="13" s="1"/>
  <c r="I56" i="13" a="1"/>
  <c r="I56" i="13" s="1"/>
  <c r="I5" i="13" a="1"/>
  <c r="I5" i="13" s="1"/>
  <c r="I45" i="13" a="1"/>
  <c r="I45" i="13" s="1"/>
  <c r="I55" i="13" a="1"/>
  <c r="I55" i="13" s="1"/>
  <c r="I50" i="13" a="1"/>
  <c r="I50" i="13" s="1"/>
  <c r="I39" i="13" a="1"/>
  <c r="I39" i="13" s="1"/>
  <c r="I34" i="13" a="1"/>
  <c r="I34" i="13" s="1"/>
  <c r="I23" i="13" a="1"/>
  <c r="I23" i="13" s="1"/>
  <c r="I18" i="13" a="1"/>
  <c r="I18" i="13" s="1"/>
  <c r="I60" i="13" a="1"/>
  <c r="I60" i="13" s="1"/>
  <c r="I49" i="13" a="1"/>
  <c r="I49" i="13" s="1"/>
  <c r="I44" i="13" a="1"/>
  <c r="I44" i="13" s="1"/>
  <c r="I33" i="13" a="1"/>
  <c r="I33" i="13" s="1"/>
  <c r="I28" i="13" a="1"/>
  <c r="I28" i="13" s="1"/>
  <c r="I17" i="13" a="1"/>
  <c r="I17" i="13" s="1"/>
  <c r="I12" i="13" a="1"/>
  <c r="I12" i="13" s="1"/>
  <c r="I59" i="13" a="1"/>
  <c r="I59" i="13" s="1"/>
  <c r="I54" i="13" a="1"/>
  <c r="I54" i="13" s="1"/>
  <c r="I43" i="13" a="1"/>
  <c r="I43" i="13" s="1"/>
  <c r="I38" i="13" a="1"/>
  <c r="I38" i="13" s="1"/>
  <c r="I27" i="13" a="1"/>
  <c r="I27" i="13" s="1"/>
  <c r="I22" i="13" a="1"/>
  <c r="I22" i="13" s="1"/>
  <c r="I11" i="13" a="1"/>
  <c r="I11" i="13" s="1"/>
  <c r="I6" i="13" a="1"/>
  <c r="I6" i="13" s="1"/>
  <c r="I61" i="13" a="1"/>
  <c r="I61" i="13" s="1"/>
  <c r="I53" i="13" a="1"/>
  <c r="I53" i="13" s="1"/>
  <c r="I48" i="13" a="1"/>
  <c r="I48" i="13" s="1"/>
  <c r="I37" i="13" a="1"/>
  <c r="I37" i="13" s="1"/>
  <c r="I32" i="13" a="1"/>
  <c r="I32" i="13" s="1"/>
  <c r="I21" i="13" a="1"/>
  <c r="I21" i="13" s="1"/>
  <c r="I16" i="13" a="1"/>
  <c r="I16" i="13" s="1"/>
  <c r="I31" i="13" a="1"/>
  <c r="I31" i="13" s="1"/>
  <c r="I26" i="13" a="1"/>
  <c r="I26" i="13" s="1"/>
  <c r="I15" i="13" a="1"/>
  <c r="I15" i="13" s="1"/>
  <c r="I10" i="13" a="1"/>
  <c r="I10" i="13" s="1"/>
  <c r="I58" i="13" a="1"/>
  <c r="I58" i="13" s="1"/>
  <c r="I47" i="13" a="1"/>
  <c r="I47" i="13" s="1"/>
  <c r="I42" i="13" a="1"/>
  <c r="I42" i="13" s="1"/>
  <c r="I57" i="13" a="1"/>
  <c r="I57" i="13" s="1"/>
  <c r="I52" i="13" a="1"/>
  <c r="I52" i="13" s="1"/>
  <c r="I41" i="13" a="1"/>
  <c r="I41" i="13" s="1"/>
  <c r="I36" i="13" a="1"/>
  <c r="I36" i="13" s="1"/>
  <c r="I25" i="13" a="1"/>
  <c r="I25" i="13" s="1"/>
  <c r="I20" i="13" a="1"/>
  <c r="I20" i="13" s="1"/>
  <c r="I9" i="13" a="1"/>
  <c r="I9" i="13" s="1"/>
  <c r="I4" i="13" a="1"/>
  <c r="I4" i="13" s="1"/>
  <c r="I62" i="13" a="1"/>
  <c r="I62" i="13" s="1"/>
  <c r="I51" i="13" a="1"/>
  <c r="I51" i="13" s="1"/>
  <c r="I46" i="13" a="1"/>
  <c r="I46" i="13" s="1"/>
  <c r="I35" i="13" a="1"/>
  <c r="I35" i="13" s="1"/>
  <c r="I30" i="13" a="1"/>
  <c r="I30" i="13" s="1"/>
  <c r="I19" i="13" a="1"/>
  <c r="I19" i="13" s="1"/>
  <c r="I14" i="13" a="1"/>
  <c r="I14" i="13" s="1"/>
  <c r="Z34" i="13"/>
  <c r="Z26" i="13"/>
  <c r="Z18" i="13"/>
  <c r="Z10" i="13"/>
  <c r="AT25" i="13"/>
  <c r="AU25" i="13" s="1"/>
  <c r="AA25" i="13"/>
  <c r="AB25" i="13" s="1"/>
  <c r="AT10" i="13"/>
  <c r="AU10" i="13" s="1"/>
  <c r="AA10" i="13"/>
  <c r="AB10" i="13" s="1"/>
  <c r="AA46" i="13"/>
  <c r="AB46" i="13" s="1"/>
  <c r="AT46" i="13"/>
  <c r="AU46" i="13" s="1"/>
  <c r="AT19" i="13"/>
  <c r="AU19" i="13" s="1"/>
  <c r="AA19" i="13"/>
  <c r="AB19" i="13" s="1"/>
  <c r="AT35" i="13"/>
  <c r="AU35" i="13" s="1"/>
  <c r="AA35" i="13"/>
  <c r="AB35" i="13" s="1"/>
  <c r="AA54" i="13"/>
  <c r="AB54" i="13" s="1"/>
  <c r="AT54" i="13"/>
  <c r="AU54" i="13" s="1"/>
  <c r="AT26" i="13"/>
  <c r="AU26" i="13" s="1"/>
  <c r="AA26" i="13"/>
  <c r="AB26" i="13" s="1"/>
  <c r="AT5" i="13"/>
  <c r="AU5" i="13" s="1"/>
  <c r="AA5" i="13"/>
  <c r="AB5" i="13" s="1"/>
  <c r="AT58" i="13"/>
  <c r="AU58" i="13" s="1"/>
  <c r="AA58" i="13"/>
  <c r="AB58" i="13" s="1"/>
  <c r="AT61" i="13"/>
  <c r="AU61" i="13" s="1"/>
  <c r="AA61" i="13"/>
  <c r="AB61" i="13" s="1"/>
  <c r="AT57" i="13"/>
  <c r="AU57" i="13" s="1"/>
  <c r="AA57" i="13"/>
  <c r="AB57" i="13" s="1"/>
  <c r="AT52" i="13"/>
  <c r="AU52" i="13" s="1"/>
  <c r="AA52" i="13"/>
  <c r="AB52" i="13" s="1"/>
  <c r="AA22" i="13"/>
  <c r="AB22" i="13" s="1"/>
  <c r="AT22" i="13"/>
  <c r="AU22" i="13" s="1"/>
  <c r="AT43" i="13"/>
  <c r="AU43" i="13" s="1"/>
  <c r="AA43" i="13"/>
  <c r="AB43" i="13" s="1"/>
  <c r="AT36" i="13"/>
  <c r="AU36" i="13" s="1"/>
  <c r="AA36" i="13"/>
  <c r="AB36" i="13" s="1"/>
  <c r="AT18" i="13"/>
  <c r="AU18" i="13" s="1"/>
  <c r="AA18" i="13"/>
  <c r="AB18" i="13" s="1"/>
  <c r="AT60" i="13"/>
  <c r="AU60" i="13" s="1"/>
  <c r="AA60" i="13"/>
  <c r="AB60" i="13" s="1"/>
  <c r="AT34" i="13"/>
  <c r="AU34" i="13" s="1"/>
  <c r="AA34" i="13"/>
  <c r="AB34" i="13" s="1"/>
  <c r="AT4" i="13"/>
  <c r="AU4" i="13" s="1"/>
  <c r="AA4" i="13"/>
  <c r="AB4" i="13" s="1"/>
  <c r="Z50" i="13"/>
  <c r="Z56" i="13"/>
  <c r="Z48" i="13"/>
  <c r="Z40" i="13"/>
  <c r="Z32" i="13"/>
  <c r="Z24" i="13"/>
  <c r="Z16" i="13"/>
  <c r="Z8" i="13"/>
  <c r="AA53" i="13"/>
  <c r="AB53" i="13" s="1"/>
  <c r="AA45" i="13"/>
  <c r="AB45" i="13" s="1"/>
  <c r="AA37" i="13"/>
  <c r="AB37" i="13" s="1"/>
  <c r="AA29" i="13"/>
  <c r="AB29" i="13" s="1"/>
  <c r="AA21" i="13"/>
  <c r="AB21" i="13" s="1"/>
  <c r="AA13" i="13"/>
  <c r="AB13" i="13" s="1"/>
  <c r="AS58" i="13"/>
  <c r="AS42" i="13"/>
  <c r="AT62" i="13"/>
  <c r="AU62" i="13" s="1"/>
  <c r="AT38" i="13"/>
  <c r="AU38" i="13" s="1"/>
  <c r="AT30" i="13"/>
  <c r="AU30" i="13" s="1"/>
  <c r="AT14" i="13"/>
  <c r="AU14" i="13" s="1"/>
  <c r="AT6" i="13"/>
  <c r="AU6" i="13" s="1"/>
  <c r="Z55" i="13"/>
  <c r="Z47" i="13"/>
  <c r="Z39" i="13"/>
  <c r="Z31" i="13"/>
  <c r="Z23" i="13"/>
  <c r="Z15" i="13"/>
  <c r="Z7" i="13"/>
  <c r="AA44" i="13"/>
  <c r="AB44" i="13" s="1"/>
  <c r="AA28" i="13"/>
  <c r="AB28" i="13" s="1"/>
  <c r="AA20" i="13"/>
  <c r="AB20" i="13" s="1"/>
  <c r="AA12" i="13"/>
  <c r="AB12" i="13" s="1"/>
  <c r="AS57" i="13"/>
  <c r="AS49" i="13"/>
  <c r="AS41" i="13"/>
  <c r="AS33" i="13"/>
  <c r="AS25" i="13"/>
  <c r="AS17" i="13"/>
  <c r="AS9" i="13"/>
  <c r="Z62" i="13"/>
  <c r="Z54" i="13"/>
  <c r="Z46" i="13"/>
  <c r="Z38" i="13"/>
  <c r="Z30" i="13"/>
  <c r="Z22" i="13"/>
  <c r="Z14" i="13"/>
  <c r="Z6" i="13"/>
  <c r="AA59" i="13"/>
  <c r="AB59" i="13" s="1"/>
  <c r="AA51" i="13"/>
  <c r="AB51" i="13" s="1"/>
  <c r="AA27" i="13"/>
  <c r="AB27" i="13" s="1"/>
  <c r="AA11" i="13"/>
  <c r="AB11" i="13" s="1"/>
  <c r="AA3" i="13"/>
  <c r="AB3" i="13" s="1"/>
  <c r="Z61" i="13"/>
  <c r="Z53" i="13"/>
  <c r="Z45" i="13"/>
  <c r="Z37" i="13"/>
  <c r="Z29" i="13"/>
  <c r="Z21" i="13"/>
  <c r="Z13" i="13"/>
  <c r="Z5" i="13"/>
  <c r="AA50" i="13"/>
  <c r="AB50" i="13" s="1"/>
  <c r="AA42" i="13"/>
  <c r="AB42" i="13" s="1"/>
  <c r="Z60" i="13"/>
  <c r="Z52" i="13"/>
  <c r="Z44" i="13"/>
  <c r="Z36" i="13"/>
  <c r="Z28" i="13"/>
  <c r="Z20" i="13"/>
  <c r="Z12" i="13"/>
  <c r="Z4" i="13"/>
  <c r="AA49" i="13"/>
  <c r="AB49" i="13" s="1"/>
  <c r="AA41" i="13"/>
  <c r="AB41" i="13" s="1"/>
  <c r="AA33" i="13"/>
  <c r="AB33" i="13" s="1"/>
  <c r="AA17" i="13"/>
  <c r="AB17" i="13" s="1"/>
  <c r="AA9" i="13"/>
  <c r="AB9" i="13" s="1"/>
  <c r="Z59" i="13"/>
  <c r="Z51" i="13"/>
  <c r="Z43" i="13"/>
  <c r="Z35" i="13"/>
  <c r="Z27" i="13"/>
  <c r="Z19" i="13"/>
  <c r="Z11" i="13"/>
  <c r="Z3" i="13"/>
  <c r="AA56" i="13"/>
  <c r="AB56" i="13" s="1"/>
  <c r="AA48" i="13"/>
  <c r="AB48" i="13" s="1"/>
  <c r="AA40" i="13"/>
  <c r="AB40" i="13" s="1"/>
  <c r="AA32" i="13"/>
  <c r="AB32" i="13" s="1"/>
  <c r="AA24" i="13"/>
  <c r="AB24" i="13" s="1"/>
  <c r="AA16" i="13"/>
  <c r="AB16" i="13" s="1"/>
  <c r="AA8" i="13"/>
  <c r="AB8" i="13" s="1"/>
  <c r="AA55" i="13"/>
  <c r="AB55" i="13" s="1"/>
  <c r="AA47" i="13"/>
  <c r="AB47" i="13" s="1"/>
  <c r="AA39" i="13"/>
  <c r="AB39" i="13" s="1"/>
  <c r="AA31" i="13"/>
  <c r="AB31" i="13" s="1"/>
  <c r="AA23" i="13"/>
  <c r="AB23" i="13" s="1"/>
  <c r="AA15" i="13"/>
  <c r="AB15" i="13" s="1"/>
  <c r="AA7" i="13"/>
  <c r="AB7" i="13" s="1"/>
  <c r="I2" i="4"/>
  <c r="C19" i="4" s="1"/>
  <c r="E3" i="11"/>
  <c r="E4" i="11"/>
  <c r="E5" i="11"/>
  <c r="E6" i="11"/>
  <c r="E2" i="11"/>
  <c r="W57" i="10"/>
  <c r="D8" i="9"/>
  <c r="C8" i="9"/>
  <c r="B8" i="9"/>
  <c r="H4" i="9"/>
  <c r="H5" i="9"/>
  <c r="D6" i="9"/>
  <c r="C6" i="9"/>
  <c r="B6" i="9"/>
  <c r="I49" i="1"/>
  <c r="I14" i="7"/>
  <c r="C2" i="5"/>
  <c r="H3" i="9"/>
  <c r="F14" i="7"/>
  <c r="C94" i="5"/>
  <c r="E3" i="13" s="1" a="1"/>
  <c r="E3" i="13" s="1"/>
  <c r="G105" i="5"/>
  <c r="E62" i="13" s="1" a="1"/>
  <c r="E62" i="13" s="1"/>
  <c r="Y62" i="13" s="1"/>
  <c r="F105" i="5"/>
  <c r="E61" i="13" s="1" a="1"/>
  <c r="E61" i="13" s="1"/>
  <c r="AR61" i="13" s="1"/>
  <c r="E105" i="5"/>
  <c r="E60" i="13" s="1" a="1"/>
  <c r="E60" i="13" s="1"/>
  <c r="AR60" i="13" s="1"/>
  <c r="D105" i="5"/>
  <c r="E59" i="13" s="1" a="1"/>
  <c r="E59" i="13" s="1"/>
  <c r="J59" i="13" s="1"/>
  <c r="C105" i="5"/>
  <c r="E58" i="13" s="1" a="1"/>
  <c r="E58" i="13" s="1"/>
  <c r="AR58" i="13" s="1"/>
  <c r="G104" i="5"/>
  <c r="E57" i="13" s="1" a="1"/>
  <c r="E57" i="13" s="1"/>
  <c r="AR57" i="13" s="1"/>
  <c r="F104" i="5"/>
  <c r="E56" i="13" s="1" a="1"/>
  <c r="E56" i="13" s="1"/>
  <c r="AR56" i="13" s="1"/>
  <c r="AW56" i="13" s="1"/>
  <c r="E104" i="5"/>
  <c r="E55" i="13" s="1" a="1"/>
  <c r="E55" i="13" s="1"/>
  <c r="AR55" i="13" s="1"/>
  <c r="AW55" i="13" s="1"/>
  <c r="D104" i="5"/>
  <c r="E54" i="13" s="1" a="1"/>
  <c r="E54" i="13" s="1"/>
  <c r="Y54" i="13" s="1"/>
  <c r="C104" i="5"/>
  <c r="E53" i="13" s="1" a="1"/>
  <c r="E53" i="13" s="1"/>
  <c r="AR53" i="13" s="1"/>
  <c r="AW53" i="13" s="1"/>
  <c r="G103" i="5"/>
  <c r="E52" i="13" s="1" a="1"/>
  <c r="E52" i="13" s="1"/>
  <c r="AR52" i="13" s="1"/>
  <c r="F103" i="5"/>
  <c r="E51" i="13" s="1" a="1"/>
  <c r="E51" i="13" s="1"/>
  <c r="AR51" i="13" s="1"/>
  <c r="AW51" i="13" s="1"/>
  <c r="E103" i="5"/>
  <c r="E50" i="13" s="1" a="1"/>
  <c r="E50" i="13" s="1"/>
  <c r="AR50" i="13" s="1"/>
  <c r="AW50" i="13" s="1"/>
  <c r="D103" i="5"/>
  <c r="E49" i="13" s="1" a="1"/>
  <c r="E49" i="13" s="1"/>
  <c r="AR49" i="13" s="1"/>
  <c r="C103" i="5"/>
  <c r="E48" i="13" s="1" a="1"/>
  <c r="E48" i="13" s="1"/>
  <c r="AR48" i="13" s="1"/>
  <c r="AW48" i="13" s="1"/>
  <c r="G102" i="5"/>
  <c r="E47" i="13" s="1" a="1"/>
  <c r="E47" i="13" s="1"/>
  <c r="J47" i="13" s="1"/>
  <c r="F102" i="5"/>
  <c r="E46" i="13" s="1" a="1"/>
  <c r="E46" i="13" s="1"/>
  <c r="Y46" i="13" s="1"/>
  <c r="E102" i="5"/>
  <c r="E45" i="13" s="1" a="1"/>
  <c r="E45" i="13" s="1"/>
  <c r="AR45" i="13" s="1"/>
  <c r="AW45" i="13" s="1"/>
  <c r="D102" i="5"/>
  <c r="E44" i="13" s="1" a="1"/>
  <c r="E44" i="13" s="1"/>
  <c r="AR44" i="13" s="1"/>
  <c r="AW44" i="13" s="1"/>
  <c r="C102" i="5"/>
  <c r="E43" i="13" s="1" a="1"/>
  <c r="E43" i="13" s="1"/>
  <c r="AR43" i="13" s="1"/>
  <c r="G101" i="5"/>
  <c r="E42" i="13" s="1" a="1"/>
  <c r="E42" i="13" s="1"/>
  <c r="AR42" i="13" s="1"/>
  <c r="F101" i="5"/>
  <c r="E41" i="13" s="1" a="1"/>
  <c r="E41" i="13" s="1"/>
  <c r="AR41" i="13" s="1"/>
  <c r="E101" i="5"/>
  <c r="E40" i="13" s="1" a="1"/>
  <c r="E40" i="13" s="1"/>
  <c r="AR40" i="13" s="1"/>
  <c r="AW40" i="13" s="1"/>
  <c r="D101" i="5"/>
  <c r="E39" i="13" s="1" a="1"/>
  <c r="E39" i="13" s="1"/>
  <c r="AR39" i="13" s="1"/>
  <c r="AW39" i="13" s="1"/>
  <c r="C101" i="5"/>
  <c r="E38" i="13" s="1" a="1"/>
  <c r="E38" i="13" s="1"/>
  <c r="J38" i="13" s="1"/>
  <c r="G100" i="5"/>
  <c r="E37" i="13" s="1" a="1"/>
  <c r="E37" i="13" s="1"/>
  <c r="AR37" i="13" s="1"/>
  <c r="AW37" i="13" s="1"/>
  <c r="F100" i="5"/>
  <c r="E36" i="13" s="1" a="1"/>
  <c r="E36" i="13" s="1"/>
  <c r="AR36" i="13" s="1"/>
  <c r="E100" i="5"/>
  <c r="E35" i="13" s="1" a="1"/>
  <c r="E35" i="13" s="1"/>
  <c r="AR35" i="13" s="1"/>
  <c r="D100" i="5"/>
  <c r="E34" i="13" s="1" a="1"/>
  <c r="E34" i="13" s="1"/>
  <c r="AR34" i="13" s="1"/>
  <c r="C100" i="5"/>
  <c r="E33" i="13" s="1" a="1"/>
  <c r="E33" i="13" s="1"/>
  <c r="AR33" i="13" s="1"/>
  <c r="G99" i="5"/>
  <c r="E32" i="13" s="1" a="1"/>
  <c r="E32" i="13" s="1"/>
  <c r="AR32" i="13" s="1"/>
  <c r="AW32" i="13" s="1"/>
  <c r="F99" i="5"/>
  <c r="E31" i="13" s="1" a="1"/>
  <c r="E31" i="13" s="1"/>
  <c r="AR31" i="13" s="1"/>
  <c r="AW31" i="13" s="1"/>
  <c r="E99" i="5"/>
  <c r="E30" i="13" s="1" a="1"/>
  <c r="E30" i="13" s="1"/>
  <c r="Y30" i="13" s="1"/>
  <c r="D99" i="5"/>
  <c r="E29" i="13" s="1" a="1"/>
  <c r="E29" i="13" s="1"/>
  <c r="AR29" i="13" s="1"/>
  <c r="AW29" i="13" s="1"/>
  <c r="C99" i="5"/>
  <c r="E28" i="13" s="1" a="1"/>
  <c r="E28" i="13" s="1"/>
  <c r="AR28" i="13" s="1"/>
  <c r="AW28" i="13" s="1"/>
  <c r="G98" i="5"/>
  <c r="E27" i="13" s="1" a="1"/>
  <c r="E27" i="13" s="1"/>
  <c r="AR27" i="13" s="1"/>
  <c r="AW27" i="13" s="1"/>
  <c r="F98" i="5"/>
  <c r="E26" i="13" s="1" a="1"/>
  <c r="E26" i="13" s="1"/>
  <c r="AR26" i="13" s="1"/>
  <c r="E98" i="5"/>
  <c r="E25" i="13" s="1" a="1"/>
  <c r="E25" i="13" s="1"/>
  <c r="AR25" i="13" s="1"/>
  <c r="D98" i="5"/>
  <c r="E24" i="13" s="1" a="1"/>
  <c r="E24" i="13" s="1"/>
  <c r="AR24" i="13" s="1"/>
  <c r="AW24" i="13" s="1"/>
  <c r="C98" i="5"/>
  <c r="E23" i="13" s="1" a="1"/>
  <c r="E23" i="13" s="1"/>
  <c r="AR23" i="13" s="1"/>
  <c r="AW23" i="13" s="1"/>
  <c r="G97" i="5"/>
  <c r="E22" i="13" s="1" a="1"/>
  <c r="E22" i="13" s="1"/>
  <c r="Y22" i="13" s="1"/>
  <c r="F97" i="5"/>
  <c r="E21" i="13" s="1" a="1"/>
  <c r="E21" i="13" s="1"/>
  <c r="AR21" i="13" s="1"/>
  <c r="AW21" i="13" s="1"/>
  <c r="E97" i="5"/>
  <c r="E20" i="13" s="1" a="1"/>
  <c r="E20" i="13" s="1"/>
  <c r="AR20" i="13" s="1"/>
  <c r="AW20" i="13" s="1"/>
  <c r="D97" i="5"/>
  <c r="E19" i="13" s="1" a="1"/>
  <c r="E19" i="13" s="1"/>
  <c r="AR19" i="13" s="1"/>
  <c r="C97" i="5"/>
  <c r="E18" i="13" s="1" a="1"/>
  <c r="E18" i="13" s="1"/>
  <c r="AR18" i="13" s="1"/>
  <c r="G96" i="5"/>
  <c r="E17" i="13" s="1" a="1"/>
  <c r="E17" i="13" s="1"/>
  <c r="AR17" i="13" s="1"/>
  <c r="F96" i="5"/>
  <c r="E16" i="13" s="1" a="1"/>
  <c r="E16" i="13" s="1"/>
  <c r="AR16" i="13" s="1"/>
  <c r="AW16" i="13" s="1"/>
  <c r="E96" i="5"/>
  <c r="E15" i="13" s="1" a="1"/>
  <c r="E15" i="13" s="1"/>
  <c r="AR15" i="13" s="1"/>
  <c r="AW15" i="13" s="1"/>
  <c r="D96" i="5"/>
  <c r="E14" i="13" s="1" a="1"/>
  <c r="E14" i="13" s="1"/>
  <c r="Y14" i="13" s="1"/>
  <c r="C96" i="5"/>
  <c r="E13" i="13" s="1" a="1"/>
  <c r="E13" i="13" s="1"/>
  <c r="AR13" i="13" s="1"/>
  <c r="AW13" i="13" s="1"/>
  <c r="G95" i="5"/>
  <c r="E12" i="13" s="1" a="1"/>
  <c r="E12" i="13" s="1"/>
  <c r="AR12" i="13" s="1"/>
  <c r="AW12" i="13" s="1"/>
  <c r="F95" i="5"/>
  <c r="E11" i="13" s="1" a="1"/>
  <c r="E11" i="13" s="1"/>
  <c r="AR11" i="13" s="1"/>
  <c r="AW11" i="13" s="1"/>
  <c r="E95" i="5"/>
  <c r="E10" i="13" s="1" a="1"/>
  <c r="E10" i="13" s="1"/>
  <c r="AR10" i="13" s="1"/>
  <c r="D95" i="5"/>
  <c r="E9" i="13" s="1" a="1"/>
  <c r="E9" i="13" s="1"/>
  <c r="AR9" i="13" s="1"/>
  <c r="C95" i="5"/>
  <c r="E8" i="13" s="1" a="1"/>
  <c r="E8" i="13" s="1"/>
  <c r="AR8" i="13" s="1"/>
  <c r="AW8" i="13" s="1"/>
  <c r="G94" i="5"/>
  <c r="E7" i="13" s="1" a="1"/>
  <c r="E7" i="13" s="1"/>
  <c r="AR7" i="13" s="1"/>
  <c r="AW7" i="13" s="1"/>
  <c r="F94" i="5"/>
  <c r="E6" i="13" s="1" a="1"/>
  <c r="E6" i="13" s="1"/>
  <c r="Y6" i="13" s="1"/>
  <c r="E94" i="5"/>
  <c r="E5" i="13" s="1" a="1"/>
  <c r="E5" i="13" s="1"/>
  <c r="AR5" i="13" s="1"/>
  <c r="D94" i="5"/>
  <c r="E4" i="13" s="1" a="1"/>
  <c r="E4" i="13" s="1"/>
  <c r="AR4" i="13" s="1"/>
  <c r="G13" i="5"/>
  <c r="F13" i="5"/>
  <c r="E13" i="5"/>
  <c r="D13" i="5"/>
  <c r="C13" i="5"/>
  <c r="G12" i="5"/>
  <c r="F12" i="5"/>
  <c r="E12" i="5"/>
  <c r="D12" i="5"/>
  <c r="C12" i="5"/>
  <c r="G11" i="5"/>
  <c r="F11" i="5"/>
  <c r="E11" i="5"/>
  <c r="D11" i="5"/>
  <c r="C11" i="5"/>
  <c r="G10" i="5"/>
  <c r="F10" i="5"/>
  <c r="E10" i="5"/>
  <c r="D10" i="5"/>
  <c r="C10" i="5"/>
  <c r="G9" i="5"/>
  <c r="F9" i="5"/>
  <c r="E9" i="5"/>
  <c r="D9" i="5"/>
  <c r="C9" i="5"/>
  <c r="G8" i="5"/>
  <c r="F8" i="5"/>
  <c r="E8" i="5"/>
  <c r="D8" i="5"/>
  <c r="C8" i="5"/>
  <c r="G7" i="5"/>
  <c r="F7" i="5"/>
  <c r="E7" i="5"/>
  <c r="D7" i="5"/>
  <c r="C7" i="5"/>
  <c r="G6" i="5"/>
  <c r="F6" i="5"/>
  <c r="E6" i="5"/>
  <c r="D6" i="5"/>
  <c r="C6" i="5"/>
  <c r="G5" i="5"/>
  <c r="F5" i="5"/>
  <c r="E5" i="5"/>
  <c r="D5" i="5"/>
  <c r="C5" i="5"/>
  <c r="G4" i="5"/>
  <c r="F4" i="5"/>
  <c r="E4" i="5"/>
  <c r="D4" i="5"/>
  <c r="C4" i="5"/>
  <c r="G3" i="5"/>
  <c r="F3" i="5"/>
  <c r="E3" i="5"/>
  <c r="D3" i="5"/>
  <c r="C3" i="5"/>
  <c r="G2" i="5"/>
  <c r="F2" i="5"/>
  <c r="E2" i="5"/>
  <c r="D2" i="5"/>
  <c r="D36" i="2"/>
  <c r="B38" i="2"/>
  <c r="C38" i="2"/>
  <c r="D38" i="2"/>
  <c r="E38" i="2"/>
  <c r="F38" i="2"/>
  <c r="B39" i="2"/>
  <c r="C39" i="2"/>
  <c r="D39" i="2"/>
  <c r="E39" i="2"/>
  <c r="F39" i="2"/>
  <c r="C37" i="2"/>
  <c r="D37" i="2"/>
  <c r="E37" i="2"/>
  <c r="F37" i="2"/>
  <c r="C36" i="2"/>
  <c r="F36" i="2"/>
  <c r="E36" i="2"/>
  <c r="B37" i="2"/>
  <c r="B36" i="2"/>
  <c r="B30" i="2"/>
  <c r="B58" i="2" s="1"/>
  <c r="B31" i="2"/>
  <c r="C59" i="2" s="1"/>
  <c r="B32" i="2"/>
  <c r="D59" i="2" s="1"/>
  <c r="I46" i="1"/>
  <c r="I48" i="1" s="1"/>
  <c r="E54" i="1"/>
  <c r="E55" i="1"/>
  <c r="E56" i="1"/>
  <c r="C54" i="1"/>
  <c r="C55" i="1"/>
  <c r="C56" i="1"/>
  <c r="D45" i="1"/>
  <c r="D46" i="1"/>
  <c r="D47" i="1"/>
  <c r="D48" i="1"/>
  <c r="AC3" i="13" l="1" a="1"/>
  <c r="AC3" i="13" s="1"/>
  <c r="AX31" i="13" a="1"/>
  <c r="AX31" i="13" s="1"/>
  <c r="J29" i="13"/>
  <c r="Y13" i="13"/>
  <c r="AD13" i="13" s="1"/>
  <c r="Y21" i="13"/>
  <c r="AD21" i="13" s="1"/>
  <c r="Y57" i="13"/>
  <c r="AD57" i="13" s="1"/>
  <c r="Y33" i="13"/>
  <c r="AD33" i="13" s="1"/>
  <c r="J19" i="13"/>
  <c r="K19" i="13" s="1" a="1"/>
  <c r="K19" i="13" s="1"/>
  <c r="J37" i="13"/>
  <c r="K37" i="13" s="1" a="1"/>
  <c r="K37" i="13" s="1"/>
  <c r="Y20" i="13"/>
  <c r="AD20" i="13" s="1"/>
  <c r="AR38" i="13"/>
  <c r="AW38" i="13" s="1"/>
  <c r="J27" i="13"/>
  <c r="K27" i="13" s="1" a="1"/>
  <c r="K27" i="13" s="1"/>
  <c r="J45" i="13"/>
  <c r="J35" i="13"/>
  <c r="K35" i="13" s="1" a="1"/>
  <c r="K35" i="13" s="1"/>
  <c r="J53" i="13"/>
  <c r="K53" i="13" s="1" a="1"/>
  <c r="K53" i="13" s="1"/>
  <c r="J31" i="13"/>
  <c r="K31" i="13" s="1" a="1"/>
  <c r="K31" i="13" s="1"/>
  <c r="J28" i="13"/>
  <c r="K28" i="13" s="1" a="1"/>
  <c r="K28" i="13" s="1"/>
  <c r="J10" i="13"/>
  <c r="K10" i="13" s="1" a="1"/>
  <c r="K10" i="13" s="1"/>
  <c r="Y28" i="13"/>
  <c r="Y27" i="13"/>
  <c r="AD27" i="13" s="1"/>
  <c r="AR62" i="13"/>
  <c r="AW62" i="13" s="1"/>
  <c r="Y29" i="13"/>
  <c r="AD29" i="13" s="1"/>
  <c r="Y47" i="13"/>
  <c r="AD47" i="13" s="1"/>
  <c r="Y23" i="13"/>
  <c r="AD23" i="13" s="1"/>
  <c r="J55" i="13"/>
  <c r="K55" i="13" s="1" a="1"/>
  <c r="K55" i="13" s="1"/>
  <c r="J36" i="13"/>
  <c r="K36" i="13" s="1" a="1"/>
  <c r="K36" i="13" s="1"/>
  <c r="J30" i="13"/>
  <c r="Y3" i="13"/>
  <c r="AD3" i="13" s="1"/>
  <c r="AR54" i="13"/>
  <c r="AW54" i="13" s="1"/>
  <c r="Y35" i="13"/>
  <c r="AD35" i="13" s="1"/>
  <c r="Y37" i="13"/>
  <c r="AD37" i="13" s="1"/>
  <c r="Y9" i="13"/>
  <c r="AD9" i="13" s="1"/>
  <c r="AR47" i="13"/>
  <c r="AW47" i="13" s="1"/>
  <c r="AX47" i="13" s="1" a="1"/>
  <c r="AX47" i="13" s="1"/>
  <c r="Y31" i="13"/>
  <c r="AD31" i="13" s="1"/>
  <c r="J44" i="13"/>
  <c r="J54" i="13"/>
  <c r="AR3" i="13"/>
  <c r="AW3" i="13" s="1"/>
  <c r="AX3" i="13" s="1" a="1"/>
  <c r="AX3" i="13" s="1"/>
  <c r="Y36" i="13"/>
  <c r="AD36" i="13" s="1"/>
  <c r="Y50" i="13"/>
  <c r="AD50" i="13" s="1"/>
  <c r="Y43" i="13"/>
  <c r="AD43" i="13" s="1"/>
  <c r="AD30" i="13"/>
  <c r="AE30" i="13" s="1" a="1"/>
  <c r="AE30" i="13" s="1"/>
  <c r="AW4" i="13"/>
  <c r="AW42" i="13"/>
  <c r="AX42" i="13" s="1" a="1"/>
  <c r="AX42" i="13" s="1"/>
  <c r="Y16" i="13"/>
  <c r="AD16" i="13" s="1"/>
  <c r="Y51" i="13"/>
  <c r="AD51" i="13" s="1"/>
  <c r="Y44" i="13"/>
  <c r="AD44" i="13" s="1"/>
  <c r="AW18" i="13"/>
  <c r="AW52" i="13"/>
  <c r="Y38" i="13"/>
  <c r="AD38" i="13" s="1"/>
  <c r="AE38" i="13" s="1" a="1"/>
  <c r="AE38" i="13" s="1"/>
  <c r="J8" i="13"/>
  <c r="K8" i="13" s="1" a="1"/>
  <c r="K8" i="13" s="1"/>
  <c r="J25" i="13"/>
  <c r="J43" i="13"/>
  <c r="K43" i="13" s="1" a="1"/>
  <c r="K43" i="13" s="1"/>
  <c r="J52" i="13"/>
  <c r="K52" i="13" s="1" a="1"/>
  <c r="K52" i="13" s="1"/>
  <c r="J18" i="13"/>
  <c r="K18" i="13" s="1" a="1"/>
  <c r="K18" i="13" s="1"/>
  <c r="J9" i="13"/>
  <c r="K9" i="13" s="1" a="1"/>
  <c r="K9" i="13" s="1"/>
  <c r="Y10" i="13"/>
  <c r="AD10" i="13" s="1"/>
  <c r="Y52" i="13"/>
  <c r="AD52" i="13" s="1"/>
  <c r="AR6" i="13"/>
  <c r="AW6" i="13" s="1"/>
  <c r="Y45" i="13"/>
  <c r="AD45" i="13" s="1"/>
  <c r="Y34" i="13"/>
  <c r="AD34" i="13" s="1"/>
  <c r="Y24" i="13"/>
  <c r="AD24" i="13" s="1"/>
  <c r="AR46" i="13"/>
  <c r="AW46" i="13" s="1"/>
  <c r="J7" i="13"/>
  <c r="K7" i="13" s="1" a="1"/>
  <c r="K7" i="13" s="1"/>
  <c r="J16" i="13"/>
  <c r="K16" i="13" s="1" a="1"/>
  <c r="K16" i="13" s="1"/>
  <c r="J57" i="13"/>
  <c r="K57" i="13" s="1" a="1"/>
  <c r="K57" i="13" s="1"/>
  <c r="J51" i="13"/>
  <c r="K51" i="13" s="1" a="1"/>
  <c r="K51" i="13" s="1"/>
  <c r="J34" i="13"/>
  <c r="J46" i="13"/>
  <c r="J56" i="13"/>
  <c r="K56" i="13" s="1" a="1"/>
  <c r="K56" i="13" s="1"/>
  <c r="AW49" i="13"/>
  <c r="AX49" i="13" s="1" a="1"/>
  <c r="AX49" i="13" s="1"/>
  <c r="J49" i="13"/>
  <c r="K49" i="13" s="1" a="1"/>
  <c r="K49" i="13" s="1"/>
  <c r="J24" i="13"/>
  <c r="K24" i="13" s="1" a="1"/>
  <c r="K24" i="13" s="1"/>
  <c r="Y32" i="13"/>
  <c r="AD32" i="13" s="1"/>
  <c r="Y40" i="13"/>
  <c r="AD40" i="13" s="1"/>
  <c r="Y17" i="13"/>
  <c r="AD17" i="13" s="1"/>
  <c r="Y18" i="13"/>
  <c r="AD18" i="13" s="1"/>
  <c r="AW17" i="13"/>
  <c r="AX17" i="13" s="1" a="1"/>
  <c r="AX17" i="13" s="1"/>
  <c r="AR14" i="13"/>
  <c r="AW14" i="13" s="1"/>
  <c r="Y53" i="13"/>
  <c r="AD53" i="13" s="1"/>
  <c r="AW5" i="13"/>
  <c r="J15" i="13"/>
  <c r="K15" i="13" s="1" a="1"/>
  <c r="K15" i="13" s="1"/>
  <c r="J32" i="13"/>
  <c r="K32" i="13" s="1" a="1"/>
  <c r="K32" i="13" s="1"/>
  <c r="J26" i="13"/>
  <c r="J4" i="13"/>
  <c r="K4" i="13" s="1" a="1"/>
  <c r="K4" i="13" s="1"/>
  <c r="J5" i="13"/>
  <c r="K5" i="13" s="1" a="1"/>
  <c r="K5" i="13" s="1"/>
  <c r="J6" i="13"/>
  <c r="K6" i="13" s="1" a="1"/>
  <c r="K6" i="13" s="1"/>
  <c r="J42" i="13"/>
  <c r="K42" i="13" s="1" a="1"/>
  <c r="K42" i="13" s="1"/>
  <c r="J33" i="13"/>
  <c r="K33" i="13" s="1" a="1"/>
  <c r="K33" i="13" s="1"/>
  <c r="Y8" i="13"/>
  <c r="AD8" i="13" s="1"/>
  <c r="Y48" i="13"/>
  <c r="AD48" i="13" s="1"/>
  <c r="Y25" i="13"/>
  <c r="AD25" i="13" s="1"/>
  <c r="Y26" i="13"/>
  <c r="AD26" i="13" s="1"/>
  <c r="AD6" i="13"/>
  <c r="AE6" i="13" s="1" a="1"/>
  <c r="AE6" i="13" s="1"/>
  <c r="Y11" i="13"/>
  <c r="AD11" i="13" s="1"/>
  <c r="Y4" i="13"/>
  <c r="AD4" i="13" s="1"/>
  <c r="AR22" i="13"/>
  <c r="AW22" i="13" s="1"/>
  <c r="Y41" i="13"/>
  <c r="AD41" i="13" s="1"/>
  <c r="Y7" i="13"/>
  <c r="AD7" i="13" s="1"/>
  <c r="J23" i="13"/>
  <c r="J40" i="13"/>
  <c r="J3" i="13"/>
  <c r="K3" i="13" s="1" a="1"/>
  <c r="K3" i="13" s="1"/>
  <c r="J12" i="13"/>
  <c r="K12" i="13" s="1" a="1"/>
  <c r="K12" i="13" s="1"/>
  <c r="J13" i="13"/>
  <c r="K13" i="13" s="1" a="1"/>
  <c r="K13" i="13" s="1"/>
  <c r="J14" i="13"/>
  <c r="K14" i="13" s="1" a="1"/>
  <c r="K14" i="13" s="1"/>
  <c r="J50" i="13"/>
  <c r="K50" i="13" s="1" a="1"/>
  <c r="K50" i="13" s="1"/>
  <c r="J41" i="13"/>
  <c r="K41" i="13" s="1" a="1"/>
  <c r="K41" i="13" s="1"/>
  <c r="J17" i="13"/>
  <c r="Y56" i="13"/>
  <c r="AD56" i="13" s="1"/>
  <c r="Y49" i="13"/>
  <c r="AD49" i="13" s="1"/>
  <c r="Y42" i="13"/>
  <c r="AD42" i="13" s="1"/>
  <c r="AD14" i="13"/>
  <c r="AE14" i="13" s="1" a="1"/>
  <c r="AE14" i="13" s="1"/>
  <c r="Y19" i="13"/>
  <c r="AD19" i="13" s="1"/>
  <c r="Y12" i="13"/>
  <c r="AD12" i="13" s="1"/>
  <c r="AR30" i="13"/>
  <c r="AW30" i="13" s="1"/>
  <c r="Y5" i="13"/>
  <c r="Y55" i="13"/>
  <c r="AW26" i="13"/>
  <c r="Y39" i="13"/>
  <c r="AD39" i="13" s="1"/>
  <c r="Y15" i="13"/>
  <c r="AD15" i="13" s="1"/>
  <c r="J39" i="13"/>
  <c r="K39" i="13" s="1" a="1"/>
  <c r="K39" i="13" s="1"/>
  <c r="J48" i="13"/>
  <c r="K48" i="13" s="1" a="1"/>
  <c r="K48" i="13" s="1"/>
  <c r="J11" i="13"/>
  <c r="K11" i="13" s="1" a="1"/>
  <c r="K11" i="13" s="1"/>
  <c r="J20" i="13"/>
  <c r="J21" i="13"/>
  <c r="J22" i="13"/>
  <c r="K22" i="13" s="1" a="1"/>
  <c r="K22" i="13" s="1"/>
  <c r="J58" i="13"/>
  <c r="K58" i="13" s="1" a="1"/>
  <c r="K58" i="13" s="1"/>
  <c r="J61" i="13"/>
  <c r="K61" i="13" s="1" a="1"/>
  <c r="K61" i="13" s="1"/>
  <c r="Y59" i="13"/>
  <c r="AD59" i="13" s="1"/>
  <c r="Y61" i="13"/>
  <c r="AD61" i="13" s="1"/>
  <c r="AR59" i="13"/>
  <c r="AW59" i="13" s="1"/>
  <c r="AX59" i="13" s="1" a="1"/>
  <c r="AX59" i="13" s="1"/>
  <c r="Y60" i="13"/>
  <c r="AD60" i="13" s="1"/>
  <c r="Y58" i="13"/>
  <c r="AD58" i="13" s="1"/>
  <c r="AD62" i="13"/>
  <c r="AE62" i="13" s="1" a="1"/>
  <c r="AE62" i="13" s="1"/>
  <c r="J60" i="13"/>
  <c r="K60" i="13" s="1" a="1"/>
  <c r="K60" i="13" s="1"/>
  <c r="J62" i="13"/>
  <c r="K62" i="13" s="1" a="1"/>
  <c r="K62" i="13" s="1"/>
  <c r="AX23" i="13" a="1"/>
  <c r="AX23" i="13" s="1"/>
  <c r="AX55" i="13" a="1"/>
  <c r="AX55" i="13" s="1"/>
  <c r="AX7" i="13" a="1"/>
  <c r="AX7" i="13" s="1"/>
  <c r="AX50" i="13" a="1"/>
  <c r="AX50" i="13" s="1"/>
  <c r="AX15" i="13" a="1"/>
  <c r="AX15" i="13" s="1"/>
  <c r="AX16" i="13" a="1"/>
  <c r="AX16" i="13" s="1"/>
  <c r="AX11" i="13" a="1"/>
  <c r="AX11" i="13" s="1"/>
  <c r="AX53" i="13" a="1"/>
  <c r="AX53" i="13" s="1"/>
  <c r="AX39" i="13" a="1"/>
  <c r="AX39" i="13" s="1"/>
  <c r="AX27" i="13" a="1"/>
  <c r="AX27" i="13" s="1"/>
  <c r="AX8" i="13" a="1"/>
  <c r="AX8" i="13" s="1"/>
  <c r="AX13" i="13" a="1"/>
  <c r="AX13" i="13" s="1"/>
  <c r="AX21" i="13" a="1"/>
  <c r="AX21" i="13" s="1"/>
  <c r="AX20" i="13" a="1"/>
  <c r="AX20" i="13" s="1"/>
  <c r="AX28" i="13" a="1"/>
  <c r="AX28" i="13" s="1"/>
  <c r="AX32" i="13" a="1"/>
  <c r="AX32" i="13" s="1"/>
  <c r="AX44" i="13" a="1"/>
  <c r="AX44" i="13" s="1"/>
  <c r="AX51" i="13" a="1"/>
  <c r="AX51" i="13" s="1"/>
  <c r="AX48" i="13" a="1"/>
  <c r="AX48" i="13" s="1"/>
  <c r="AX56" i="13" a="1"/>
  <c r="AX56" i="13" s="1"/>
  <c r="AX45" i="13" a="1"/>
  <c r="AX45" i="13" s="1"/>
  <c r="AX12" i="13" a="1"/>
  <c r="AX12" i="13" s="1"/>
  <c r="AW41" i="13"/>
  <c r="AX41" i="13" s="1" a="1"/>
  <c r="AX41" i="13" s="1"/>
  <c r="AX40" i="13" a="1"/>
  <c r="AX40" i="13" s="1"/>
  <c r="AW57" i="13"/>
  <c r="AW25" i="13"/>
  <c r="AX29" i="13" a="1"/>
  <c r="AX29" i="13" s="1"/>
  <c r="AX24" i="13" a="1"/>
  <c r="AX24" i="13" s="1"/>
  <c r="AX37" i="13" a="1"/>
  <c r="AX37" i="13" s="1"/>
  <c r="AV61" i="13" a="1"/>
  <c r="AV61" i="13" s="1"/>
  <c r="AV54" i="13" a="1"/>
  <c r="AV54" i="13" s="1"/>
  <c r="AW61" i="13"/>
  <c r="AV43" i="13" a="1"/>
  <c r="AV43" i="13" s="1"/>
  <c r="AV58" i="13" a="1"/>
  <c r="AV58" i="13" s="1"/>
  <c r="AV36" i="13" a="1"/>
  <c r="AV36" i="13" s="1"/>
  <c r="AV34" i="13" a="1"/>
  <c r="AV34" i="13" s="1"/>
  <c r="AW9" i="13"/>
  <c r="AX9" i="13" s="1" a="1"/>
  <c r="AX9" i="13" s="1"/>
  <c r="AW33" i="13"/>
  <c r="AX33" i="13" s="1" a="1"/>
  <c r="AX33" i="13" s="1"/>
  <c r="AV6" i="13" a="1"/>
  <c r="AV6" i="13" s="1"/>
  <c r="AW58" i="13"/>
  <c r="AV46" i="13" a="1"/>
  <c r="AV46" i="13" s="1"/>
  <c r="AV10" i="13" a="1"/>
  <c r="AV10" i="13" s="1"/>
  <c r="AV26" i="13" a="1"/>
  <c r="AV26" i="13" s="1"/>
  <c r="AV14" i="13" a="1"/>
  <c r="AV14" i="13" s="1"/>
  <c r="AW36" i="13"/>
  <c r="AV4" i="13" a="1"/>
  <c r="AV4" i="13" s="1"/>
  <c r="AV18" i="13" a="1"/>
  <c r="AV18" i="13" s="1"/>
  <c r="AV35" i="13" a="1"/>
  <c r="AV35" i="13" s="1"/>
  <c r="AV30" i="13" a="1"/>
  <c r="AV30" i="13" s="1"/>
  <c r="AV38" i="13" a="1"/>
  <c r="AV38" i="13" s="1"/>
  <c r="AW34" i="13"/>
  <c r="AV57" i="13" a="1"/>
  <c r="AV57" i="13" s="1"/>
  <c r="AV5" i="13" a="1"/>
  <c r="AV5" i="13" s="1"/>
  <c r="AV19" i="13" a="1"/>
  <c r="AV19" i="13" s="1"/>
  <c r="AV25" i="13" a="1"/>
  <c r="AV25" i="13" s="1"/>
  <c r="AW19" i="13"/>
  <c r="AV60" i="13" a="1"/>
  <c r="AV60" i="13" s="1"/>
  <c r="AV52" i="13" a="1"/>
  <c r="AV52" i="13" s="1"/>
  <c r="AV62" i="13" a="1"/>
  <c r="AV62" i="13" s="1"/>
  <c r="AV22" i="13" a="1"/>
  <c r="AV22" i="13" s="1"/>
  <c r="AW60" i="13"/>
  <c r="AW43" i="13"/>
  <c r="AW10" i="13"/>
  <c r="AW35" i="13"/>
  <c r="AC47" i="13" a="1"/>
  <c r="AC47" i="13" s="1"/>
  <c r="AC17" i="13" a="1"/>
  <c r="AC17" i="13" s="1"/>
  <c r="AC53" i="13" a="1"/>
  <c r="AC53" i="13" s="1"/>
  <c r="AD5" i="13"/>
  <c r="AC57" i="13" a="1"/>
  <c r="AC57" i="13" s="1"/>
  <c r="AC5" i="13" a="1"/>
  <c r="AC5" i="13" s="1"/>
  <c r="AC19" i="13" a="1"/>
  <c r="AC19" i="13" s="1"/>
  <c r="AC25" i="13" a="1"/>
  <c r="AC25" i="13" s="1"/>
  <c r="AC56" i="13" a="1"/>
  <c r="AC56" i="13" s="1"/>
  <c r="AC33" i="13" a="1"/>
  <c r="AC33" i="13" s="1"/>
  <c r="AC42" i="13" a="1"/>
  <c r="AC42" i="13" s="1"/>
  <c r="AD28" i="13"/>
  <c r="AD55" i="13"/>
  <c r="AD46" i="13"/>
  <c r="AC55" i="13" a="1"/>
  <c r="AC55" i="13" s="1"/>
  <c r="AC8" i="13" a="1"/>
  <c r="AC8" i="13" s="1"/>
  <c r="AC41" i="13" a="1"/>
  <c r="AC41" i="13" s="1"/>
  <c r="AC50" i="13" a="1"/>
  <c r="AC50" i="13" s="1"/>
  <c r="AC11" i="13" a="1"/>
  <c r="AC11" i="13" s="1"/>
  <c r="AC4" i="13" a="1"/>
  <c r="AC4" i="13" s="1"/>
  <c r="AC60" i="13" a="1"/>
  <c r="AC60" i="13" s="1"/>
  <c r="AC36" i="13" a="1"/>
  <c r="AC36" i="13" s="1"/>
  <c r="AC61" i="13" a="1"/>
  <c r="AC61" i="13" s="1"/>
  <c r="AC26" i="13" a="1"/>
  <c r="AC26" i="13" s="1"/>
  <c r="AC16" i="13" a="1"/>
  <c r="AC16" i="13" s="1"/>
  <c r="AC49" i="13" a="1"/>
  <c r="AC49" i="13" s="1"/>
  <c r="AC27" i="13" a="1"/>
  <c r="AC27" i="13" s="1"/>
  <c r="AC12" i="13" a="1"/>
  <c r="AC12" i="13" s="1"/>
  <c r="AC13" i="13" a="1"/>
  <c r="AC13" i="13" s="1"/>
  <c r="AC22" i="13" a="1"/>
  <c r="AC22" i="13" s="1"/>
  <c r="AD22" i="13"/>
  <c r="AC7" i="13" a="1"/>
  <c r="AC7" i="13" s="1"/>
  <c r="AC51" i="13" a="1"/>
  <c r="AC51" i="13" s="1"/>
  <c r="AC20" i="13" a="1"/>
  <c r="AC20" i="13" s="1"/>
  <c r="AC21" i="13" a="1"/>
  <c r="AC21" i="13" s="1"/>
  <c r="AC34" i="13" a="1"/>
  <c r="AC34" i="13" s="1"/>
  <c r="AC43" i="13" a="1"/>
  <c r="AC43" i="13" s="1"/>
  <c r="AC58" i="13" a="1"/>
  <c r="AC58" i="13" s="1"/>
  <c r="AC15" i="13" a="1"/>
  <c r="AC15" i="13" s="1"/>
  <c r="AC23" i="13" a="1"/>
  <c r="AC23" i="13" s="1"/>
  <c r="AC32" i="13" a="1"/>
  <c r="AC32" i="13" s="1"/>
  <c r="AC59" i="13" a="1"/>
  <c r="AC59" i="13" s="1"/>
  <c r="AC28" i="13" a="1"/>
  <c r="AC28" i="13" s="1"/>
  <c r="AC29" i="13" a="1"/>
  <c r="AC29" i="13" s="1"/>
  <c r="AC54" i="13" a="1"/>
  <c r="AC54" i="13" s="1"/>
  <c r="AC46" i="13" a="1"/>
  <c r="AC46" i="13" s="1"/>
  <c r="AD54" i="13"/>
  <c r="AC31" i="13" a="1"/>
  <c r="AC31" i="13" s="1"/>
  <c r="AC40" i="13" a="1"/>
  <c r="AC40" i="13" s="1"/>
  <c r="AC44" i="13" a="1"/>
  <c r="AC44" i="13" s="1"/>
  <c r="AC37" i="13" a="1"/>
  <c r="AC37" i="13" s="1"/>
  <c r="AC18" i="13" a="1"/>
  <c r="AC18" i="13" s="1"/>
  <c r="AC52" i="13" a="1"/>
  <c r="AC52" i="13" s="1"/>
  <c r="AC35" i="13" a="1"/>
  <c r="AC35" i="13" s="1"/>
  <c r="AC10" i="13" a="1"/>
  <c r="AC10" i="13" s="1"/>
  <c r="AC24" i="13" a="1"/>
  <c r="AC24" i="13" s="1"/>
  <c r="AC39" i="13" a="1"/>
  <c r="AC39" i="13" s="1"/>
  <c r="AC48" i="13" a="1"/>
  <c r="AC48" i="13" s="1"/>
  <c r="AC9" i="13" a="1"/>
  <c r="AC9" i="13" s="1"/>
  <c r="AC45" i="13" a="1"/>
  <c r="AC45" i="13" s="1"/>
  <c r="K26" i="13" a="1"/>
  <c r="K26" i="13" s="1"/>
  <c r="K21" i="13" a="1"/>
  <c r="K21" i="13" s="1"/>
  <c r="K29" i="13" a="1"/>
  <c r="K29" i="13" s="1"/>
  <c r="K25" i="13" a="1"/>
  <c r="K25" i="13" s="1"/>
  <c r="K44" i="13" a="1"/>
  <c r="K44" i="13" s="1"/>
  <c r="K30" i="13" a="1"/>
  <c r="K30" i="13" s="1"/>
  <c r="K59" i="13" a="1"/>
  <c r="K59" i="13" s="1"/>
  <c r="K45" i="13" a="1"/>
  <c r="K45" i="13" s="1"/>
  <c r="K54" i="13" a="1"/>
  <c r="K54" i="13" s="1"/>
  <c r="K47" i="13" a="1"/>
  <c r="K47" i="13" s="1"/>
  <c r="K23" i="13" a="1"/>
  <c r="K23" i="13" s="1"/>
  <c r="K40" i="13" a="1"/>
  <c r="K40" i="13" s="1"/>
  <c r="K38" i="13" a="1"/>
  <c r="K38" i="13" s="1"/>
  <c r="K17" i="13" a="1"/>
  <c r="K17" i="13" s="1"/>
  <c r="K20" i="13" a="1"/>
  <c r="K20" i="13" s="1"/>
  <c r="K34" i="13" a="1"/>
  <c r="K34" i="13" s="1"/>
  <c r="K46" i="13" a="1"/>
  <c r="K46" i="13" s="1"/>
  <c r="A40" i="10" a="1"/>
  <c r="A40" i="10" s="1"/>
  <c r="D18" i="4"/>
  <c r="E28" i="4"/>
  <c r="M58" i="4" s="1"/>
  <c r="G26" i="4"/>
  <c r="C40" i="10" s="1" a="1"/>
  <c r="C40" i="10" s="1"/>
  <c r="D25" i="4"/>
  <c r="L40" i="4" s="1" a="1"/>
  <c r="L40" i="4" s="1"/>
  <c r="F23" i="4"/>
  <c r="N53" i="4" s="1"/>
  <c r="C22" i="4"/>
  <c r="K52" i="4" s="1"/>
  <c r="D20" i="4"/>
  <c r="L35" i="4" s="1" a="1"/>
  <c r="L35" i="4" s="1"/>
  <c r="G29" i="4"/>
  <c r="O44" i="4" s="1" a="1"/>
  <c r="O44" i="4" s="1"/>
  <c r="D28" i="4"/>
  <c r="F26" i="4"/>
  <c r="C25" i="4"/>
  <c r="K55" i="4" s="1"/>
  <c r="E23" i="4"/>
  <c r="G21" i="4"/>
  <c r="O51" i="4" s="1"/>
  <c r="C20" i="4"/>
  <c r="K50" i="4" s="1"/>
  <c r="E29" i="4"/>
  <c r="M59" i="4" s="1"/>
  <c r="G27" i="4"/>
  <c r="O42" i="4" s="1" a="1"/>
  <c r="O42" i="4" s="1"/>
  <c r="D26" i="4"/>
  <c r="F24" i="4"/>
  <c r="C23" i="4"/>
  <c r="K53" i="4" s="1"/>
  <c r="E21" i="4"/>
  <c r="M36" i="4" s="1" a="1"/>
  <c r="M36" i="4" s="1"/>
  <c r="G19" i="4"/>
  <c r="O49" i="4" s="1"/>
  <c r="E20" i="4"/>
  <c r="M50" i="4" s="1"/>
  <c r="F29" i="4"/>
  <c r="N59" i="4" s="1"/>
  <c r="C28" i="4"/>
  <c r="K58" i="4" s="1"/>
  <c r="E26" i="4"/>
  <c r="G24" i="4"/>
  <c r="O39" i="4" s="1" a="1"/>
  <c r="O39" i="4" s="1"/>
  <c r="D23" i="4"/>
  <c r="L53" i="4" s="1"/>
  <c r="F21" i="4"/>
  <c r="N36" i="4" s="1" a="1"/>
  <c r="N36" i="4" s="1"/>
  <c r="C18" i="4"/>
  <c r="F3" i="9" s="1" a="1"/>
  <c r="F3" i="9" s="1"/>
  <c r="D29" i="4"/>
  <c r="L44" i="4" s="1" a="1"/>
  <c r="L44" i="4" s="1"/>
  <c r="F27" i="4"/>
  <c r="N42" i="4" s="1" a="1"/>
  <c r="N42" i="4" s="1"/>
  <c r="C26" i="4"/>
  <c r="K56" i="4" s="1"/>
  <c r="E24" i="4"/>
  <c r="G22" i="4"/>
  <c r="D21" i="4"/>
  <c r="L51" i="4" s="1"/>
  <c r="F19" i="4"/>
  <c r="N34" i="4" s="1" a="1"/>
  <c r="N34" i="4" s="1"/>
  <c r="D19" i="4"/>
  <c r="L34" i="4" s="1" a="1"/>
  <c r="L34" i="4" s="1"/>
  <c r="G18" i="4"/>
  <c r="O33" i="4" s="1" a="1"/>
  <c r="O33" i="4" s="1"/>
  <c r="C29" i="4"/>
  <c r="K44" i="4" s="1" a="1"/>
  <c r="K44" i="4" s="1"/>
  <c r="E27" i="4"/>
  <c r="M42" i="4" s="1" a="1"/>
  <c r="M42" i="4" s="1"/>
  <c r="G25" i="4"/>
  <c r="D24" i="4"/>
  <c r="F22" i="4"/>
  <c r="N52" i="4" s="1"/>
  <c r="C21" i="4"/>
  <c r="K36" i="4" s="1" a="1"/>
  <c r="K36" i="4" s="1"/>
  <c r="E19" i="4"/>
  <c r="M34" i="4" s="1" a="1"/>
  <c r="M34" i="4" s="1"/>
  <c r="F18" i="4"/>
  <c r="N48" i="4" s="1"/>
  <c r="G28" i="4"/>
  <c r="O58" i="4" s="1"/>
  <c r="D27" i="4"/>
  <c r="L42" i="4" s="1" a="1"/>
  <c r="L42" i="4" s="1"/>
  <c r="F25" i="4"/>
  <c r="C24" i="4"/>
  <c r="E22" i="4"/>
  <c r="F4" i="9" s="1" a="1"/>
  <c r="F4" i="9" s="1"/>
  <c r="G20" i="4"/>
  <c r="O35" i="4" s="1" a="1"/>
  <c r="O35" i="4" s="1"/>
  <c r="E18" i="4"/>
  <c r="M33" i="4" s="1" a="1"/>
  <c r="M33" i="4" s="1"/>
  <c r="F28" i="4"/>
  <c r="N43" i="4" s="1" a="1"/>
  <c r="N43" i="4" s="1"/>
  <c r="C27" i="4"/>
  <c r="K42" i="4" s="1" a="1"/>
  <c r="K42" i="4" s="1"/>
  <c r="E25" i="4"/>
  <c r="M55" i="4" s="1"/>
  <c r="G23" i="4"/>
  <c r="D22" i="4"/>
  <c r="L37" i="4" s="1" a="1"/>
  <c r="L37" i="4" s="1"/>
  <c r="F20" i="4"/>
  <c r="N35" i="4" s="1" a="1"/>
  <c r="N35" i="4" s="1"/>
  <c r="O34" i="4" a="1"/>
  <c r="O34" i="4" s="1"/>
  <c r="H6" i="9"/>
  <c r="E8" i="9"/>
  <c r="L33" i="4" a="1"/>
  <c r="L33" i="4" s="1"/>
  <c r="N41" i="4" a="1"/>
  <c r="N41" i="4" s="1"/>
  <c r="K40" i="4" a="1"/>
  <c r="K40" i="4" s="1"/>
  <c r="M38" i="4" a="1"/>
  <c r="M38" i="4" s="1"/>
  <c r="O36" i="4" a="1"/>
  <c r="O36" i="4" s="1"/>
  <c r="M41" i="4" a="1"/>
  <c r="M41" i="4" s="1"/>
  <c r="L41" i="4" a="1"/>
  <c r="L41" i="4" s="1"/>
  <c r="N39" i="4" a="1"/>
  <c r="N39" i="4" s="1"/>
  <c r="K38" i="4" a="1"/>
  <c r="K38" i="4" s="1"/>
  <c r="L36" i="4" a="1"/>
  <c r="L36" i="4" s="1"/>
  <c r="M39" i="4" a="1"/>
  <c r="M39" i="4" s="1"/>
  <c r="O37" i="4" a="1"/>
  <c r="O37" i="4" s="1"/>
  <c r="K34" i="4" a="1"/>
  <c r="K34" i="4" s="1"/>
  <c r="O40" i="4" a="1"/>
  <c r="O40" i="4" s="1"/>
  <c r="L39" i="4" a="1"/>
  <c r="L39" i="4" s="1"/>
  <c r="N37" i="4" a="1"/>
  <c r="N37" i="4" s="1"/>
  <c r="N40" i="4" a="1"/>
  <c r="N40" i="4" s="1"/>
  <c r="K39" i="4" a="1"/>
  <c r="K39" i="4" s="1"/>
  <c r="M37" i="4" a="1"/>
  <c r="M37" i="4" s="1"/>
  <c r="O38" i="4" a="1"/>
  <c r="O38" i="4" s="1"/>
  <c r="L43" i="4" a="1"/>
  <c r="L43" i="4" s="1"/>
  <c r="K51" i="4"/>
  <c r="M54" i="4"/>
  <c r="O55" i="4"/>
  <c r="M52" i="4"/>
  <c r="K57" i="4"/>
  <c r="O57" i="4"/>
  <c r="L56" i="4"/>
  <c r="N54" i="4"/>
  <c r="M51" i="4"/>
  <c r="O52" i="4"/>
  <c r="L54" i="4"/>
  <c r="N55" i="4"/>
  <c r="M48" i="4"/>
  <c r="L52" i="4"/>
  <c r="L48" i="4"/>
  <c r="L55" i="4"/>
  <c r="L58" i="4"/>
  <c r="N56" i="4"/>
  <c r="M53" i="4"/>
  <c r="N49" i="4"/>
  <c r="M57" i="4"/>
  <c r="K54" i="4"/>
  <c r="O53" i="4"/>
  <c r="M56" i="4"/>
  <c r="O54" i="4"/>
  <c r="K49" i="4"/>
  <c r="L1" i="7" a="1"/>
  <c r="F56" i="1"/>
  <c r="G56" i="1" s="1"/>
  <c r="P33" i="5" s="1"/>
  <c r="K50" i="5" s="1"/>
  <c r="B60" i="2"/>
  <c r="B61" i="2"/>
  <c r="B59" i="2"/>
  <c r="B45" i="2" s="1"/>
  <c r="C58" i="2"/>
  <c r="D61" i="2"/>
  <c r="D58" i="2"/>
  <c r="D60" i="2"/>
  <c r="C61" i="2"/>
  <c r="C60" i="2"/>
  <c r="F55" i="1"/>
  <c r="G55" i="1" s="1"/>
  <c r="P32" i="5" s="1"/>
  <c r="K49" i="5" s="1"/>
  <c r="F54" i="1"/>
  <c r="G54" i="1" s="1"/>
  <c r="E47" i="1"/>
  <c r="F47" i="1" s="1"/>
  <c r="E45" i="1"/>
  <c r="E48" i="1"/>
  <c r="F48" i="1" s="1"/>
  <c r="E46" i="1"/>
  <c r="F46" i="1" s="1"/>
  <c r="G2" i="14" l="1" a="1"/>
  <c r="G2" i="14" s="1"/>
  <c r="O22" i="4"/>
  <c r="N18" i="4"/>
  <c r="F3" i="8" s="1" a="1"/>
  <c r="F3" i="8" s="1"/>
  <c r="N3" i="8" s="1"/>
  <c r="N26" i="4"/>
  <c r="M22" i="4"/>
  <c r="E7" i="8" s="1" a="1"/>
  <c r="E7" i="8" s="1"/>
  <c r="M7" i="8" s="1"/>
  <c r="K18" i="4"/>
  <c r="C3" i="8" s="1" a="1"/>
  <c r="C3" i="8" s="1"/>
  <c r="O23" i="4"/>
  <c r="G8" i="8" s="1" a="1"/>
  <c r="G8" i="8" s="1"/>
  <c r="O8" i="8" s="1"/>
  <c r="N19" i="4"/>
  <c r="N27" i="4"/>
  <c r="M23" i="4"/>
  <c r="E8" i="8" s="1" a="1"/>
  <c r="E8" i="8" s="1"/>
  <c r="M8" i="8" s="1"/>
  <c r="N20" i="4"/>
  <c r="F5" i="8" s="1" a="1"/>
  <c r="F5" i="8" s="1"/>
  <c r="N5" i="8" s="1"/>
  <c r="N28" i="4"/>
  <c r="M24" i="4"/>
  <c r="E9" i="8" s="1" a="1"/>
  <c r="E9" i="8" s="1"/>
  <c r="M9" i="8" s="1"/>
  <c r="O24" i="4"/>
  <c r="G9" i="8" s="1" a="1"/>
  <c r="G9" i="8" s="1"/>
  <c r="O9" i="8" s="1"/>
  <c r="O25" i="4"/>
  <c r="G10" i="8" s="1" a="1"/>
  <c r="G10" i="8" s="1"/>
  <c r="O10" i="8" s="1"/>
  <c r="N21" i="4"/>
  <c r="N29" i="4"/>
  <c r="M25" i="4"/>
  <c r="O18" i="4"/>
  <c r="O26" i="4"/>
  <c r="G11" i="8" s="1" a="1"/>
  <c r="G11" i="8" s="1"/>
  <c r="O11" i="8" s="1"/>
  <c r="N22" i="4"/>
  <c r="F7" i="8" s="1" a="1"/>
  <c r="F7" i="8" s="1"/>
  <c r="N7" i="8" s="1"/>
  <c r="M18" i="4"/>
  <c r="E3" i="8" s="1" a="1"/>
  <c r="E3" i="8" s="1"/>
  <c r="M3" i="8" s="1"/>
  <c r="M26" i="4"/>
  <c r="O19" i="4"/>
  <c r="O27" i="4"/>
  <c r="N23" i="4"/>
  <c r="F8" i="8" s="1" a="1"/>
  <c r="F8" i="8" s="1"/>
  <c r="M19" i="4"/>
  <c r="E4" i="8" s="1" a="1"/>
  <c r="E4" i="8" s="1"/>
  <c r="M27" i="4"/>
  <c r="E12" i="8" s="1" a="1"/>
  <c r="E12" i="8" s="1"/>
  <c r="O20" i="4"/>
  <c r="G5" i="8" s="1" a="1"/>
  <c r="G5" i="8" s="1"/>
  <c r="O5" i="8" s="1"/>
  <c r="O28" i="4"/>
  <c r="N24" i="4"/>
  <c r="M20" i="4"/>
  <c r="M28" i="4"/>
  <c r="O29" i="4"/>
  <c r="N25" i="4"/>
  <c r="M21" i="4"/>
  <c r="E6" i="8" s="1" a="1"/>
  <c r="E6" i="8" s="1"/>
  <c r="M29" i="4"/>
  <c r="O21" i="4"/>
  <c r="G6" i="8" s="1" a="1"/>
  <c r="G6" i="8" s="1"/>
  <c r="O6" i="8" s="1"/>
  <c r="AX22" i="13" a="1"/>
  <c r="AX22" i="13" s="1"/>
  <c r="AX5" i="13" a="1"/>
  <c r="AX5" i="13" s="1"/>
  <c r="AX19" i="13" a="1"/>
  <c r="AX19" i="13" s="1"/>
  <c r="AX38" i="13" a="1"/>
  <c r="AX38" i="13" s="1"/>
  <c r="AX46" i="13" a="1"/>
  <c r="AX46" i="13" s="1"/>
  <c r="AX30" i="13" a="1"/>
  <c r="AX30" i="13" s="1"/>
  <c r="AX34" i="13" a="1"/>
  <c r="AX34" i="13" s="1"/>
  <c r="AX60" i="13" a="1"/>
  <c r="AX60" i="13" s="1"/>
  <c r="AX14" i="13" a="1"/>
  <c r="AX14" i="13" s="1"/>
  <c r="AX54" i="13" a="1"/>
  <c r="AX54" i="13" s="1"/>
  <c r="AX35" i="13" a="1"/>
  <c r="AX35" i="13" s="1"/>
  <c r="AX36" i="13" a="1"/>
  <c r="AX36" i="13" s="1"/>
  <c r="AX62" i="13" a="1"/>
  <c r="AX62" i="13" s="1"/>
  <c r="AX57" i="13" a="1"/>
  <c r="AX57" i="13" s="1"/>
  <c r="AX26" i="13" a="1"/>
  <c r="AX26" i="13" s="1"/>
  <c r="AX61" i="13" a="1"/>
  <c r="AX61" i="13" s="1"/>
  <c r="AX25" i="13" a="1"/>
  <c r="AX25" i="13" s="1"/>
  <c r="AX18" i="13" a="1"/>
  <c r="AX18" i="13" s="1"/>
  <c r="AX10" i="13" a="1"/>
  <c r="AX10" i="13" s="1"/>
  <c r="AX6" i="13" a="1"/>
  <c r="AX6" i="13" s="1"/>
  <c r="AX58" i="13" a="1"/>
  <c r="AX58" i="13" s="1"/>
  <c r="AX52" i="13" a="1"/>
  <c r="AX52" i="13" s="1"/>
  <c r="AX4" i="13" a="1"/>
  <c r="AX4" i="13" s="1"/>
  <c r="AX43" i="13" a="1"/>
  <c r="AX43" i="13" s="1"/>
  <c r="AE21" i="13" a="1"/>
  <c r="AE21" i="13" s="1"/>
  <c r="AE37" i="13" a="1"/>
  <c r="AE37" i="13" s="1"/>
  <c r="AE34" i="13" a="1"/>
  <c r="AE34" i="13" s="1"/>
  <c r="AE51" i="13" a="1"/>
  <c r="AE51" i="13" s="1"/>
  <c r="AE22" i="13" a="1"/>
  <c r="AE22" i="13" s="1"/>
  <c r="AE13" i="13" a="1"/>
  <c r="AE13" i="13" s="1"/>
  <c r="AE39" i="13" a="1"/>
  <c r="AE39" i="13" s="1"/>
  <c r="AE58" i="13" a="1"/>
  <c r="AE58" i="13" s="1"/>
  <c r="AE57" i="13" a="1"/>
  <c r="AE57" i="13" s="1"/>
  <c r="AE36" i="13" a="1"/>
  <c r="AE36" i="13" s="1"/>
  <c r="AE53" i="13" a="1"/>
  <c r="AE53" i="13" s="1"/>
  <c r="AE24" i="13" a="1"/>
  <c r="AE24" i="13" s="1"/>
  <c r="AE59" i="13" a="1"/>
  <c r="AE59" i="13" s="1"/>
  <c r="AE27" i="13" a="1"/>
  <c r="AE27" i="13" s="1"/>
  <c r="AE26" i="13" a="1"/>
  <c r="AE26" i="13" s="1"/>
  <c r="AE5" i="13" a="1"/>
  <c r="AE5" i="13" s="1"/>
  <c r="AE46" i="13" a="1"/>
  <c r="AE46" i="13" s="1"/>
  <c r="AE44" i="13" a="1"/>
  <c r="AE44" i="13" s="1"/>
  <c r="AE49" i="13" a="1"/>
  <c r="AE49" i="13" s="1"/>
  <c r="AE61" i="13" a="1"/>
  <c r="AE61" i="13" s="1"/>
  <c r="AE18" i="13" a="1"/>
  <c r="AE18" i="13" s="1"/>
  <c r="AE29" i="13" a="1"/>
  <c r="AE29" i="13" s="1"/>
  <c r="AE19" i="13" a="1"/>
  <c r="AE19" i="13" s="1"/>
  <c r="AE50" i="13" a="1"/>
  <c r="AE50" i="13" s="1"/>
  <c r="AE52" i="13" a="1"/>
  <c r="AE52" i="13" s="1"/>
  <c r="AE40" i="13" a="1"/>
  <c r="AE40" i="13" s="1"/>
  <c r="AE54" i="13" a="1"/>
  <c r="AE54" i="13" s="1"/>
  <c r="AE15" i="13" a="1"/>
  <c r="AE15" i="13" s="1"/>
  <c r="AE4" i="13" a="1"/>
  <c r="AE4" i="13" s="1"/>
  <c r="AE42" i="13" a="1"/>
  <c r="AE42" i="13" s="1"/>
  <c r="AE33" i="13" a="1"/>
  <c r="AE33" i="13" s="1"/>
  <c r="AE41" i="13" a="1"/>
  <c r="AE41" i="13" s="1"/>
  <c r="AE7" i="13" a="1"/>
  <c r="AE7" i="13" s="1"/>
  <c r="AE56" i="13" a="1"/>
  <c r="AE56" i="13" s="1"/>
  <c r="AE17" i="13" a="1"/>
  <c r="AE17" i="13" s="1"/>
  <c r="AE31" i="13" a="1"/>
  <c r="AE31" i="13" s="1"/>
  <c r="AE9" i="13" a="1"/>
  <c r="AE9" i="13" s="1"/>
  <c r="AE32" i="13" a="1"/>
  <c r="AE32" i="13" s="1"/>
  <c r="AE10" i="13" a="1"/>
  <c r="AE10" i="13" s="1"/>
  <c r="AE23" i="13" a="1"/>
  <c r="AE23" i="13" s="1"/>
  <c r="AE43" i="13" a="1"/>
  <c r="AE43" i="13" s="1"/>
  <c r="AE20" i="13" a="1"/>
  <c r="AE20" i="13" s="1"/>
  <c r="AE12" i="13" a="1"/>
  <c r="AE12" i="13" s="1"/>
  <c r="AE16" i="13" a="1"/>
  <c r="AE16" i="13" s="1"/>
  <c r="AE11" i="13" a="1"/>
  <c r="AE11" i="13" s="1"/>
  <c r="AE8" i="13" a="1"/>
  <c r="AE8" i="13" s="1"/>
  <c r="AE45" i="13" a="1"/>
  <c r="AE45" i="13" s="1"/>
  <c r="AE48" i="13" a="1"/>
  <c r="AE48" i="13" s="1"/>
  <c r="AE35" i="13" a="1"/>
  <c r="AE35" i="13" s="1"/>
  <c r="AE28" i="13" a="1"/>
  <c r="AE28" i="13" s="1"/>
  <c r="AE60" i="13" a="1"/>
  <c r="AE60" i="13" s="1"/>
  <c r="AE55" i="13" a="1"/>
  <c r="AE55" i="13" s="1"/>
  <c r="AE3" i="13" a="1"/>
  <c r="AE3" i="13" s="1"/>
  <c r="AE25" i="13" a="1"/>
  <c r="AE25" i="13" s="1"/>
  <c r="AE47" i="13" a="1"/>
  <c r="AE47" i="13" s="1"/>
  <c r="O41" i="4" a="1"/>
  <c r="O41" i="4" s="1"/>
  <c r="O56" i="4"/>
  <c r="N50" i="4"/>
  <c r="K43" i="4" a="1"/>
  <c r="K43" i="4" s="1"/>
  <c r="N44" i="4" a="1"/>
  <c r="N44" i="4" s="1"/>
  <c r="K41" i="4" a="1"/>
  <c r="K41" i="4" s="1"/>
  <c r="F6" i="9" a="1"/>
  <c r="F6" i="9" s="1"/>
  <c r="O59" i="4"/>
  <c r="L57" i="4"/>
  <c r="M43" i="4" a="1"/>
  <c r="M43" i="4" s="1"/>
  <c r="F5" i="9" a="1"/>
  <c r="F5" i="9" s="1"/>
  <c r="K35" i="4" a="1"/>
  <c r="K35" i="4" s="1"/>
  <c r="O50" i="4"/>
  <c r="M40" i="4" a="1"/>
  <c r="M40" i="4" s="1"/>
  <c r="N33" i="4" a="1"/>
  <c r="N33" i="4" s="1"/>
  <c r="L38" i="4" a="1"/>
  <c r="L38" i="4" s="1"/>
  <c r="L49" i="4"/>
  <c r="N57" i="4"/>
  <c r="N38" i="4" a="1"/>
  <c r="N38" i="4" s="1"/>
  <c r="L19" i="7" a="1"/>
  <c r="M49" i="4"/>
  <c r="N58" i="4"/>
  <c r="O48" i="4"/>
  <c r="L59" i="4"/>
  <c r="O43" i="4" a="1"/>
  <c r="O43" i="4" s="1"/>
  <c r="K33" i="4" a="1"/>
  <c r="K33" i="4" s="1"/>
  <c r="K37" i="4" a="1"/>
  <c r="K37" i="4" s="1"/>
  <c r="L50" i="4"/>
  <c r="M44" i="4" a="1"/>
  <c r="M44" i="4" s="1"/>
  <c r="N51" i="4"/>
  <c r="K59" i="4"/>
  <c r="M35" i="4" a="1"/>
  <c r="M35" i="4" s="1"/>
  <c r="E11" i="8" a="1"/>
  <c r="E11" i="8" s="1"/>
  <c r="M11" i="8" s="1"/>
  <c r="E13" i="8" a="1"/>
  <c r="E13" i="8" s="1"/>
  <c r="M13" i="8" s="1"/>
  <c r="G12" i="8" a="1"/>
  <c r="G12" i="8" s="1"/>
  <c r="O12" i="8" s="1"/>
  <c r="L19" i="4"/>
  <c r="L27" i="4"/>
  <c r="D12" i="8" s="1" a="1"/>
  <c r="D12" i="8" s="1"/>
  <c r="K23" i="4"/>
  <c r="C8" i="8" s="1" a="1"/>
  <c r="C8" i="8" s="1"/>
  <c r="K22" i="4"/>
  <c r="C7" i="8" s="1" a="1"/>
  <c r="C7" i="8" s="1"/>
  <c r="K7" i="8" s="1"/>
  <c r="F9" i="8" a="1"/>
  <c r="F9" i="8" s="1"/>
  <c r="N9" i="8" s="1"/>
  <c r="L20" i="4"/>
  <c r="L28" i="4"/>
  <c r="D13" i="8" s="1" a="1"/>
  <c r="D13" i="8" s="1"/>
  <c r="K24" i="4"/>
  <c r="C9" i="8" s="1" a="1"/>
  <c r="C9" i="8" s="1"/>
  <c r="K29" i="4"/>
  <c r="L26" i="4"/>
  <c r="D11" i="8" s="1" a="1"/>
  <c r="D11" i="8" s="1"/>
  <c r="F10" i="8" a="1"/>
  <c r="F10" i="8" s="1"/>
  <c r="N10" i="8" s="1"/>
  <c r="L21" i="4"/>
  <c r="D6" i="8" s="1" a="1"/>
  <c r="D6" i="8" s="1"/>
  <c r="L6" i="8" s="1"/>
  <c r="L29" i="4"/>
  <c r="K25" i="4"/>
  <c r="C10" i="8" s="1" a="1"/>
  <c r="C10" i="8" s="1"/>
  <c r="L22" i="4"/>
  <c r="K26" i="4"/>
  <c r="C11" i="8" s="1" a="1"/>
  <c r="C11" i="8" s="1"/>
  <c r="K11" i="8" s="1"/>
  <c r="L24" i="4"/>
  <c r="D9" i="8" s="1" a="1"/>
  <c r="D9" i="8" s="1"/>
  <c r="K20" i="4"/>
  <c r="C5" i="8" s="1" a="1"/>
  <c r="C5" i="8" s="1"/>
  <c r="K28" i="4"/>
  <c r="L25" i="4"/>
  <c r="K21" i="4"/>
  <c r="C6" i="8" s="1" a="1"/>
  <c r="C6" i="8" s="1"/>
  <c r="K6" i="8" s="1"/>
  <c r="L18" i="4"/>
  <c r="D3" i="8" s="1" a="1"/>
  <c r="D3" i="8" s="1"/>
  <c r="L3" i="8" s="1"/>
  <c r="F4" i="8" a="1"/>
  <c r="F4" i="8" s="1"/>
  <c r="F12" i="8" a="1"/>
  <c r="F12" i="8" s="1"/>
  <c r="L23" i="4"/>
  <c r="D8" i="8" s="1" a="1"/>
  <c r="D8" i="8" s="1"/>
  <c r="K19" i="4"/>
  <c r="K27" i="4"/>
  <c r="G6" i="9" a="1"/>
  <c r="G6" i="9" s="1"/>
  <c r="L1" i="7"/>
  <c r="G4" i="9" a="1"/>
  <c r="G4" i="9" s="1"/>
  <c r="G5" i="9" a="1"/>
  <c r="G5" i="9" s="1"/>
  <c r="P31" i="5"/>
  <c r="K48" i="5" s="1"/>
  <c r="J19" i="2" a="1"/>
  <c r="G3" i="9" a="1"/>
  <c r="G3" i="9" s="1"/>
  <c r="L17" i="7" a="1"/>
  <c r="L17" i="7" s="1"/>
  <c r="B46" i="2"/>
  <c r="B44" i="2"/>
  <c r="B47" i="2"/>
  <c r="B68" i="1"/>
  <c r="C68" i="1"/>
  <c r="D68" i="1"/>
  <c r="C69" i="1"/>
  <c r="D69" i="1"/>
  <c r="B69" i="1"/>
  <c r="B70" i="1"/>
  <c r="D70" i="1"/>
  <c r="C70" i="1"/>
  <c r="F45" i="1"/>
  <c r="G4" i="14" l="1" a="1"/>
  <c r="G4" i="14" s="1"/>
  <c r="G3" i="14" a="1"/>
  <c r="G3" i="14" s="1"/>
  <c r="F13" i="8" a="1"/>
  <c r="F13" i="8" s="1"/>
  <c r="E10" i="8" a="1"/>
  <c r="E10" i="8" s="1"/>
  <c r="M10" i="8" s="1"/>
  <c r="U155" i="9" a="1"/>
  <c r="U155" i="9" s="1"/>
  <c r="E14" i="8" a="1"/>
  <c r="E14" i="8" s="1"/>
  <c r="M14" i="8" s="1"/>
  <c r="G14" i="8" a="1"/>
  <c r="G14" i="8" s="1"/>
  <c r="O14" i="8" s="1"/>
  <c r="G13" i="8" a="1"/>
  <c r="G13" i="8" s="1"/>
  <c r="O13" i="8" s="1"/>
  <c r="E5" i="8" a="1"/>
  <c r="E5" i="8" s="1"/>
  <c r="M5" i="8" s="1"/>
  <c r="C14" i="8" a="1"/>
  <c r="C14" i="8" s="1"/>
  <c r="K14" i="8" s="1"/>
  <c r="L19" i="7"/>
  <c r="L35" i="7" a="1"/>
  <c r="L35" i="7" s="1"/>
  <c r="J17" i="7" s="1" a="1"/>
  <c r="J17" i="7" s="1"/>
  <c r="L11" i="8"/>
  <c r="M12" i="8"/>
  <c r="D10" i="8" a="1"/>
  <c r="D10" i="8" s="1"/>
  <c r="L10" i="8" s="1"/>
  <c r="F6" i="8" a="1"/>
  <c r="F6" i="8" s="1"/>
  <c r="N6" i="8" s="1"/>
  <c r="L12" i="8"/>
  <c r="M4" i="8"/>
  <c r="L8" i="8"/>
  <c r="N8" i="8"/>
  <c r="G4" i="8" a="1"/>
  <c r="G4" i="8" s="1"/>
  <c r="O4" i="8" s="1"/>
  <c r="G3" i="8" a="1"/>
  <c r="G3" i="8" s="1"/>
  <c r="O3" i="8" s="1"/>
  <c r="N12" i="8"/>
  <c r="L13" i="8"/>
  <c r="N4" i="8"/>
  <c r="N13" i="8"/>
  <c r="D4" i="8" a="1"/>
  <c r="D4" i="8" s="1"/>
  <c r="L4" i="8" s="1"/>
  <c r="M6" i="8"/>
  <c r="D5" i="8" a="1"/>
  <c r="D5" i="8" s="1"/>
  <c r="L5" i="8" s="1"/>
  <c r="L9" i="8"/>
  <c r="D7" i="8" a="1"/>
  <c r="D7" i="8" s="1"/>
  <c r="L7" i="8" s="1"/>
  <c r="G7" i="8" a="1"/>
  <c r="G7" i="8" s="1"/>
  <c r="O7" i="8" s="1"/>
  <c r="F11" i="8" a="1"/>
  <c r="F11" i="8" s="1"/>
  <c r="N11" i="8" s="1"/>
  <c r="F14" i="8" a="1"/>
  <c r="F14" i="8" s="1"/>
  <c r="N14" i="8" s="1"/>
  <c r="D14" i="8" a="1"/>
  <c r="D14" i="8" s="1"/>
  <c r="L14" i="8" s="1"/>
  <c r="K8" i="8"/>
  <c r="K9" i="8"/>
  <c r="C4" i="8" a="1"/>
  <c r="C4" i="8" s="1"/>
  <c r="K4" i="8" s="1"/>
  <c r="C13" i="8" a="1"/>
  <c r="C13" i="8" s="1"/>
  <c r="K13" i="8" s="1"/>
  <c r="K5" i="8"/>
  <c r="K10" i="8"/>
  <c r="C12" i="8" a="1"/>
  <c r="C12" i="8" s="1"/>
  <c r="K12" i="8" s="1"/>
  <c r="U126" i="9" a="1"/>
  <c r="U126" i="9" s="1"/>
  <c r="U167" i="9" a="1"/>
  <c r="U167" i="9" s="1"/>
  <c r="U112" i="9" a="1"/>
  <c r="U112" i="9" s="1"/>
  <c r="U128" i="9" a="1"/>
  <c r="U128" i="9" s="1"/>
  <c r="U38" i="9" a="1"/>
  <c r="U38" i="9" s="1"/>
  <c r="U129" i="9" a="1"/>
  <c r="U129" i="9" s="1"/>
  <c r="U164" i="9" a="1"/>
  <c r="U164" i="9" s="1"/>
  <c r="U61" i="9" a="1"/>
  <c r="U61" i="9" s="1"/>
  <c r="U117" i="9" a="1"/>
  <c r="U117" i="9" s="1"/>
  <c r="U18" i="9" a="1"/>
  <c r="U18" i="9" s="1"/>
  <c r="T159" i="9" a="1"/>
  <c r="T159" i="9" s="1"/>
  <c r="T127" i="9" a="1"/>
  <c r="T127" i="9" s="1"/>
  <c r="T62" i="9" a="1"/>
  <c r="T62" i="9" s="1"/>
  <c r="T126" i="9" a="1"/>
  <c r="T126" i="9" s="1"/>
  <c r="T61" i="9" a="1"/>
  <c r="T61" i="9" s="1"/>
  <c r="T158" i="9" a="1"/>
  <c r="T158" i="9" s="1"/>
  <c r="T93" i="9" a="1"/>
  <c r="T93" i="9" s="1"/>
  <c r="T28" i="9" a="1"/>
  <c r="T28" i="9" s="1"/>
  <c r="T124" i="9" a="1"/>
  <c r="T124" i="9" s="1"/>
  <c r="T59" i="9" a="1"/>
  <c r="T59" i="9" s="1"/>
  <c r="T156" i="9" a="1"/>
  <c r="T156" i="9" s="1"/>
  <c r="T91" i="9" a="1"/>
  <c r="T91" i="9" s="1"/>
  <c r="T26" i="9" a="1"/>
  <c r="T26" i="9" s="1"/>
  <c r="T130" i="9" a="1"/>
  <c r="T130" i="9" s="1"/>
  <c r="T65" i="9" a="1"/>
  <c r="T65" i="9" s="1"/>
  <c r="T162" i="9" a="1"/>
  <c r="T162" i="9" s="1"/>
  <c r="T97" i="9" a="1"/>
  <c r="T97" i="9" s="1"/>
  <c r="T32" i="9" a="1"/>
  <c r="T32" i="9" s="1"/>
  <c r="T128" i="9" a="1"/>
  <c r="T128" i="9" s="1"/>
  <c r="T63" i="9" a="1"/>
  <c r="T63" i="9" s="1"/>
  <c r="T119" i="9" a="1"/>
  <c r="T119" i="9" s="1"/>
  <c r="T54" i="9" a="1"/>
  <c r="T54" i="9" s="1"/>
  <c r="T118" i="9" a="1"/>
  <c r="T118" i="9" s="1"/>
  <c r="T53" i="9" a="1"/>
  <c r="T53" i="9" s="1"/>
  <c r="T150" i="9" a="1"/>
  <c r="T150" i="9" s="1"/>
  <c r="T85" i="9" a="1"/>
  <c r="T85" i="9" s="1"/>
  <c r="T20" i="9" a="1"/>
  <c r="T20" i="9" s="1"/>
  <c r="T116" i="9" a="1"/>
  <c r="T116" i="9" s="1"/>
  <c r="T51" i="9" a="1"/>
  <c r="T51" i="9" s="1"/>
  <c r="T148" i="9" a="1"/>
  <c r="T148" i="9" s="1"/>
  <c r="T83" i="9" a="1"/>
  <c r="T83" i="9" s="1"/>
  <c r="T18" i="9" a="1"/>
  <c r="T18" i="9" s="1"/>
  <c r="T122" i="9" a="1"/>
  <c r="T122" i="9" s="1"/>
  <c r="T57" i="9" a="1"/>
  <c r="T57" i="9" s="1"/>
  <c r="T154" i="9" a="1"/>
  <c r="T154" i="9" s="1"/>
  <c r="T89" i="9" a="1"/>
  <c r="T89" i="9" s="1"/>
  <c r="T24" i="9" a="1"/>
  <c r="T24" i="9" s="1"/>
  <c r="T120" i="9" a="1"/>
  <c r="T120" i="9" s="1"/>
  <c r="T55" i="9" a="1"/>
  <c r="T55" i="9" s="1"/>
  <c r="T142" i="9" a="1"/>
  <c r="T142" i="9" s="1"/>
  <c r="T111" i="9" a="1"/>
  <c r="T111" i="9" s="1"/>
  <c r="T46" i="9" a="1"/>
  <c r="T46" i="9" s="1"/>
  <c r="T110" i="9" a="1"/>
  <c r="T110" i="9" s="1"/>
  <c r="T45" i="9" a="1"/>
  <c r="T45" i="9" s="1"/>
  <c r="T141" i="9" a="1"/>
  <c r="T141" i="9" s="1"/>
  <c r="T77" i="9" a="1"/>
  <c r="T77" i="9" s="1"/>
  <c r="T12" i="9" a="1"/>
  <c r="T12" i="9" s="1"/>
  <c r="T108" i="9" a="1"/>
  <c r="T108" i="9" s="1"/>
  <c r="T43" i="9" a="1"/>
  <c r="T43" i="9" s="1"/>
  <c r="T139" i="9" a="1"/>
  <c r="T139" i="9" s="1"/>
  <c r="T75" i="9" a="1"/>
  <c r="T75" i="9" s="1"/>
  <c r="T9" i="9" a="1"/>
  <c r="T9" i="9" s="1"/>
  <c r="T114" i="9" a="1"/>
  <c r="T114" i="9" s="1"/>
  <c r="T49" i="9" a="1"/>
  <c r="T49" i="9" s="1"/>
  <c r="T146" i="9" a="1"/>
  <c r="T146" i="9" s="1"/>
  <c r="T81" i="9" a="1"/>
  <c r="T81" i="9" s="1"/>
  <c r="T16" i="9" a="1"/>
  <c r="T16" i="9" s="1"/>
  <c r="T112" i="9" a="1"/>
  <c r="T112" i="9" s="1"/>
  <c r="T47" i="9" a="1"/>
  <c r="T47" i="9" s="1"/>
  <c r="T168" i="9" a="1"/>
  <c r="T168" i="9" s="1"/>
  <c r="T103" i="9" a="1"/>
  <c r="T103" i="9" s="1"/>
  <c r="T38" i="9" a="1"/>
  <c r="T38" i="9" s="1"/>
  <c r="T102" i="9" a="1"/>
  <c r="T102" i="9" s="1"/>
  <c r="T37" i="9" a="1"/>
  <c r="T37" i="9" s="1"/>
  <c r="T133" i="9" a="1"/>
  <c r="T133" i="9" s="1"/>
  <c r="T69" i="9" a="1"/>
  <c r="T69" i="9" s="1"/>
  <c r="T165" i="9" a="1"/>
  <c r="T165" i="9" s="1"/>
  <c r="T100" i="9" a="1"/>
  <c r="T100" i="9" s="1"/>
  <c r="T35" i="9" a="1"/>
  <c r="T35" i="9" s="1"/>
  <c r="T131" i="9" a="1"/>
  <c r="T131" i="9" s="1"/>
  <c r="T66" i="9" a="1"/>
  <c r="T66" i="9" s="1"/>
  <c r="T106" i="9" a="1"/>
  <c r="T106" i="9" s="1"/>
  <c r="T41" i="9" a="1"/>
  <c r="T41" i="9" s="1"/>
  <c r="T137" i="9" a="1"/>
  <c r="T137" i="9" s="1"/>
  <c r="T73" i="9" a="1"/>
  <c r="T73" i="9" s="1"/>
  <c r="T67" i="9" a="1"/>
  <c r="T67" i="9" s="1"/>
  <c r="T104" i="9" a="1"/>
  <c r="T104" i="9" s="1"/>
  <c r="T39" i="9" a="1"/>
  <c r="T39" i="9" s="1"/>
  <c r="T145" i="9" a="1"/>
  <c r="T145" i="9" s="1"/>
  <c r="T160" i="9" a="1"/>
  <c r="T160" i="9" s="1"/>
  <c r="T95" i="9" a="1"/>
  <c r="T95" i="9" s="1"/>
  <c r="T30" i="9" a="1"/>
  <c r="T30" i="9" s="1"/>
  <c r="T94" i="9" a="1"/>
  <c r="T94" i="9" s="1"/>
  <c r="T29" i="9" a="1"/>
  <c r="T29" i="9" s="1"/>
  <c r="T125" i="9" a="1"/>
  <c r="T125" i="9" s="1"/>
  <c r="T60" i="9" a="1"/>
  <c r="T60" i="9" s="1"/>
  <c r="T157" i="9" a="1"/>
  <c r="T157" i="9" s="1"/>
  <c r="T92" i="9" a="1"/>
  <c r="T92" i="9" s="1"/>
  <c r="T27" i="9" a="1"/>
  <c r="T27" i="9" s="1"/>
  <c r="T123" i="9" a="1"/>
  <c r="T123" i="9" s="1"/>
  <c r="T58" i="9" a="1"/>
  <c r="T58" i="9" s="1"/>
  <c r="T163" i="9" a="1"/>
  <c r="T163" i="9" s="1"/>
  <c r="T98" i="9" a="1"/>
  <c r="T98" i="9" s="1"/>
  <c r="T33" i="9" a="1"/>
  <c r="T33" i="9" s="1"/>
  <c r="T129" i="9" a="1"/>
  <c r="T129" i="9" s="1"/>
  <c r="T64" i="9" a="1"/>
  <c r="T64" i="9" s="1"/>
  <c r="T161" i="9" a="1"/>
  <c r="T161" i="9" s="1"/>
  <c r="T96" i="9" a="1"/>
  <c r="T96" i="9" s="1"/>
  <c r="T31" i="9" a="1"/>
  <c r="T31" i="9" s="1"/>
  <c r="T151" i="9" a="1"/>
  <c r="T151" i="9" s="1"/>
  <c r="T152" i="9" a="1"/>
  <c r="T152" i="9" s="1"/>
  <c r="T87" i="9" a="1"/>
  <c r="T87" i="9" s="1"/>
  <c r="T22" i="9" a="1"/>
  <c r="T22" i="9" s="1"/>
  <c r="T86" i="9" a="1"/>
  <c r="T86" i="9" s="1"/>
  <c r="T21" i="9" a="1"/>
  <c r="T21" i="9" s="1"/>
  <c r="T117" i="9" a="1"/>
  <c r="T117" i="9" s="1"/>
  <c r="T52" i="9" a="1"/>
  <c r="T52" i="9" s="1"/>
  <c r="T149" i="9" a="1"/>
  <c r="T149" i="9" s="1"/>
  <c r="T84" i="9" a="1"/>
  <c r="T84" i="9" s="1"/>
  <c r="T19" i="9" a="1"/>
  <c r="T19" i="9" s="1"/>
  <c r="T115" i="9" a="1"/>
  <c r="T115" i="9" s="1"/>
  <c r="T50" i="9" a="1"/>
  <c r="T50" i="9" s="1"/>
  <c r="T155" i="9" a="1"/>
  <c r="T155" i="9" s="1"/>
  <c r="T90" i="9" a="1"/>
  <c r="T90" i="9" s="1"/>
  <c r="T25" i="9" a="1"/>
  <c r="T25" i="9" s="1"/>
  <c r="T121" i="9" a="1"/>
  <c r="T121" i="9" s="1"/>
  <c r="T56" i="9" a="1"/>
  <c r="T56" i="9" s="1"/>
  <c r="T153" i="9" a="1"/>
  <c r="T153" i="9" s="1"/>
  <c r="T88" i="9" a="1"/>
  <c r="T88" i="9" s="1"/>
  <c r="T23" i="9" a="1"/>
  <c r="T23" i="9" s="1"/>
  <c r="T143" i="9" a="1"/>
  <c r="T143" i="9" s="1"/>
  <c r="T79" i="9" a="1"/>
  <c r="T79" i="9" s="1"/>
  <c r="T14" i="9" a="1"/>
  <c r="T14" i="9" s="1"/>
  <c r="T78" i="9" a="1"/>
  <c r="T78" i="9" s="1"/>
  <c r="T13" i="9" a="1"/>
  <c r="T13" i="9" s="1"/>
  <c r="T109" i="9" a="1"/>
  <c r="T109" i="9" s="1"/>
  <c r="T44" i="9" a="1"/>
  <c r="T44" i="9" s="1"/>
  <c r="T140" i="9" a="1"/>
  <c r="T140" i="9" s="1"/>
  <c r="T76" i="9" a="1"/>
  <c r="T76" i="9" s="1"/>
  <c r="T10" i="9" a="1"/>
  <c r="T10" i="9" s="1"/>
  <c r="T107" i="9" a="1"/>
  <c r="T107" i="9" s="1"/>
  <c r="T42" i="9" a="1"/>
  <c r="T42" i="9" s="1"/>
  <c r="T147" i="9" a="1"/>
  <c r="T147" i="9" s="1"/>
  <c r="T82" i="9" a="1"/>
  <c r="T82" i="9" s="1"/>
  <c r="T17" i="9" a="1"/>
  <c r="T17" i="9" s="1"/>
  <c r="T113" i="9" a="1"/>
  <c r="T113" i="9" s="1"/>
  <c r="T48" i="9" a="1"/>
  <c r="T48" i="9" s="1"/>
  <c r="T144" i="9" a="1"/>
  <c r="T144" i="9" s="1"/>
  <c r="T80" i="9" a="1"/>
  <c r="T80" i="9" s="1"/>
  <c r="T15" i="9" a="1"/>
  <c r="T15" i="9" s="1"/>
  <c r="T167" i="9" a="1"/>
  <c r="T167" i="9" s="1"/>
  <c r="T135" i="9" a="1"/>
  <c r="T135" i="9" s="1"/>
  <c r="T71" i="9" a="1"/>
  <c r="T71" i="9" s="1"/>
  <c r="T134" i="9" a="1"/>
  <c r="T134" i="9" s="1"/>
  <c r="T70" i="9" a="1"/>
  <c r="T70" i="9" s="1"/>
  <c r="T166" i="9" a="1"/>
  <c r="T166" i="9" s="1"/>
  <c r="T101" i="9" a="1"/>
  <c r="T101" i="9" s="1"/>
  <c r="T36" i="9" a="1"/>
  <c r="T36" i="9" s="1"/>
  <c r="T132" i="9" a="1"/>
  <c r="T132" i="9" s="1"/>
  <c r="T68" i="9" a="1"/>
  <c r="T68" i="9" s="1"/>
  <c r="T164" i="9" a="1"/>
  <c r="T164" i="9" s="1"/>
  <c r="T99" i="9" a="1"/>
  <c r="T99" i="9" s="1"/>
  <c r="T34" i="9" a="1"/>
  <c r="T34" i="9" s="1"/>
  <c r="T138" i="9" a="1"/>
  <c r="T138" i="9" s="1"/>
  <c r="T74" i="9" a="1"/>
  <c r="T74" i="9" s="1"/>
  <c r="T11" i="9" a="1"/>
  <c r="T11" i="9" s="1"/>
  <c r="T105" i="9" a="1"/>
  <c r="T105" i="9" s="1"/>
  <c r="T40" i="9" a="1"/>
  <c r="T40" i="9" s="1"/>
  <c r="T136" i="9" a="1"/>
  <c r="T136" i="9" s="1"/>
  <c r="T72" i="9" a="1"/>
  <c r="T72" i="9" s="1"/>
  <c r="U101" i="9" a="1"/>
  <c r="U101" i="9" s="1"/>
  <c r="U48" i="9" a="1"/>
  <c r="U48" i="9" s="1"/>
  <c r="U125" i="9" a="1"/>
  <c r="U125" i="9" s="1"/>
  <c r="U119" i="9" a="1"/>
  <c r="U119" i="9" s="1"/>
  <c r="U134" i="9" a="1"/>
  <c r="U134" i="9" s="1"/>
  <c r="U152" i="9" a="1"/>
  <c r="U152" i="9" s="1"/>
  <c r="U108" i="9" a="1"/>
  <c r="U108" i="9" s="1"/>
  <c r="U29" i="9" a="1"/>
  <c r="U29" i="9" s="1"/>
  <c r="U64" i="9" a="1"/>
  <c r="U64" i="9" s="1"/>
  <c r="U28" i="9" a="1"/>
  <c r="U28" i="9" s="1"/>
  <c r="U111" i="9" a="1"/>
  <c r="U111" i="9" s="1"/>
  <c r="U80" i="9" a="1"/>
  <c r="U80" i="9" s="1"/>
  <c r="U133" i="9" a="1"/>
  <c r="U133" i="9" s="1"/>
  <c r="U66" i="9" a="1"/>
  <c r="U66" i="9" s="1"/>
  <c r="U138" i="9" a="1"/>
  <c r="U138" i="9" s="1"/>
  <c r="U13" i="9" a="1"/>
  <c r="U13" i="9" s="1"/>
  <c r="U143" i="9" a="1"/>
  <c r="U143" i="9" s="1"/>
  <c r="U49" i="9" a="1"/>
  <c r="U49" i="9" s="1"/>
  <c r="U84" i="9" a="1"/>
  <c r="U84" i="9" s="1"/>
  <c r="U24" i="9" a="1"/>
  <c r="U24" i="9" s="1"/>
  <c r="U92" i="9" a="1"/>
  <c r="U92" i="9" s="1"/>
  <c r="U77" i="9" a="1"/>
  <c r="U77" i="9" s="1"/>
  <c r="U110" i="9" a="1"/>
  <c r="U110" i="9" s="1"/>
  <c r="U157" i="9" a="1"/>
  <c r="U157" i="9" s="1"/>
  <c r="U107" i="9" a="1"/>
  <c r="U107" i="9" s="1"/>
  <c r="U36" i="9" a="1"/>
  <c r="U36" i="9" s="1"/>
  <c r="U56" i="9" a="1"/>
  <c r="U56" i="9" s="1"/>
  <c r="U22" i="9" a="1"/>
  <c r="U22" i="9" s="1"/>
  <c r="U118" i="9" a="1"/>
  <c r="U118" i="9" s="1"/>
  <c r="U19" i="9" a="1"/>
  <c r="U19" i="9" s="1"/>
  <c r="U46" i="9" a="1"/>
  <c r="U46" i="9" s="1"/>
  <c r="U131" i="9" a="1"/>
  <c r="U131" i="9" s="1"/>
  <c r="U120" i="9" a="1"/>
  <c r="U120" i="9" s="1"/>
  <c r="U154" i="9" a="1"/>
  <c r="U154" i="9" s="1"/>
  <c r="U34" i="9" a="1"/>
  <c r="U34" i="9" s="1"/>
  <c r="U65" i="9" a="1"/>
  <c r="U65" i="9" s="1"/>
  <c r="U30" i="9" a="1"/>
  <c r="U30" i="9" s="1"/>
  <c r="U71" i="9" a="1"/>
  <c r="U71" i="9" s="1"/>
  <c r="U86" i="9" a="1"/>
  <c r="U86" i="9" s="1"/>
  <c r="U76" i="9" a="1"/>
  <c r="U76" i="9" s="1"/>
  <c r="U78" i="9" a="1"/>
  <c r="U78" i="9" s="1"/>
  <c r="U163" i="9" a="1"/>
  <c r="U163" i="9" s="1"/>
  <c r="U146" i="9" a="1"/>
  <c r="U146" i="9" s="1"/>
  <c r="U17" i="9" a="1"/>
  <c r="U17" i="9" s="1"/>
  <c r="U145" i="9" a="1"/>
  <c r="U145" i="9" s="1"/>
  <c r="U55" i="9" a="1"/>
  <c r="U55" i="9" s="1"/>
  <c r="U114" i="9" a="1"/>
  <c r="U114" i="9" s="1"/>
  <c r="U89" i="9" a="1"/>
  <c r="U89" i="9" s="1"/>
  <c r="U137" i="9" a="1"/>
  <c r="U137" i="9" s="1"/>
  <c r="U100" i="9" a="1"/>
  <c r="U100" i="9" s="1"/>
  <c r="U156" i="9" a="1"/>
  <c r="U156" i="9" s="1"/>
  <c r="U122" i="9" a="1"/>
  <c r="U122" i="9" s="1"/>
  <c r="U141" i="9" a="1"/>
  <c r="U141" i="9" s="1"/>
  <c r="U103" i="9" a="1"/>
  <c r="U103" i="9" s="1"/>
  <c r="U54" i="9" a="1"/>
  <c r="U54" i="9" s="1"/>
  <c r="U90" i="9" a="1"/>
  <c r="U90" i="9" s="1"/>
  <c r="U132" i="9" a="1"/>
  <c r="U132" i="9" s="1"/>
  <c r="U12" i="9" a="1"/>
  <c r="U12" i="9" s="1"/>
  <c r="U82" i="9" a="1"/>
  <c r="U82" i="9" s="1"/>
  <c r="S165" i="9" a="1"/>
  <c r="S165" i="9" s="1"/>
  <c r="S42" i="9" a="1"/>
  <c r="S42" i="9" s="1"/>
  <c r="S61" i="9" a="1"/>
  <c r="S61" i="9" s="1"/>
  <c r="S75" i="9" a="1"/>
  <c r="S75" i="9" s="1"/>
  <c r="S105" i="9" a="1"/>
  <c r="S105" i="9" s="1"/>
  <c r="S101" i="9" a="1"/>
  <c r="S101" i="9" s="1"/>
  <c r="S158" i="9" a="1"/>
  <c r="S158" i="9" s="1"/>
  <c r="S30" i="9" a="1"/>
  <c r="S30" i="9" s="1"/>
  <c r="S114" i="9" a="1"/>
  <c r="S114" i="9" s="1"/>
  <c r="S156" i="9" a="1"/>
  <c r="S156" i="9" s="1"/>
  <c r="S28" i="9" a="1"/>
  <c r="S28" i="9" s="1"/>
  <c r="S116" i="9" a="1"/>
  <c r="S116" i="9" s="1"/>
  <c r="S52" i="9" a="1"/>
  <c r="S52" i="9" s="1"/>
  <c r="S122" i="9" a="1"/>
  <c r="S122" i="9" s="1"/>
  <c r="S58" i="9" a="1"/>
  <c r="S58" i="9" s="1"/>
  <c r="S115" i="9" a="1"/>
  <c r="S115" i="9" s="1"/>
  <c r="S51" i="9" a="1"/>
  <c r="S51" i="9" s="1"/>
  <c r="S24" i="9" a="1"/>
  <c r="S24" i="9" s="1"/>
  <c r="S130" i="9" a="1"/>
  <c r="S130" i="9" s="1"/>
  <c r="S66" i="9" a="1"/>
  <c r="S66" i="9" s="1"/>
  <c r="S153" i="9" a="1"/>
  <c r="S153" i="9" s="1"/>
  <c r="S152" i="9" a="1"/>
  <c r="S152" i="9" s="1"/>
  <c r="S23" i="9" a="1"/>
  <c r="S23" i="9" s="1"/>
  <c r="S41" i="9" a="1"/>
  <c r="S41" i="9" s="1"/>
  <c r="S60" i="9" a="1"/>
  <c r="S60" i="9" s="1"/>
  <c r="S92" i="9" a="1"/>
  <c r="S92" i="9" s="1"/>
  <c r="S88" i="9" a="1"/>
  <c r="S88" i="9" s="1"/>
  <c r="S145" i="9" a="1"/>
  <c r="S145" i="9" s="1"/>
  <c r="S10" i="9" a="1"/>
  <c r="S10" i="9" s="1"/>
  <c r="S86" i="9" a="1"/>
  <c r="S86" i="9" s="1"/>
  <c r="S139" i="9" a="1"/>
  <c r="S139" i="9" s="1"/>
  <c r="S110" i="9" a="1"/>
  <c r="S110" i="9" s="1"/>
  <c r="S46" i="9" a="1"/>
  <c r="S46" i="9" s="1"/>
  <c r="S109" i="9" a="1"/>
  <c r="S109" i="9" s="1"/>
  <c r="S45" i="9" a="1"/>
  <c r="S45" i="9" s="1"/>
  <c r="S108" i="9" a="1"/>
  <c r="S108" i="9" s="1"/>
  <c r="S44" i="9" a="1"/>
  <c r="S44" i="9" s="1"/>
  <c r="S18" i="9" a="1"/>
  <c r="S18" i="9" s="1"/>
  <c r="S117" i="9" a="1"/>
  <c r="S117" i="9" s="1"/>
  <c r="S53" i="9" a="1"/>
  <c r="S53" i="9" s="1"/>
  <c r="S32" i="9" a="1"/>
  <c r="S32" i="9" s="1"/>
  <c r="S63" i="9" a="1"/>
  <c r="S63" i="9" s="1"/>
  <c r="S138" i="9" a="1"/>
  <c r="S138" i="9" s="1"/>
  <c r="S164" i="9" a="1"/>
  <c r="S164" i="9" s="1"/>
  <c r="S22" i="9" a="1"/>
  <c r="S22" i="9" s="1"/>
  <c r="S36" i="9" a="1"/>
  <c r="S36" i="9" s="1"/>
  <c r="S74" i="9" a="1"/>
  <c r="S74" i="9" s="1"/>
  <c r="S73" i="9" a="1"/>
  <c r="S73" i="9" s="1"/>
  <c r="S131" i="9" a="1"/>
  <c r="S131" i="9" s="1"/>
  <c r="S48" i="9" a="1"/>
  <c r="S48" i="9" s="1"/>
  <c r="S126" i="9" a="1"/>
  <c r="S126" i="9" s="1"/>
  <c r="S161" i="9" a="1"/>
  <c r="S161" i="9" s="1"/>
  <c r="S97" i="9" a="1"/>
  <c r="S97" i="9" s="1"/>
  <c r="S33" i="9" a="1"/>
  <c r="S33" i="9" s="1"/>
  <c r="S167" i="9" a="1"/>
  <c r="S167" i="9" s="1"/>
  <c r="S103" i="9" a="1"/>
  <c r="S103" i="9" s="1"/>
  <c r="S39" i="9" a="1"/>
  <c r="S39" i="9" s="1"/>
  <c r="S166" i="9" a="1"/>
  <c r="S166" i="9" s="1"/>
  <c r="S102" i="9" a="1"/>
  <c r="S102" i="9" s="1"/>
  <c r="S38" i="9" a="1"/>
  <c r="S38" i="9" s="1"/>
  <c r="S69" i="9" a="1"/>
  <c r="S69" i="9" s="1"/>
  <c r="S111" i="9" a="1"/>
  <c r="S111" i="9" s="1"/>
  <c r="S47" i="9" a="1"/>
  <c r="S47" i="9" s="1"/>
  <c r="S96" i="9" a="1"/>
  <c r="S96" i="9" s="1"/>
  <c r="S25" i="9" a="1"/>
  <c r="S25" i="9" s="1"/>
  <c r="S125" i="9" a="1"/>
  <c r="S125" i="9" s="1"/>
  <c r="S137" i="9" a="1"/>
  <c r="S137" i="9" s="1"/>
  <c r="S151" i="9" a="1"/>
  <c r="S151" i="9" s="1"/>
  <c r="S17" i="9" a="1"/>
  <c r="S17" i="9" s="1"/>
  <c r="S55" i="9" a="1"/>
  <c r="S55" i="9" s="1"/>
  <c r="S54" i="9" a="1"/>
  <c r="S54" i="9" s="1"/>
  <c r="S118" i="9" a="1"/>
  <c r="S118" i="9" s="1"/>
  <c r="S29" i="9" a="1"/>
  <c r="S29" i="9" s="1"/>
  <c r="S113" i="9" a="1"/>
  <c r="S113" i="9" s="1"/>
  <c r="S155" i="9" a="1"/>
  <c r="S155" i="9" s="1"/>
  <c r="S91" i="9" a="1"/>
  <c r="S91" i="9" s="1"/>
  <c r="S27" i="9" a="1"/>
  <c r="S27" i="9" s="1"/>
  <c r="S112" i="9" a="1"/>
  <c r="S112" i="9" s="1"/>
  <c r="S124" i="9" a="1"/>
  <c r="S124" i="9" s="1"/>
  <c r="S133" i="9" a="1"/>
  <c r="S133" i="9" s="1"/>
  <c r="S16" i="9" a="1"/>
  <c r="S16" i="9" s="1"/>
  <c r="S35" i="9" a="1"/>
  <c r="S35" i="9" s="1"/>
  <c r="S100" i="9" a="1"/>
  <c r="S100" i="9" s="1"/>
  <c r="S9" i="9" a="1"/>
  <c r="S9" i="9" s="1"/>
  <c r="S99" i="9" a="1"/>
  <c r="S99" i="9" s="1"/>
  <c r="S148" i="9" a="1"/>
  <c r="S148" i="9" s="1"/>
  <c r="S84" i="9" a="1"/>
  <c r="S84" i="9" s="1"/>
  <c r="S20" i="9" a="1"/>
  <c r="S20" i="9" s="1"/>
  <c r="S154" i="9" a="1"/>
  <c r="S154" i="9" s="1"/>
  <c r="S90" i="9" a="1"/>
  <c r="S90" i="9" s="1"/>
  <c r="S26" i="9" a="1"/>
  <c r="S26" i="9" s="1"/>
  <c r="S95" i="9" a="1"/>
  <c r="S95" i="9" s="1"/>
  <c r="S107" i="9" a="1"/>
  <c r="S107" i="9" s="1"/>
  <c r="S120" i="9" a="1"/>
  <c r="S120" i="9" s="1"/>
  <c r="S163" i="9" a="1"/>
  <c r="S163" i="9" s="1"/>
  <c r="S159" i="9" a="1"/>
  <c r="S159" i="9" s="1"/>
  <c r="S11" i="9" a="1"/>
  <c r="S11" i="9" s="1"/>
  <c r="S87" i="9" a="1"/>
  <c r="S87" i="9" s="1"/>
  <c r="S157" i="9" a="1"/>
  <c r="S157" i="9" s="1"/>
  <c r="S82" i="9" a="1"/>
  <c r="S82" i="9" s="1"/>
  <c r="S142" i="9" a="1"/>
  <c r="S142" i="9" s="1"/>
  <c r="S78" i="9" a="1"/>
  <c r="S78" i="9" s="1"/>
  <c r="S14" i="9" a="1"/>
  <c r="S14" i="9" s="1"/>
  <c r="S141" i="9" a="1"/>
  <c r="S141" i="9" s="1"/>
  <c r="S77" i="9" a="1"/>
  <c r="S77" i="9" s="1"/>
  <c r="S13" i="9" a="1"/>
  <c r="S13" i="9" s="1"/>
  <c r="S81" i="9" a="1"/>
  <c r="S81" i="9" s="1"/>
  <c r="S94" i="9" a="1"/>
  <c r="S94" i="9" s="1"/>
  <c r="S106" i="9" a="1"/>
  <c r="S106" i="9" s="1"/>
  <c r="S150" i="9" a="1"/>
  <c r="S150" i="9" s="1"/>
  <c r="S146" i="9" a="1"/>
  <c r="S146" i="9" s="1"/>
  <c r="S68" i="9" a="1"/>
  <c r="S68" i="9" s="1"/>
  <c r="S144" i="9" a="1"/>
  <c r="S144" i="9" s="1"/>
  <c r="S67" i="9" a="1"/>
  <c r="S67" i="9" s="1"/>
  <c r="S129" i="9" a="1"/>
  <c r="S129" i="9" s="1"/>
  <c r="S65" i="9" a="1"/>
  <c r="S65" i="9" s="1"/>
  <c r="S135" i="9" a="1"/>
  <c r="S135" i="9" s="1"/>
  <c r="S71" i="9" a="1"/>
  <c r="S71" i="9" s="1"/>
  <c r="S62" i="9" a="1"/>
  <c r="S62" i="9" s="1"/>
  <c r="S80" i="9" a="1"/>
  <c r="S80" i="9" s="1"/>
  <c r="S93" i="9" a="1"/>
  <c r="S93" i="9" s="1"/>
  <c r="S132" i="9" a="1"/>
  <c r="S132" i="9" s="1"/>
  <c r="S119" i="9" a="1"/>
  <c r="S119" i="9" s="1"/>
  <c r="S49" i="9" a="1"/>
  <c r="S49" i="9" s="1"/>
  <c r="S127" i="9" a="1"/>
  <c r="S127" i="9" s="1"/>
  <c r="S43" i="9" a="1"/>
  <c r="S43" i="9" s="1"/>
  <c r="S123" i="9" a="1"/>
  <c r="S123" i="9" s="1"/>
  <c r="S59" i="9" a="1"/>
  <c r="S59" i="9" s="1"/>
  <c r="S128" i="9" a="1"/>
  <c r="S128" i="9" s="1"/>
  <c r="S64" i="9" a="1"/>
  <c r="S64" i="9" s="1"/>
  <c r="S121" i="9" a="1"/>
  <c r="S121" i="9" s="1"/>
  <c r="S57" i="9" a="1"/>
  <c r="S57" i="9" s="1"/>
  <c r="S31" i="9" a="1"/>
  <c r="S31" i="9" s="1"/>
  <c r="S136" i="9" a="1"/>
  <c r="S136" i="9" s="1"/>
  <c r="S72" i="9" a="1"/>
  <c r="S72" i="9" s="1"/>
  <c r="S160" i="9" a="1"/>
  <c r="S160" i="9" s="1"/>
  <c r="S89" i="9" a="1"/>
  <c r="S89" i="9" s="1"/>
  <c r="S134" i="9" a="1"/>
  <c r="S134" i="9" s="1"/>
  <c r="S37" i="9" a="1"/>
  <c r="S37" i="9" s="1"/>
  <c r="S85" i="9" a="1"/>
  <c r="S85" i="9" s="1"/>
  <c r="S34" i="9" a="1"/>
  <c r="S34" i="9" s="1"/>
  <c r="S149" i="9" a="1"/>
  <c r="S149" i="9" s="1"/>
  <c r="S12" i="9" a="1"/>
  <c r="S12" i="9" s="1"/>
  <c r="S143" i="9" a="1"/>
  <c r="S143" i="9" s="1"/>
  <c r="S56" i="9" a="1"/>
  <c r="S56" i="9" s="1"/>
  <c r="S104" i="9" a="1"/>
  <c r="S104" i="9" s="1"/>
  <c r="S83" i="9" a="1"/>
  <c r="S83" i="9" s="1"/>
  <c r="S79" i="9" a="1"/>
  <c r="S79" i="9" s="1"/>
  <c r="S76" i="9" a="1"/>
  <c r="S76" i="9" s="1"/>
  <c r="S168" i="9" a="1"/>
  <c r="S168" i="9" s="1"/>
  <c r="S40" i="9" a="1"/>
  <c r="S40" i="9" s="1"/>
  <c r="S70" i="9" a="1"/>
  <c r="S70" i="9" s="1"/>
  <c r="S162" i="9" a="1"/>
  <c r="S162" i="9" s="1"/>
  <c r="S15" i="9" a="1"/>
  <c r="S15" i="9" s="1"/>
  <c r="S147" i="9" a="1"/>
  <c r="S147" i="9" s="1"/>
  <c r="S19" i="9" a="1"/>
  <c r="S19" i="9" s="1"/>
  <c r="S21" i="9" a="1"/>
  <c r="S21" i="9" s="1"/>
  <c r="S140" i="9" a="1"/>
  <c r="S140" i="9" s="1"/>
  <c r="S50" i="9" a="1"/>
  <c r="S50" i="9" s="1"/>
  <c r="S98" i="9" a="1"/>
  <c r="S98" i="9" s="1"/>
  <c r="U123" i="9" a="1"/>
  <c r="U123" i="9" s="1"/>
  <c r="U106" i="9" a="1"/>
  <c r="U106" i="9" s="1"/>
  <c r="U32" i="9" a="1"/>
  <c r="U32" i="9" s="1"/>
  <c r="U25" i="9" a="1"/>
  <c r="U25" i="9" s="1"/>
  <c r="U44" i="9" a="1"/>
  <c r="U44" i="9" s="1"/>
  <c r="U39" i="9" a="1"/>
  <c r="U39" i="9" s="1"/>
  <c r="U165" i="9" a="1"/>
  <c r="U165" i="9" s="1"/>
  <c r="U41" i="9" a="1"/>
  <c r="U41" i="9" s="1"/>
  <c r="U31" i="9" a="1"/>
  <c r="U31" i="9" s="1"/>
  <c r="U33" i="9" a="1"/>
  <c r="U33" i="9" s="1"/>
  <c r="U98" i="9" a="1"/>
  <c r="U98" i="9" s="1"/>
  <c r="U60" i="9" a="1"/>
  <c r="U60" i="9" s="1"/>
  <c r="U94" i="9" a="1"/>
  <c r="U94" i="9" s="1"/>
  <c r="U135" i="9" a="1"/>
  <c r="U135" i="9" s="1"/>
  <c r="U150" i="9" a="1"/>
  <c r="U150" i="9" s="1"/>
  <c r="U140" i="9" a="1"/>
  <c r="U140" i="9" s="1"/>
  <c r="U142" i="9" a="1"/>
  <c r="U142" i="9" s="1"/>
  <c r="U23" i="9" a="1"/>
  <c r="U23" i="9" s="1"/>
  <c r="U57" i="9" a="1"/>
  <c r="U57" i="9" s="1"/>
  <c r="U21" i="9" a="1"/>
  <c r="U21" i="9" s="1"/>
  <c r="U37" i="9" a="1"/>
  <c r="U37" i="9" s="1"/>
  <c r="U93" i="9" a="1"/>
  <c r="U93" i="9" s="1"/>
  <c r="U144" i="9" a="1"/>
  <c r="U144" i="9" s="1"/>
  <c r="U43" i="9" a="1"/>
  <c r="U43" i="9" s="1"/>
  <c r="U148" i="9" a="1"/>
  <c r="U148" i="9" s="1"/>
  <c r="U59" i="9" a="1"/>
  <c r="U59" i="9" s="1"/>
  <c r="U26" i="9" a="1"/>
  <c r="U26" i="9" s="1"/>
  <c r="U102" i="9" a="1"/>
  <c r="U102" i="9" s="1"/>
  <c r="U35" i="9" a="1"/>
  <c r="U35" i="9" s="1"/>
  <c r="U58" i="9" a="1"/>
  <c r="U58" i="9" s="1"/>
  <c r="U52" i="9" a="1"/>
  <c r="U52" i="9" s="1"/>
  <c r="U168" i="9" a="1"/>
  <c r="U168" i="9" s="1"/>
  <c r="U166" i="9" a="1"/>
  <c r="U166" i="9" s="1"/>
  <c r="U14" i="9" a="1"/>
  <c r="U14" i="9" s="1"/>
  <c r="U91" i="9" a="1"/>
  <c r="U91" i="9" s="1"/>
  <c r="U160" i="9" a="1"/>
  <c r="U160" i="9" s="1"/>
  <c r="U153" i="9" a="1"/>
  <c r="U153" i="9" s="1"/>
  <c r="U40" i="9" a="1"/>
  <c r="U40" i="9" s="1"/>
  <c r="U109" i="9" a="1"/>
  <c r="U109" i="9" s="1"/>
  <c r="U45" i="9" a="1"/>
  <c r="U45" i="9" s="1"/>
  <c r="U63" i="9" a="1"/>
  <c r="U63" i="9" s="1"/>
  <c r="U50" i="9" a="1"/>
  <c r="U50" i="9" s="1"/>
  <c r="U75" i="9" a="1"/>
  <c r="U75" i="9" s="1"/>
  <c r="U96" i="9" a="1"/>
  <c r="U96" i="9" s="1"/>
  <c r="U116" i="9" a="1"/>
  <c r="U116" i="9" s="1"/>
  <c r="U105" i="9" a="1"/>
  <c r="U105" i="9" s="1"/>
  <c r="U95" i="9" a="1"/>
  <c r="U95" i="9" s="1"/>
  <c r="U97" i="9" a="1"/>
  <c r="U97" i="9" s="1"/>
  <c r="U162" i="9" a="1"/>
  <c r="U162" i="9" s="1"/>
  <c r="U124" i="9" a="1"/>
  <c r="U124" i="9" s="1"/>
  <c r="U158" i="9" a="1"/>
  <c r="U158" i="9" s="1"/>
  <c r="U72" i="9" a="1"/>
  <c r="U72" i="9" s="1"/>
  <c r="U10" i="9" a="1"/>
  <c r="U10" i="9" s="1"/>
  <c r="U51" i="9" a="1"/>
  <c r="U51" i="9" s="1"/>
  <c r="U15" i="9" a="1"/>
  <c r="U15" i="9" s="1"/>
  <c r="U87" i="9" a="1"/>
  <c r="U87" i="9" s="1"/>
  <c r="U121" i="9" a="1"/>
  <c r="U121" i="9" s="1"/>
  <c r="U85" i="9" a="1"/>
  <c r="U85" i="9" s="1"/>
  <c r="U73" i="9" a="1"/>
  <c r="U73" i="9" s="1"/>
  <c r="U139" i="9" a="1"/>
  <c r="U139" i="9" s="1"/>
  <c r="U53" i="9" a="1"/>
  <c r="U53" i="9" s="1"/>
  <c r="U130" i="9" a="1"/>
  <c r="U130" i="9" s="1"/>
  <c r="U113" i="9" a="1"/>
  <c r="U113" i="9" s="1"/>
  <c r="U104" i="9" a="1"/>
  <c r="U104" i="9" s="1"/>
  <c r="U11" i="9" a="1"/>
  <c r="U11" i="9" s="1"/>
  <c r="U68" i="9" a="1"/>
  <c r="U68" i="9" s="1"/>
  <c r="U27" i="9" a="1"/>
  <c r="U27" i="9" s="1"/>
  <c r="U147" i="9" a="1"/>
  <c r="U147" i="9" s="1"/>
  <c r="U42" i="9" a="1"/>
  <c r="U42" i="9" s="1"/>
  <c r="U9" i="9" a="1"/>
  <c r="U9" i="9" s="1"/>
  <c r="U99" i="9" a="1"/>
  <c r="U99" i="9" s="1"/>
  <c r="R22" i="9" a="1"/>
  <c r="R22" i="9" s="1"/>
  <c r="R127" i="9" a="1"/>
  <c r="R127" i="9" s="1"/>
  <c r="R72" i="9" a="1"/>
  <c r="R72" i="9" s="1"/>
  <c r="R159" i="9" a="1"/>
  <c r="R159" i="9" s="1"/>
  <c r="R125" i="9" a="1"/>
  <c r="R125" i="9" s="1"/>
  <c r="R88" i="9" a="1"/>
  <c r="R88" i="9" s="1"/>
  <c r="R165" i="9" a="1"/>
  <c r="R165" i="9" s="1"/>
  <c r="R70" i="9" a="1"/>
  <c r="R70" i="9" s="1"/>
  <c r="R142" i="9" a="1"/>
  <c r="R142" i="9" s="1"/>
  <c r="R37" i="9" a="1"/>
  <c r="R37" i="9" s="1"/>
  <c r="R109" i="9" a="1"/>
  <c r="R109" i="9" s="1"/>
  <c r="R160" i="9" a="1"/>
  <c r="R160" i="9" s="1"/>
  <c r="R63" i="9" a="1"/>
  <c r="R63" i="9" s="1"/>
  <c r="R147" i="9" a="1"/>
  <c r="R147" i="9" s="1"/>
  <c r="R84" i="9" a="1"/>
  <c r="R84" i="9" s="1"/>
  <c r="R20" i="9" a="1"/>
  <c r="R20" i="9" s="1"/>
  <c r="R115" i="9" a="1"/>
  <c r="R115" i="9" s="1"/>
  <c r="R51" i="9" a="1"/>
  <c r="R51" i="9" s="1"/>
  <c r="R98" i="9" a="1"/>
  <c r="R98" i="9" s="1"/>
  <c r="R34" i="9" a="1"/>
  <c r="R34" i="9" s="1"/>
  <c r="R49" i="9" a="1"/>
  <c r="R49" i="9" s="1"/>
  <c r="R156" i="9" a="1"/>
  <c r="R156" i="9" s="1"/>
  <c r="R103" i="9" a="1"/>
  <c r="R103" i="9" s="1"/>
  <c r="R40" i="9" a="1"/>
  <c r="R40" i="9" s="1"/>
  <c r="R137" i="9" a="1"/>
  <c r="R137" i="9" s="1"/>
  <c r="R101" i="9" a="1"/>
  <c r="R101" i="9" s="1"/>
  <c r="R56" i="9" a="1"/>
  <c r="R56" i="9" s="1"/>
  <c r="R153" i="9" a="1"/>
  <c r="R153" i="9" s="1"/>
  <c r="R54" i="9" a="1"/>
  <c r="R54" i="9" s="1"/>
  <c r="R133" i="9" a="1"/>
  <c r="R133" i="9" s="1"/>
  <c r="R15" i="9" a="1"/>
  <c r="R15" i="9" s="1"/>
  <c r="R95" i="9" a="1"/>
  <c r="R95" i="9" s="1"/>
  <c r="R150" i="9" a="1"/>
  <c r="R150" i="9" s="1"/>
  <c r="R47" i="9" a="1"/>
  <c r="R47" i="9" s="1"/>
  <c r="R139" i="9" a="1"/>
  <c r="R139" i="9" s="1"/>
  <c r="R76" i="9" a="1"/>
  <c r="R76" i="9" s="1"/>
  <c r="R12" i="9" a="1"/>
  <c r="R12" i="9" s="1"/>
  <c r="R107" i="9" a="1"/>
  <c r="R107" i="9" s="1"/>
  <c r="R43" i="9" a="1"/>
  <c r="R43" i="9" s="1"/>
  <c r="R90" i="9" a="1"/>
  <c r="R90" i="9" s="1"/>
  <c r="R26" i="9" a="1"/>
  <c r="R26" i="9" s="1"/>
  <c r="R41" i="9" a="1"/>
  <c r="R41" i="9" s="1"/>
  <c r="R128" i="9" a="1"/>
  <c r="R128" i="9" s="1"/>
  <c r="R77" i="9" a="1"/>
  <c r="R77" i="9" s="1"/>
  <c r="R166" i="9" a="1"/>
  <c r="R166" i="9" s="1"/>
  <c r="R117" i="9" a="1"/>
  <c r="R117" i="9" s="1"/>
  <c r="R71" i="9" a="1"/>
  <c r="R71" i="9" s="1"/>
  <c r="R23" i="9" a="1"/>
  <c r="R23" i="9" s="1"/>
  <c r="R143" i="9" a="1"/>
  <c r="R143" i="9" s="1"/>
  <c r="R38" i="9" a="1"/>
  <c r="R38" i="9" s="1"/>
  <c r="R121" i="9" a="1"/>
  <c r="R121" i="9" s="1"/>
  <c r="R9" i="9" a="1"/>
  <c r="R9" i="9" s="1"/>
  <c r="R80" i="9" a="1"/>
  <c r="R80" i="9" s="1"/>
  <c r="R140" i="9" a="1"/>
  <c r="R140" i="9" s="1"/>
  <c r="R31" i="9" a="1"/>
  <c r="R31" i="9" s="1"/>
  <c r="R132" i="9" a="1"/>
  <c r="R132" i="9" s="1"/>
  <c r="R68" i="9" a="1"/>
  <c r="R68" i="9" s="1"/>
  <c r="R162" i="9" a="1"/>
  <c r="R162" i="9" s="1"/>
  <c r="R99" i="9" a="1"/>
  <c r="R99" i="9" s="1"/>
  <c r="R35" i="9" a="1"/>
  <c r="R35" i="9" s="1"/>
  <c r="R82" i="9" a="1"/>
  <c r="R82" i="9" s="1"/>
  <c r="R18" i="9" a="1"/>
  <c r="R18" i="9" s="1"/>
  <c r="R33" i="9" a="1"/>
  <c r="R33" i="9" s="1"/>
  <c r="R104" i="9" a="1"/>
  <c r="R104" i="9" s="1"/>
  <c r="R45" i="9" a="1"/>
  <c r="R45" i="9" s="1"/>
  <c r="R144" i="9" a="1"/>
  <c r="R144" i="9" s="1"/>
  <c r="R89" i="9" a="1"/>
  <c r="R89" i="9" s="1"/>
  <c r="R39" i="9" a="1"/>
  <c r="R39" i="9" s="1"/>
  <c r="R157" i="9" a="1"/>
  <c r="R157" i="9" s="1"/>
  <c r="R134" i="9" a="1"/>
  <c r="R134" i="9" s="1"/>
  <c r="R21" i="9" a="1"/>
  <c r="R21" i="9" s="1"/>
  <c r="R110" i="9" a="1"/>
  <c r="R110" i="9" s="1"/>
  <c r="R161" i="9" a="1"/>
  <c r="R161" i="9" s="1"/>
  <c r="R64" i="9" a="1"/>
  <c r="R64" i="9" s="1"/>
  <c r="R129" i="9" a="1"/>
  <c r="R129" i="9" s="1"/>
  <c r="R13" i="9" a="1"/>
  <c r="R13" i="9" s="1"/>
  <c r="R124" i="9" a="1"/>
  <c r="R124" i="9" s="1"/>
  <c r="R60" i="9" a="1"/>
  <c r="R60" i="9" s="1"/>
  <c r="R154" i="9" a="1"/>
  <c r="R154" i="9" s="1"/>
  <c r="R91" i="9" a="1"/>
  <c r="R91" i="9" s="1"/>
  <c r="R27" i="9" a="1"/>
  <c r="R27" i="9" s="1"/>
  <c r="R74" i="9" a="1"/>
  <c r="R74" i="9" s="1"/>
  <c r="R10" i="9" a="1"/>
  <c r="R10" i="9" s="1"/>
  <c r="R25" i="9" a="1"/>
  <c r="R25" i="9" s="1"/>
  <c r="R78" i="9" a="1"/>
  <c r="R78" i="9" s="1"/>
  <c r="R168" i="9" a="1"/>
  <c r="R168" i="9" s="1"/>
  <c r="R118" i="9" a="1"/>
  <c r="R118" i="9" s="1"/>
  <c r="R61" i="9" a="1"/>
  <c r="R61" i="9" s="1"/>
  <c r="R135" i="9" a="1"/>
  <c r="R135" i="9" s="1"/>
  <c r="R122" i="9" a="1"/>
  <c r="R122" i="9" s="1"/>
  <c r="R96" i="9" a="1"/>
  <c r="R96" i="9" s="1"/>
  <c r="R151" i="9" a="1"/>
  <c r="R151" i="9" s="1"/>
  <c r="R48" i="9" a="1"/>
  <c r="R48" i="9" s="1"/>
  <c r="R119" i="9" a="1"/>
  <c r="R119" i="9" s="1"/>
  <c r="R24" i="9" a="1"/>
  <c r="R24" i="9" s="1"/>
  <c r="R116" i="9" a="1"/>
  <c r="R116" i="9" s="1"/>
  <c r="R52" i="9" a="1"/>
  <c r="R52" i="9" s="1"/>
  <c r="R146" i="9" a="1"/>
  <c r="R146" i="9" s="1"/>
  <c r="R83" i="9" a="1"/>
  <c r="R83" i="9" s="1"/>
  <c r="R19" i="9" a="1"/>
  <c r="R19" i="9" s="1"/>
  <c r="R66" i="9" a="1"/>
  <c r="R66" i="9" s="1"/>
  <c r="R81" i="9" a="1"/>
  <c r="R81" i="9" s="1"/>
  <c r="R17" i="9" a="1"/>
  <c r="R17" i="9" s="1"/>
  <c r="R46" i="9" a="1"/>
  <c r="R46" i="9" s="1"/>
  <c r="R148" i="9" a="1"/>
  <c r="R148" i="9" s="1"/>
  <c r="R93" i="9" a="1"/>
  <c r="R93" i="9" s="1"/>
  <c r="R29" i="9" a="1"/>
  <c r="R29" i="9" s="1"/>
  <c r="R158" i="9" a="1"/>
  <c r="R158" i="9" s="1"/>
  <c r="R112" i="9" a="1"/>
  <c r="R112" i="9" s="1"/>
  <c r="R111" i="9" a="1"/>
  <c r="R111" i="9" s="1"/>
  <c r="R85" i="9" a="1"/>
  <c r="R85" i="9" s="1"/>
  <c r="R141" i="9" a="1"/>
  <c r="R141" i="9" s="1"/>
  <c r="R32" i="9" a="1"/>
  <c r="R32" i="9" s="1"/>
  <c r="R105" i="9" a="1"/>
  <c r="R105" i="9" s="1"/>
  <c r="R16" i="9" a="1"/>
  <c r="R16" i="9" s="1"/>
  <c r="R108" i="9" a="1"/>
  <c r="R108" i="9" s="1"/>
  <c r="R44" i="9" a="1"/>
  <c r="R44" i="9" s="1"/>
  <c r="R138" i="9" a="1"/>
  <c r="R138" i="9" s="1"/>
  <c r="R75" i="9" a="1"/>
  <c r="R75" i="9" s="1"/>
  <c r="R11" i="9" a="1"/>
  <c r="R11" i="9" s="1"/>
  <c r="R58" i="9" a="1"/>
  <c r="R58" i="9" s="1"/>
  <c r="R73" i="9" a="1"/>
  <c r="R73" i="9" s="1"/>
  <c r="B9" i="9" a="1"/>
  <c r="B9" i="9" s="1"/>
  <c r="R126" i="9" a="1"/>
  <c r="R126" i="9" s="1"/>
  <c r="R62" i="9" a="1"/>
  <c r="R62" i="9" s="1"/>
  <c r="R167" i="9" a="1"/>
  <c r="R167" i="9" s="1"/>
  <c r="R136" i="9" a="1"/>
  <c r="R136" i="9" s="1"/>
  <c r="R87" i="9" a="1"/>
  <c r="R87" i="9" s="1"/>
  <c r="R97" i="9" a="1"/>
  <c r="R97" i="9" s="1"/>
  <c r="R164" i="9" a="1"/>
  <c r="R164" i="9" s="1"/>
  <c r="R69" i="9" a="1"/>
  <c r="R69" i="9" s="1"/>
  <c r="R130" i="9" a="1"/>
  <c r="R130" i="9" s="1"/>
  <c r="R14" i="9" a="1"/>
  <c r="R14" i="9" s="1"/>
  <c r="R94" i="9" a="1"/>
  <c r="R94" i="9" s="1"/>
  <c r="R163" i="9" a="1"/>
  <c r="R163" i="9" s="1"/>
  <c r="R100" i="9" a="1"/>
  <c r="R100" i="9" s="1"/>
  <c r="R36" i="9" a="1"/>
  <c r="R36" i="9" s="1"/>
  <c r="R131" i="9" a="1"/>
  <c r="R131" i="9" s="1"/>
  <c r="R67" i="9" a="1"/>
  <c r="R67" i="9" s="1"/>
  <c r="R114" i="9" a="1"/>
  <c r="R114" i="9" s="1"/>
  <c r="R50" i="9" a="1"/>
  <c r="R50" i="9" s="1"/>
  <c r="R65" i="9" a="1"/>
  <c r="R65" i="9" s="1"/>
  <c r="R149" i="9" a="1"/>
  <c r="R149" i="9" s="1"/>
  <c r="R102" i="9" a="1"/>
  <c r="R102" i="9" s="1"/>
  <c r="R30" i="9" a="1"/>
  <c r="R30" i="9" s="1"/>
  <c r="R145" i="9" a="1"/>
  <c r="R145" i="9" s="1"/>
  <c r="R113" i="9" a="1"/>
  <c r="R113" i="9" s="1"/>
  <c r="R55" i="9" a="1"/>
  <c r="R55" i="9" s="1"/>
  <c r="R86" i="9" a="1"/>
  <c r="R86" i="9" s="1"/>
  <c r="R152" i="9" a="1"/>
  <c r="R152" i="9" s="1"/>
  <c r="R53" i="9" a="1"/>
  <c r="R53" i="9" s="1"/>
  <c r="R120" i="9" a="1"/>
  <c r="R120" i="9" s="1"/>
  <c r="R79" i="9" a="1"/>
  <c r="R79" i="9" s="1"/>
  <c r="R155" i="9" a="1"/>
  <c r="R155" i="9" s="1"/>
  <c r="R92" i="9" a="1"/>
  <c r="R92" i="9" s="1"/>
  <c r="R28" i="9" a="1"/>
  <c r="R28" i="9" s="1"/>
  <c r="R123" i="9" a="1"/>
  <c r="R123" i="9" s="1"/>
  <c r="R59" i="9" a="1"/>
  <c r="R59" i="9" s="1"/>
  <c r="R106" i="9" a="1"/>
  <c r="R106" i="9" s="1"/>
  <c r="R42" i="9" a="1"/>
  <c r="R42" i="9" s="1"/>
  <c r="R57" i="9" a="1"/>
  <c r="R57" i="9" s="1"/>
  <c r="U70" i="9" a="1"/>
  <c r="U70" i="9" s="1"/>
  <c r="U62" i="9" a="1"/>
  <c r="U62" i="9" s="1"/>
  <c r="U88" i="9" a="1"/>
  <c r="U88" i="9" s="1"/>
  <c r="U81" i="9" a="1"/>
  <c r="U81" i="9" s="1"/>
  <c r="U67" i="9" a="1"/>
  <c r="U67" i="9" s="1"/>
  <c r="U127" i="9" a="1"/>
  <c r="U127" i="9" s="1"/>
  <c r="U83" i="9" a="1"/>
  <c r="U83" i="9" s="1"/>
  <c r="E9" i="9" a="1"/>
  <c r="E9" i="9" s="1"/>
  <c r="U159" i="9" a="1"/>
  <c r="U159" i="9" s="1"/>
  <c r="U161" i="9" a="1"/>
  <c r="U161" i="9" s="1"/>
  <c r="U47" i="9" a="1"/>
  <c r="U47" i="9" s="1"/>
  <c r="U16" i="9" a="1"/>
  <c r="U16" i="9" s="1"/>
  <c r="U69" i="9" a="1"/>
  <c r="U69" i="9" s="1"/>
  <c r="U136" i="9" a="1"/>
  <c r="U136" i="9" s="1"/>
  <c r="U74" i="9" a="1"/>
  <c r="U74" i="9" s="1"/>
  <c r="U115" i="9" a="1"/>
  <c r="U115" i="9" s="1"/>
  <c r="U79" i="9" a="1"/>
  <c r="U79" i="9" s="1"/>
  <c r="U151" i="9" a="1"/>
  <c r="U151" i="9" s="1"/>
  <c r="U20" i="9" a="1"/>
  <c r="U20" i="9" s="1"/>
  <c r="U149" i="9" a="1"/>
  <c r="U149" i="9" s="1"/>
  <c r="E26" i="9" a="1"/>
  <c r="E26" i="9" s="1"/>
  <c r="E20" i="9" a="1"/>
  <c r="E20" i="9" s="1"/>
  <c r="E16" i="9" a="1"/>
  <c r="E16" i="9" s="1"/>
  <c r="E25" i="9" a="1"/>
  <c r="E25" i="9" s="1"/>
  <c r="B13" i="9" a="1"/>
  <c r="B13" i="9" s="1"/>
  <c r="B10" i="9" a="1"/>
  <c r="B10" i="9" s="1"/>
  <c r="B25" i="9" a="1"/>
  <c r="B25" i="9" s="1"/>
  <c r="B31" i="9" a="1"/>
  <c r="B31" i="9" s="1"/>
  <c r="B29" i="9" a="1"/>
  <c r="B29" i="9" s="1"/>
  <c r="B12" i="9" a="1"/>
  <c r="B12" i="9" s="1"/>
  <c r="B14" i="9" a="1"/>
  <c r="B14" i="9" s="1"/>
  <c r="B24" i="9" a="1"/>
  <c r="B24" i="9" s="1"/>
  <c r="B17" i="9" a="1"/>
  <c r="B17" i="9" s="1"/>
  <c r="B28" i="9" a="1"/>
  <c r="B28" i="9" s="1"/>
  <c r="B30" i="9" a="1"/>
  <c r="B30" i="9" s="1"/>
  <c r="B27" i="9" a="1"/>
  <c r="B27" i="9" s="1"/>
  <c r="B22" i="9" a="1"/>
  <c r="B22" i="9" s="1"/>
  <c r="B20" i="9" a="1"/>
  <c r="B20" i="9" s="1"/>
  <c r="B23" i="9" a="1"/>
  <c r="B23" i="9" s="1"/>
  <c r="B15" i="9" a="1"/>
  <c r="B15" i="9" s="1"/>
  <c r="B32" i="9" a="1"/>
  <c r="B32" i="9" s="1"/>
  <c r="B18" i="9" a="1"/>
  <c r="B18" i="9" s="1"/>
  <c r="B16" i="9" a="1"/>
  <c r="B16" i="9" s="1"/>
  <c r="B19" i="9" a="1"/>
  <c r="B19" i="9" s="1"/>
  <c r="B21" i="9" a="1"/>
  <c r="B21" i="9" s="1"/>
  <c r="B11" i="9" a="1"/>
  <c r="B11" i="9" s="1"/>
  <c r="B26" i="9" a="1"/>
  <c r="B26" i="9" s="1"/>
  <c r="D21" i="9" a="1"/>
  <c r="D21" i="9" s="1"/>
  <c r="D31" i="9" a="1"/>
  <c r="D31" i="9" s="1"/>
  <c r="D24" i="9" a="1"/>
  <c r="D24" i="9" s="1"/>
  <c r="D29" i="9" a="1"/>
  <c r="D29" i="9" s="1"/>
  <c r="D18" i="9" a="1"/>
  <c r="D18" i="9" s="1"/>
  <c r="D15" i="9" a="1"/>
  <c r="D15" i="9" s="1"/>
  <c r="D16" i="9" a="1"/>
  <c r="D16" i="9" s="1"/>
  <c r="D25" i="9" a="1"/>
  <c r="D25" i="9" s="1"/>
  <c r="D17" i="9" a="1"/>
  <c r="D17" i="9" s="1"/>
  <c r="D32" i="9" a="1"/>
  <c r="D32" i="9" s="1"/>
  <c r="D19" i="9" a="1"/>
  <c r="D19" i="9" s="1"/>
  <c r="D13" i="9" a="1"/>
  <c r="D13" i="9" s="1"/>
  <c r="D12" i="9" a="1"/>
  <c r="D12" i="9" s="1"/>
  <c r="D22" i="9" a="1"/>
  <c r="D22" i="9" s="1"/>
  <c r="D14" i="9" a="1"/>
  <c r="D14" i="9" s="1"/>
  <c r="D30" i="9" a="1"/>
  <c r="D30" i="9" s="1"/>
  <c r="D27" i="9" a="1"/>
  <c r="D27" i="9" s="1"/>
  <c r="D23" i="9" a="1"/>
  <c r="D23" i="9" s="1"/>
  <c r="D9" i="9" a="1"/>
  <c r="D9" i="9" s="1"/>
  <c r="D10" i="9" a="1"/>
  <c r="D10" i="9" s="1"/>
  <c r="D20" i="9" a="1"/>
  <c r="D20" i="9" s="1"/>
  <c r="D11" i="9" a="1"/>
  <c r="D11" i="9" s="1"/>
  <c r="D28" i="9" a="1"/>
  <c r="D28" i="9" s="1"/>
  <c r="D26" i="9" a="1"/>
  <c r="D26" i="9" s="1"/>
  <c r="E22" i="9" a="1"/>
  <c r="E22" i="9" s="1"/>
  <c r="E32" i="9" a="1"/>
  <c r="E32" i="9" s="1"/>
  <c r="E28" i="9" a="1"/>
  <c r="E28" i="9" s="1"/>
  <c r="E30" i="9" a="1"/>
  <c r="E30" i="9" s="1"/>
  <c r="E12" i="9" a="1"/>
  <c r="E12" i="9" s="1"/>
  <c r="E24" i="9" a="1"/>
  <c r="E24" i="9" s="1"/>
  <c r="E31" i="9" a="1"/>
  <c r="E31" i="9" s="1"/>
  <c r="E17" i="9" a="1"/>
  <c r="E17" i="9" s="1"/>
  <c r="E27" i="9" a="1"/>
  <c r="E27" i="9" s="1"/>
  <c r="E18" i="9" a="1"/>
  <c r="E18" i="9" s="1"/>
  <c r="E29" i="9" a="1"/>
  <c r="E29" i="9" s="1"/>
  <c r="E14" i="9" a="1"/>
  <c r="E14" i="9" s="1"/>
  <c r="E11" i="9" a="1"/>
  <c r="E11" i="9" s="1"/>
  <c r="C18" i="9" a="1"/>
  <c r="C18" i="9" s="1"/>
  <c r="C9" i="9" a="1"/>
  <c r="C9" i="9" s="1"/>
  <c r="C22" i="9" a="1"/>
  <c r="C22" i="9" s="1"/>
  <c r="C15" i="9" a="1"/>
  <c r="C15" i="9" s="1"/>
  <c r="C16" i="9" a="1"/>
  <c r="C16" i="9" s="1"/>
  <c r="C25" i="9" a="1"/>
  <c r="C25" i="9" s="1"/>
  <c r="C30" i="9" a="1"/>
  <c r="C30" i="9" s="1"/>
  <c r="C26" i="9" a="1"/>
  <c r="C26" i="9" s="1"/>
  <c r="C12" i="9" a="1"/>
  <c r="C12" i="9" s="1"/>
  <c r="C29" i="9" a="1"/>
  <c r="C29" i="9" s="1"/>
  <c r="C28" i="9" a="1"/>
  <c r="C28" i="9" s="1"/>
  <c r="C10" i="9" a="1"/>
  <c r="C10" i="9" s="1"/>
  <c r="C32" i="9" a="1"/>
  <c r="C32" i="9" s="1"/>
  <c r="C19" i="9" a="1"/>
  <c r="C19" i="9" s="1"/>
  <c r="C14" i="9" a="1"/>
  <c r="C14" i="9" s="1"/>
  <c r="C23" i="9" a="1"/>
  <c r="C23" i="9" s="1"/>
  <c r="C11" i="9" a="1"/>
  <c r="C11" i="9" s="1"/>
  <c r="C21" i="9" a="1"/>
  <c r="C21" i="9" s="1"/>
  <c r="C17" i="9" a="1"/>
  <c r="C17" i="9" s="1"/>
  <c r="C31" i="9" a="1"/>
  <c r="C31" i="9" s="1"/>
  <c r="C13" i="9" a="1"/>
  <c r="C13" i="9" s="1"/>
  <c r="C24" i="9" a="1"/>
  <c r="C24" i="9" s="1"/>
  <c r="C20" i="9" a="1"/>
  <c r="C20" i="9" s="1"/>
  <c r="C27" i="9" a="1"/>
  <c r="C27" i="9" s="1"/>
  <c r="E19" i="9" a="1"/>
  <c r="E19" i="9" s="1"/>
  <c r="E21" i="9" a="1"/>
  <c r="E21" i="9" s="1"/>
  <c r="E15" i="9" a="1"/>
  <c r="E15" i="9" s="1"/>
  <c r="E23" i="9" a="1"/>
  <c r="E23" i="9" s="1"/>
  <c r="E13" i="9" a="1"/>
  <c r="E13" i="9" s="1"/>
  <c r="E10" i="9" a="1"/>
  <c r="E10" i="9" s="1"/>
  <c r="F20" i="7" a="1"/>
  <c r="F20" i="7" s="1"/>
  <c r="K3" i="8"/>
  <c r="J19" i="2"/>
  <c r="F25" i="2"/>
  <c r="B26" i="2"/>
  <c r="B25" i="2"/>
  <c r="C26" i="2"/>
  <c r="D26" i="2"/>
  <c r="E26" i="2"/>
  <c r="D25" i="2"/>
  <c r="E25" i="2"/>
  <c r="C25" i="2"/>
  <c r="F26" i="2"/>
  <c r="B67" i="1"/>
  <c r="C67" i="1"/>
  <c r="D67" i="1"/>
  <c r="D74" i="1" s="1"/>
  <c r="B35" i="9" l="1"/>
  <c r="C35" i="9" s="1"/>
  <c r="M64" i="10" s="1"/>
  <c r="D35" i="9" a="1"/>
  <c r="D35" i="9" s="1"/>
  <c r="D37" i="9" s="1"/>
  <c r="I64" i="10" s="1"/>
  <c r="E35" i="9" a="1"/>
  <c r="E35" i="9" s="1"/>
  <c r="E37" i="9" s="1"/>
  <c r="Q64" i="10" s="1"/>
  <c r="A35" i="9"/>
  <c r="E24" i="2"/>
  <c r="F24" i="2"/>
  <c r="C24" i="2"/>
  <c r="B24" i="2"/>
  <c r="D24" i="2"/>
  <c r="D76" i="1"/>
  <c r="D77" i="1"/>
  <c r="D75" i="1"/>
  <c r="C75" i="1"/>
  <c r="C77" i="1"/>
  <c r="C74" i="1"/>
  <c r="C76" i="1"/>
  <c r="B75" i="1"/>
  <c r="B77" i="1"/>
  <c r="B76" i="1"/>
  <c r="B74" i="1"/>
  <c r="B12" i="2" l="1"/>
  <c r="K56" i="5"/>
  <c r="B13" i="2"/>
  <c r="K57" i="5"/>
  <c r="B11" i="2"/>
  <c r="K55" i="5"/>
  <c r="B15" i="2"/>
  <c r="K59" i="5"/>
  <c r="B14" i="2"/>
  <c r="K58" i="5"/>
  <c r="B83" i="1"/>
  <c r="C83" i="1"/>
  <c r="D83" i="1"/>
  <c r="B86" i="1"/>
  <c r="D86" i="1"/>
  <c r="C86" i="1"/>
  <c r="B84" i="1"/>
  <c r="C84" i="1"/>
  <c r="D84" i="1"/>
  <c r="D85" i="1"/>
  <c r="B85" i="1"/>
  <c r="C85" i="1"/>
  <c r="K12" i="5" l="1"/>
  <c r="K10" i="5"/>
  <c r="G18" i="5" s="1"/>
  <c r="K13" i="5"/>
  <c r="C27" i="5" s="1"/>
  <c r="E27" i="5"/>
  <c r="D26" i="5"/>
  <c r="F26" i="5"/>
  <c r="E26" i="5"/>
  <c r="D28" i="5"/>
  <c r="C19" i="5"/>
  <c r="C23" i="5"/>
  <c r="G24" i="5"/>
  <c r="E25" i="5"/>
  <c r="C24" i="5"/>
  <c r="F24" i="5"/>
  <c r="F25" i="5"/>
  <c r="E24" i="5"/>
  <c r="C25" i="5"/>
  <c r="F23" i="5"/>
  <c r="D24" i="5"/>
  <c r="D25" i="5"/>
  <c r="D23" i="5"/>
  <c r="G25" i="5"/>
  <c r="E23" i="5"/>
  <c r="G23" i="5"/>
  <c r="K11" i="5"/>
  <c r="D90" i="1"/>
  <c r="C92" i="1"/>
  <c r="B91" i="1"/>
  <c r="C93" i="1"/>
  <c r="B93" i="1"/>
  <c r="D92" i="1"/>
  <c r="D91" i="1"/>
  <c r="D93" i="1"/>
  <c r="B92" i="1"/>
  <c r="C90" i="1"/>
  <c r="B90" i="1"/>
  <c r="C91" i="1"/>
  <c r="F18" i="5" l="1"/>
  <c r="F17" i="5"/>
  <c r="E17" i="5"/>
  <c r="E19" i="5"/>
  <c r="G17" i="5"/>
  <c r="G19" i="5"/>
  <c r="D17" i="5"/>
  <c r="C18" i="5"/>
  <c r="D19" i="5"/>
  <c r="D18" i="5"/>
  <c r="C26" i="5"/>
  <c r="G27" i="5"/>
  <c r="C17" i="5"/>
  <c r="F19" i="5"/>
  <c r="G28" i="5"/>
  <c r="E28" i="5"/>
  <c r="D27" i="5"/>
  <c r="F28" i="5"/>
  <c r="G26" i="5"/>
  <c r="C28" i="5"/>
  <c r="E18" i="5"/>
  <c r="F27" i="5"/>
  <c r="D20" i="5"/>
  <c r="C20" i="5"/>
  <c r="E21" i="5"/>
  <c r="D21" i="5"/>
  <c r="E20" i="5"/>
  <c r="F22" i="5"/>
  <c r="C21" i="5"/>
  <c r="G22" i="5"/>
  <c r="C22" i="5"/>
  <c r="F21" i="5"/>
  <c r="G21" i="5"/>
  <c r="D22" i="5"/>
  <c r="G20" i="5"/>
  <c r="E22" i="5"/>
  <c r="F20" i="5"/>
  <c r="P18" i="5" l="1"/>
  <c r="D32" i="5" s="1"/>
  <c r="P17" i="5"/>
  <c r="E34" i="5" s="1"/>
  <c r="P19" i="5"/>
  <c r="C36" i="5" s="1"/>
  <c r="E35" i="5" l="1"/>
  <c r="G35" i="5"/>
  <c r="E41" i="5"/>
  <c r="C41" i="5"/>
  <c r="C32" i="5"/>
  <c r="G32" i="5"/>
  <c r="D38" i="5"/>
  <c r="D36" i="5"/>
  <c r="C38" i="5"/>
  <c r="C35" i="5"/>
  <c r="D41" i="5"/>
  <c r="F32" i="5"/>
  <c r="E32" i="5"/>
  <c r="G38" i="5"/>
  <c r="F35" i="5"/>
  <c r="E38" i="5"/>
  <c r="F38" i="5"/>
  <c r="D35" i="5"/>
  <c r="F41" i="5"/>
  <c r="G41" i="5"/>
  <c r="G34" i="5"/>
  <c r="C34" i="5"/>
  <c r="F36" i="5"/>
  <c r="E36" i="5"/>
  <c r="G36" i="5"/>
  <c r="F37" i="5"/>
  <c r="F40" i="5"/>
  <c r="G37" i="5"/>
  <c r="C40" i="5"/>
  <c r="E37" i="5"/>
  <c r="D31" i="5"/>
  <c r="C31" i="5"/>
  <c r="C37" i="5"/>
  <c r="E40" i="5"/>
  <c r="G40" i="5"/>
  <c r="G31" i="5"/>
  <c r="D37" i="5"/>
  <c r="E31" i="5"/>
  <c r="F31" i="5"/>
  <c r="D40" i="5"/>
  <c r="D34" i="5"/>
  <c r="F34" i="5"/>
  <c r="F33" i="5"/>
  <c r="D39" i="5"/>
  <c r="D42" i="5"/>
  <c r="G42" i="5"/>
  <c r="F42" i="5"/>
  <c r="E39" i="5"/>
  <c r="D33" i="5"/>
  <c r="E42" i="5"/>
  <c r="E33" i="5"/>
  <c r="C39" i="5"/>
  <c r="C33" i="5"/>
  <c r="F39" i="5"/>
  <c r="C42" i="5"/>
  <c r="G39" i="5"/>
  <c r="G33" i="5"/>
  <c r="P24" i="5" l="1"/>
  <c r="D51" i="5" s="1"/>
  <c r="P26" i="5"/>
  <c r="C57" i="5" s="1"/>
  <c r="P25" i="5"/>
  <c r="E56" i="5" s="1"/>
  <c r="P23" i="5"/>
  <c r="C48" i="5" s="1"/>
  <c r="F51" i="5" l="1"/>
  <c r="D54" i="5"/>
  <c r="C56" i="5"/>
  <c r="F54" i="5"/>
  <c r="E59" i="5"/>
  <c r="C59" i="5"/>
  <c r="G50" i="5"/>
  <c r="F49" i="5"/>
  <c r="C49" i="5"/>
  <c r="E49" i="5"/>
  <c r="G49" i="5"/>
  <c r="D49" i="5"/>
  <c r="G58" i="5"/>
  <c r="E58" i="5"/>
  <c r="C58" i="5"/>
  <c r="D58" i="5"/>
  <c r="F58" i="5"/>
  <c r="E57" i="5"/>
  <c r="F50" i="5"/>
  <c r="C50" i="5"/>
  <c r="G57" i="5"/>
  <c r="C54" i="5"/>
  <c r="D55" i="5"/>
  <c r="F55" i="5"/>
  <c r="C55" i="5"/>
  <c r="G55" i="5"/>
  <c r="E55" i="5"/>
  <c r="G56" i="5"/>
  <c r="F57" i="5"/>
  <c r="G59" i="5"/>
  <c r="D56" i="5"/>
  <c r="D57" i="5"/>
  <c r="E48" i="5"/>
  <c r="D50" i="5"/>
  <c r="F56" i="5"/>
  <c r="F59" i="5"/>
  <c r="D48" i="5"/>
  <c r="D59" i="5"/>
  <c r="G54" i="5"/>
  <c r="F48" i="5"/>
  <c r="G48" i="5"/>
  <c r="E50" i="5"/>
  <c r="E52" i="5"/>
  <c r="C53" i="5"/>
  <c r="G52" i="5"/>
  <c r="G53" i="5"/>
  <c r="C51" i="5"/>
  <c r="D52" i="5"/>
  <c r="E51" i="5"/>
  <c r="E53" i="5"/>
  <c r="F53" i="5"/>
  <c r="D53" i="5"/>
  <c r="G51" i="5"/>
  <c r="F52" i="5"/>
  <c r="C52" i="5"/>
  <c r="E54" i="5"/>
  <c r="C61" i="5" l="1"/>
  <c r="C70" i="5" s="1"/>
  <c r="G61" i="5"/>
  <c r="G64" i="5" s="1"/>
  <c r="C66" i="5"/>
  <c r="L13" i="13" s="1" a="1"/>
  <c r="L13" i="13" s="1"/>
  <c r="C72" i="5"/>
  <c r="L43" i="13" s="1" a="1"/>
  <c r="L43" i="13" s="1"/>
  <c r="C67" i="5"/>
  <c r="L18" i="13" s="1" a="1"/>
  <c r="L18" i="13" s="1"/>
  <c r="C75" i="5"/>
  <c r="L58" i="13" s="1" a="1"/>
  <c r="L58" i="13" s="1"/>
  <c r="F61" i="5"/>
  <c r="F64" i="5" s="1"/>
  <c r="L6" i="13" s="1" a="1"/>
  <c r="L6" i="13" s="1"/>
  <c r="E61" i="5"/>
  <c r="C68" i="5"/>
  <c r="L23" i="13" s="1" a="1"/>
  <c r="L23" i="13" s="1"/>
  <c r="C65" i="5"/>
  <c r="L8" i="13" s="1" a="1"/>
  <c r="L8" i="13" s="1"/>
  <c r="D61" i="5"/>
  <c r="D66" i="5" s="1"/>
  <c r="L14" i="13" s="1" a="1"/>
  <c r="L14" i="13" s="1"/>
  <c r="C69" i="5"/>
  <c r="L28" i="13" s="1" a="1"/>
  <c r="L28" i="13" s="1"/>
  <c r="C74" i="5"/>
  <c r="L53" i="13" s="1" a="1"/>
  <c r="L53" i="13" s="1"/>
  <c r="AF18" i="13" l="1"/>
  <c r="AY18" i="13"/>
  <c r="AF6" i="13"/>
  <c r="AY6" i="13"/>
  <c r="AF28" i="13"/>
  <c r="AY28" i="13"/>
  <c r="AF13" i="13"/>
  <c r="AY13" i="13"/>
  <c r="AF58" i="13"/>
  <c r="AY58" i="13"/>
  <c r="AF43" i="13"/>
  <c r="AY43" i="13"/>
  <c r="AF8" i="13"/>
  <c r="AY8" i="13"/>
  <c r="G132" i="5"/>
  <c r="L7" i="13" a="1"/>
  <c r="L7" i="13" s="1"/>
  <c r="AF53" i="13"/>
  <c r="AY53" i="13"/>
  <c r="AF14" i="13"/>
  <c r="AY14" i="13"/>
  <c r="AF23" i="13"/>
  <c r="AY23" i="13"/>
  <c r="C138" i="5"/>
  <c r="C39" i="4" s="1"/>
  <c r="C54" i="4" s="1"/>
  <c r="L33" i="13" a="1"/>
  <c r="L33" i="13" s="1"/>
  <c r="C73" i="5"/>
  <c r="G71" i="5"/>
  <c r="L42" i="13" s="1" a="1"/>
  <c r="L42" i="13" s="1"/>
  <c r="G74" i="5"/>
  <c r="G72" i="5"/>
  <c r="F75" i="5"/>
  <c r="C64" i="5"/>
  <c r="C71" i="5"/>
  <c r="D75" i="5"/>
  <c r="G73" i="5"/>
  <c r="L52" i="13" s="1" a="1"/>
  <c r="L52" i="13" s="1"/>
  <c r="G67" i="5"/>
  <c r="L22" i="13" s="1" a="1"/>
  <c r="L22" i="13" s="1"/>
  <c r="G65" i="5"/>
  <c r="D68" i="5"/>
  <c r="D73" i="5"/>
  <c r="D74" i="5"/>
  <c r="G68" i="5"/>
  <c r="G69" i="5"/>
  <c r="D69" i="5"/>
  <c r="D65" i="5"/>
  <c r="G75" i="5"/>
  <c r="G66" i="5"/>
  <c r="D64" i="5"/>
  <c r="D72" i="5"/>
  <c r="G70" i="5"/>
  <c r="E68" i="5"/>
  <c r="L25" i="13" s="1" a="1"/>
  <c r="L25" i="13" s="1"/>
  <c r="E75" i="5"/>
  <c r="L60" i="13" s="1" a="1"/>
  <c r="L60" i="13" s="1"/>
  <c r="E72" i="5"/>
  <c r="L45" i="13" s="1" a="1"/>
  <c r="L45" i="13" s="1"/>
  <c r="D134" i="5"/>
  <c r="C134" i="5"/>
  <c r="C133" i="5"/>
  <c r="F73" i="5"/>
  <c r="L51" i="13" s="1" a="1"/>
  <c r="L51" i="13" s="1"/>
  <c r="F67" i="5"/>
  <c r="L21" i="13" s="1" a="1"/>
  <c r="L21" i="13" s="1"/>
  <c r="F70" i="5"/>
  <c r="L36" i="13" s="1" a="1"/>
  <c r="L36" i="13" s="1"/>
  <c r="F74" i="5"/>
  <c r="L56" i="13" s="1" a="1"/>
  <c r="L56" i="13" s="1"/>
  <c r="E66" i="5"/>
  <c r="L15" i="13" s="1" a="1"/>
  <c r="L15" i="13" s="1"/>
  <c r="C137" i="5"/>
  <c r="F132" i="5"/>
  <c r="C143" i="5"/>
  <c r="F68" i="5"/>
  <c r="L26" i="13" s="1" a="1"/>
  <c r="L26" i="13" s="1"/>
  <c r="F65" i="5"/>
  <c r="L11" i="13" s="1" a="1"/>
  <c r="L11" i="13" s="1"/>
  <c r="F72" i="5"/>
  <c r="L46" i="13" s="1" a="1"/>
  <c r="L46" i="13" s="1"/>
  <c r="E65" i="5"/>
  <c r="L10" i="13" s="1" a="1"/>
  <c r="L10" i="13" s="1"/>
  <c r="C136" i="5"/>
  <c r="E71" i="5"/>
  <c r="L40" i="13" s="1" a="1"/>
  <c r="L40" i="13" s="1"/>
  <c r="F66" i="5"/>
  <c r="L16" i="13" s="1" a="1"/>
  <c r="L16" i="13" s="1"/>
  <c r="C142" i="5"/>
  <c r="D71" i="5"/>
  <c r="L39" i="13" s="1" a="1"/>
  <c r="L39" i="13" s="1"/>
  <c r="D67" i="5"/>
  <c r="L19" i="13" s="1" a="1"/>
  <c r="L19" i="13" s="1"/>
  <c r="D70" i="5"/>
  <c r="L34" i="13" s="1" a="1"/>
  <c r="L34" i="13" s="1"/>
  <c r="E73" i="5"/>
  <c r="L50" i="13" s="1" a="1"/>
  <c r="L50" i="13" s="1"/>
  <c r="G139" i="5"/>
  <c r="F71" i="5"/>
  <c r="L41" i="13" s="1" a="1"/>
  <c r="L41" i="13" s="1"/>
  <c r="C140" i="5"/>
  <c r="E69" i="5"/>
  <c r="L30" i="13" s="1" a="1"/>
  <c r="L30" i="13" s="1"/>
  <c r="F69" i="5"/>
  <c r="L31" i="13" s="1" a="1"/>
  <c r="L31" i="13" s="1"/>
  <c r="E67" i="5"/>
  <c r="L20" i="13" s="1" a="1"/>
  <c r="L20" i="13" s="1"/>
  <c r="E70" i="5"/>
  <c r="L35" i="13" s="1" a="1"/>
  <c r="L35" i="13" s="1"/>
  <c r="G141" i="5"/>
  <c r="E64" i="5"/>
  <c r="L5" i="13" s="1" a="1"/>
  <c r="L5" i="13" s="1"/>
  <c r="C135" i="5"/>
  <c r="E74" i="5"/>
  <c r="L55" i="13" s="1" a="1"/>
  <c r="L55" i="13" s="1"/>
  <c r="G33" i="4"/>
  <c r="G48" i="4" s="1"/>
  <c r="G18" i="8"/>
  <c r="C24" i="8" l="1"/>
  <c r="G135" i="5"/>
  <c r="AF30" i="13"/>
  <c r="AY30" i="13"/>
  <c r="K28" i="8"/>
  <c r="M53" i="13" a="1"/>
  <c r="M53" i="13" s="1"/>
  <c r="AF60" i="13"/>
  <c r="AY60" i="13"/>
  <c r="AF16" i="13"/>
  <c r="AY16" i="13"/>
  <c r="AF7" i="13"/>
  <c r="AY7" i="13"/>
  <c r="AF41" i="13"/>
  <c r="AY41" i="13"/>
  <c r="AF21" i="13"/>
  <c r="AY21" i="13"/>
  <c r="G138" i="5"/>
  <c r="L37" i="13" a="1"/>
  <c r="L37" i="13" s="1"/>
  <c r="G136" i="5"/>
  <c r="G22" i="8" s="1"/>
  <c r="L27" i="13" a="1"/>
  <c r="L27" i="13" s="1"/>
  <c r="C139" i="5"/>
  <c r="L38" i="13" a="1"/>
  <c r="L38" i="13" s="1"/>
  <c r="K24" i="8"/>
  <c r="M33" i="13" a="1"/>
  <c r="M33" i="13" s="1"/>
  <c r="O18" i="8"/>
  <c r="M7" i="13" a="1"/>
  <c r="M7" i="13" s="1"/>
  <c r="AF55" i="13"/>
  <c r="AY55" i="13"/>
  <c r="AF56" i="13"/>
  <c r="AY56" i="13"/>
  <c r="K21" i="8"/>
  <c r="M18" i="13" a="1"/>
  <c r="M18" i="13" s="1"/>
  <c r="AF36" i="13"/>
  <c r="AY36" i="13"/>
  <c r="AF33" i="13"/>
  <c r="AY33" i="13"/>
  <c r="AF40" i="13"/>
  <c r="AY40" i="13"/>
  <c r="AF26" i="13"/>
  <c r="AY26" i="13"/>
  <c r="AF51" i="13"/>
  <c r="AY51" i="13"/>
  <c r="D140" i="5"/>
  <c r="D26" i="8" s="1"/>
  <c r="L44" i="13" a="1"/>
  <c r="L44" i="13" s="1"/>
  <c r="D142" i="5"/>
  <c r="D43" i="4" s="1"/>
  <c r="D58" i="4" s="1"/>
  <c r="L54" i="13" a="1"/>
  <c r="L54" i="13" s="1"/>
  <c r="C132" i="5"/>
  <c r="L3" i="13" a="1"/>
  <c r="L3" i="13" s="1"/>
  <c r="K26" i="8"/>
  <c r="M43" i="13" a="1"/>
  <c r="M43" i="13" s="1"/>
  <c r="AF25" i="13"/>
  <c r="AY25" i="13"/>
  <c r="G137" i="5"/>
  <c r="G38" i="4" s="1"/>
  <c r="G53" i="4" s="1"/>
  <c r="L32" i="13" a="1"/>
  <c r="L32" i="13" s="1"/>
  <c r="D143" i="5"/>
  <c r="L59" i="13" a="1"/>
  <c r="L59" i="13" s="1"/>
  <c r="AF5" i="13"/>
  <c r="AY5" i="13"/>
  <c r="AF11" i="13"/>
  <c r="AY11" i="13"/>
  <c r="O21" i="8"/>
  <c r="M22" i="13" a="1"/>
  <c r="M22" i="13" s="1"/>
  <c r="O25" i="8"/>
  <c r="M42" i="13" a="1"/>
  <c r="M42" i="13" s="1"/>
  <c r="K22" i="8"/>
  <c r="M23" i="13" a="1"/>
  <c r="M23" i="13" s="1"/>
  <c r="O27" i="8"/>
  <c r="M52" i="13" a="1"/>
  <c r="M52" i="13" s="1"/>
  <c r="AF50" i="13"/>
  <c r="AY50" i="13"/>
  <c r="K29" i="8"/>
  <c r="M58" i="13" a="1"/>
  <c r="M58" i="13" s="1"/>
  <c r="K19" i="8"/>
  <c r="M8" i="13" a="1"/>
  <c r="M8" i="13" s="1"/>
  <c r="D132" i="5"/>
  <c r="L4" i="13" a="1"/>
  <c r="L4" i="13" s="1"/>
  <c r="D141" i="5"/>
  <c r="D27" i="8" s="1"/>
  <c r="L49" i="13" a="1"/>
  <c r="L49" i="13" s="1"/>
  <c r="F143" i="5"/>
  <c r="L61" i="13" a="1"/>
  <c r="L61" i="13" s="1"/>
  <c r="AF34" i="13"/>
  <c r="AY34" i="13"/>
  <c r="N18" i="8"/>
  <c r="M6" i="13" a="1"/>
  <c r="M6" i="13" s="1"/>
  <c r="G134" i="5"/>
  <c r="G35" i="4" s="1"/>
  <c r="G50" i="4" s="1"/>
  <c r="L17" i="13" a="1"/>
  <c r="L17" i="13" s="1"/>
  <c r="AF19" i="13"/>
  <c r="AY19" i="13"/>
  <c r="AF10" i="13"/>
  <c r="AY10" i="13"/>
  <c r="K23" i="8"/>
  <c r="M28" i="13" a="1"/>
  <c r="M28" i="13" s="1"/>
  <c r="L20" i="8"/>
  <c r="M14" i="13" a="1"/>
  <c r="M14" i="13" s="1"/>
  <c r="G143" i="5"/>
  <c r="G44" i="4" s="1"/>
  <c r="G59" i="4" s="1"/>
  <c r="L62" i="13" a="1"/>
  <c r="L62" i="13" s="1"/>
  <c r="G133" i="5"/>
  <c r="G34" i="4" s="1"/>
  <c r="G49" i="4" s="1"/>
  <c r="L12" i="13" a="1"/>
  <c r="L12" i="13" s="1"/>
  <c r="G142" i="5"/>
  <c r="G43" i="4" s="1"/>
  <c r="G58" i="4" s="1"/>
  <c r="L57" i="13" a="1"/>
  <c r="L57" i="13" s="1"/>
  <c r="AF35" i="13"/>
  <c r="AY35" i="13"/>
  <c r="K20" i="8"/>
  <c r="M13" i="13" a="1"/>
  <c r="M13" i="13" s="1"/>
  <c r="D136" i="5"/>
  <c r="D22" i="8" s="1"/>
  <c r="L24" i="13" a="1"/>
  <c r="L24" i="13" s="1"/>
  <c r="G140" i="5"/>
  <c r="L47" i="13" a="1"/>
  <c r="L47" i="13" s="1"/>
  <c r="AF20" i="13"/>
  <c r="AY20" i="13"/>
  <c r="AF31" i="13"/>
  <c r="AY31" i="13"/>
  <c r="AF39" i="13"/>
  <c r="AY39" i="13"/>
  <c r="AF46" i="13"/>
  <c r="AY46" i="13"/>
  <c r="AF15" i="13"/>
  <c r="AY15" i="13"/>
  <c r="AF45" i="13"/>
  <c r="AY45" i="13"/>
  <c r="D133" i="5"/>
  <c r="D34" i="4" s="1"/>
  <c r="L9" i="13" a="1"/>
  <c r="L9" i="13" s="1"/>
  <c r="AF22" i="13"/>
  <c r="AY22" i="13"/>
  <c r="AF42" i="13"/>
  <c r="AY42" i="13"/>
  <c r="D137" i="5"/>
  <c r="D23" i="8" s="1"/>
  <c r="L29" i="13" a="1"/>
  <c r="L29" i="13" s="1"/>
  <c r="AF52" i="13"/>
  <c r="AY52" i="13"/>
  <c r="C141" i="5"/>
  <c r="L48" i="13" a="1"/>
  <c r="L48" i="13" s="1"/>
  <c r="M108" i="5"/>
  <c r="M112" i="5"/>
  <c r="D81" i="5"/>
  <c r="D118" i="5" s="1"/>
  <c r="G85" i="5"/>
  <c r="G122" i="5" s="1"/>
  <c r="C83" i="5"/>
  <c r="C120" i="5" s="1"/>
  <c r="C87" i="5"/>
  <c r="C124" i="5" s="1"/>
  <c r="C37" i="4"/>
  <c r="C52" i="4" s="1"/>
  <c r="C22" i="8"/>
  <c r="F133" i="5"/>
  <c r="F80" i="5"/>
  <c r="F117" i="5" s="1"/>
  <c r="G90" i="5"/>
  <c r="G127" i="5" s="1"/>
  <c r="G89" i="5"/>
  <c r="G126" i="5" s="1"/>
  <c r="E138" i="5"/>
  <c r="E85" i="5"/>
  <c r="E122" i="5" s="1"/>
  <c r="D138" i="5"/>
  <c r="D85" i="5"/>
  <c r="D122" i="5" s="1"/>
  <c r="D41" i="4"/>
  <c r="D56" i="4" s="1"/>
  <c r="G83" i="5"/>
  <c r="G120" i="5" s="1"/>
  <c r="F79" i="5"/>
  <c r="F116" i="5" s="1"/>
  <c r="F142" i="5"/>
  <c r="F89" i="5"/>
  <c r="F126" i="5" s="1"/>
  <c r="D90" i="5"/>
  <c r="D127" i="5" s="1"/>
  <c r="G80" i="5"/>
  <c r="G117" i="5" s="1"/>
  <c r="F137" i="5"/>
  <c r="F84" i="5"/>
  <c r="F121" i="5" s="1"/>
  <c r="E84" i="5"/>
  <c r="E121" i="5" s="1"/>
  <c r="E137" i="5"/>
  <c r="C41" i="4"/>
  <c r="C56" i="4" s="1"/>
  <c r="C26" i="8"/>
  <c r="G81" i="5"/>
  <c r="G118" i="5" s="1"/>
  <c r="F136" i="5"/>
  <c r="F83" i="5"/>
  <c r="F120" i="5" s="1"/>
  <c r="F138" i="5"/>
  <c r="F85" i="5"/>
  <c r="F122" i="5" s="1"/>
  <c r="G84" i="5"/>
  <c r="G121" i="5" s="1"/>
  <c r="F86" i="5"/>
  <c r="F139" i="5"/>
  <c r="G41" i="4"/>
  <c r="G56" i="4" s="1"/>
  <c r="G26" i="8"/>
  <c r="D80" i="5"/>
  <c r="D117" i="5" s="1"/>
  <c r="F140" i="5"/>
  <c r="F87" i="5"/>
  <c r="F124" i="5" s="1"/>
  <c r="G87" i="5"/>
  <c r="E5" i="9" s="1" a="1"/>
  <c r="E5" i="9" s="1"/>
  <c r="F141" i="5"/>
  <c r="F88" i="5"/>
  <c r="F125" i="5" s="1"/>
  <c r="C20" i="8"/>
  <c r="C35" i="4"/>
  <c r="C50" i="4" s="1"/>
  <c r="E143" i="5"/>
  <c r="E90" i="5"/>
  <c r="E127" i="5" s="1"/>
  <c r="C28" i="8"/>
  <c r="C43" i="4"/>
  <c r="C58" i="4" s="1"/>
  <c r="C23" i="8"/>
  <c r="C38" i="4"/>
  <c r="C53" i="4" s="1"/>
  <c r="F135" i="5"/>
  <c r="F82" i="5"/>
  <c r="F119" i="5" s="1"/>
  <c r="C81" i="5"/>
  <c r="C118" i="5" s="1"/>
  <c r="E140" i="5"/>
  <c r="E87" i="5"/>
  <c r="E124" i="5" s="1"/>
  <c r="G23" i="8"/>
  <c r="G42" i="4"/>
  <c r="G57" i="4" s="1"/>
  <c r="G27" i="8"/>
  <c r="D79" i="5"/>
  <c r="D116" i="5" s="1"/>
  <c r="G86" i="5"/>
  <c r="G123" i="5" s="1"/>
  <c r="F81" i="5"/>
  <c r="F118" i="5" s="1"/>
  <c r="F134" i="5"/>
  <c r="C82" i="5"/>
  <c r="C119" i="5" s="1"/>
  <c r="G88" i="5"/>
  <c r="G125" i="5" s="1"/>
  <c r="D33" i="4"/>
  <c r="D48" i="4" s="1"/>
  <c r="D18" i="8"/>
  <c r="D19" i="8"/>
  <c r="G40" i="4"/>
  <c r="G55" i="4" s="1"/>
  <c r="G25" i="8"/>
  <c r="E86" i="5"/>
  <c r="E123" i="5" s="1"/>
  <c r="E139" i="5"/>
  <c r="C90" i="5"/>
  <c r="C127" i="5" s="1"/>
  <c r="F90" i="5"/>
  <c r="F127" i="5" s="1"/>
  <c r="C86" i="5"/>
  <c r="C123" i="5" s="1"/>
  <c r="E136" i="5"/>
  <c r="E83" i="5"/>
  <c r="E4" i="9" s="1" a="1"/>
  <c r="E4" i="9" s="1"/>
  <c r="G28" i="8"/>
  <c r="E82" i="5"/>
  <c r="E119" i="5" s="1"/>
  <c r="E135" i="5"/>
  <c r="D135" i="5"/>
  <c r="D82" i="5"/>
  <c r="G37" i="4"/>
  <c r="G52" i="4" s="1"/>
  <c r="D83" i="5"/>
  <c r="D120" i="5" s="1"/>
  <c r="F18" i="8"/>
  <c r="F33" i="4"/>
  <c r="F48" i="4" s="1"/>
  <c r="G29" i="8"/>
  <c r="D29" i="8"/>
  <c r="G19" i="8"/>
  <c r="E79" i="5"/>
  <c r="E116" i="5" s="1"/>
  <c r="E132" i="5"/>
  <c r="M110" i="5"/>
  <c r="C79" i="5"/>
  <c r="C85" i="5"/>
  <c r="C122" i="5" s="1"/>
  <c r="C88" i="5"/>
  <c r="C125" i="5" s="1"/>
  <c r="D88" i="5"/>
  <c r="D125" i="5" s="1"/>
  <c r="D139" i="5"/>
  <c r="D86" i="5"/>
  <c r="D123" i="5" s="1"/>
  <c r="E80" i="5"/>
  <c r="E133" i="5"/>
  <c r="M10" i="13" s="1" a="1"/>
  <c r="M10" i="13" s="1"/>
  <c r="M111" i="5"/>
  <c r="C80" i="5"/>
  <c r="C117" i="5" s="1"/>
  <c r="D35" i="4"/>
  <c r="D50" i="4" s="1"/>
  <c r="D20" i="8"/>
  <c r="E89" i="5"/>
  <c r="E126" i="5" s="1"/>
  <c r="E142" i="5"/>
  <c r="G82" i="5"/>
  <c r="G119" i="5" s="1"/>
  <c r="C89" i="5"/>
  <c r="C126" i="5" s="1"/>
  <c r="D89" i="5"/>
  <c r="D126" i="5" s="1"/>
  <c r="C84" i="5"/>
  <c r="C121" i="5" s="1"/>
  <c r="C34" i="4"/>
  <c r="C49" i="4" s="1"/>
  <c r="C19" i="8"/>
  <c r="G21" i="8"/>
  <c r="G36" i="4"/>
  <c r="G51" i="4" s="1"/>
  <c r="C36" i="4"/>
  <c r="C51" i="4" s="1"/>
  <c r="C21" i="8"/>
  <c r="M109" i="5"/>
  <c r="D84" i="5"/>
  <c r="D121" i="5" s="1"/>
  <c r="E141" i="5"/>
  <c r="E88" i="5"/>
  <c r="E125" i="5" s="1"/>
  <c r="D87" i="5"/>
  <c r="D124" i="5" s="1"/>
  <c r="C44" i="4"/>
  <c r="C59" i="4" s="1"/>
  <c r="C29" i="8"/>
  <c r="E81" i="5"/>
  <c r="E118" i="5" s="1"/>
  <c r="E134" i="5"/>
  <c r="C40" i="4"/>
  <c r="C55" i="4" s="1"/>
  <c r="C25" i="8"/>
  <c r="G24" i="8"/>
  <c r="G39" i="4"/>
  <c r="G54" i="4" s="1"/>
  <c r="G79" i="5"/>
  <c r="G116" i="5" s="1"/>
  <c r="K18" i="8" l="1"/>
  <c r="L132" i="5"/>
  <c r="D42" i="4"/>
  <c r="D57" i="4" s="1"/>
  <c r="E3" i="9" a="1"/>
  <c r="E3" i="9" s="1"/>
  <c r="C116" i="5"/>
  <c r="D28" i="8"/>
  <c r="G20" i="8"/>
  <c r="D37" i="4"/>
  <c r="D52" i="4" s="1"/>
  <c r="E2" i="14"/>
  <c r="M25" i="8"/>
  <c r="M40" i="13" a="1"/>
  <c r="M40" i="13" s="1"/>
  <c r="M29" i="8"/>
  <c r="M60" i="13" a="1"/>
  <c r="M60" i="13" s="1"/>
  <c r="AZ14" i="13"/>
  <c r="BA14" i="13" s="1"/>
  <c r="N14" i="13"/>
  <c r="AG14" i="13"/>
  <c r="AH14" i="13" s="1"/>
  <c r="AF61" i="13"/>
  <c r="AY61" i="13"/>
  <c r="AG58" i="13"/>
  <c r="AH58" i="13" s="1"/>
  <c r="N58" i="13"/>
  <c r="AZ58" i="13"/>
  <c r="BA58" i="13" s="1"/>
  <c r="AG42" i="13"/>
  <c r="AH42" i="13" s="1"/>
  <c r="N42" i="13"/>
  <c r="AZ42" i="13"/>
  <c r="BA42" i="13" s="1"/>
  <c r="AF59" i="13"/>
  <c r="AY59" i="13"/>
  <c r="AG7" i="13"/>
  <c r="AH7" i="13" s="1"/>
  <c r="N7" i="13"/>
  <c r="AZ7" i="13"/>
  <c r="BA7" i="13" s="1"/>
  <c r="AF37" i="13"/>
  <c r="AY37" i="13"/>
  <c r="M28" i="8"/>
  <c r="M55" i="13" a="1"/>
  <c r="M55" i="13" s="1"/>
  <c r="N26" i="8"/>
  <c r="M46" i="13" a="1"/>
  <c r="M46" i="13" s="1"/>
  <c r="N24" i="8"/>
  <c r="M36" i="13" a="1"/>
  <c r="M36" i="13" s="1"/>
  <c r="AF48" i="13"/>
  <c r="AY48" i="13"/>
  <c r="N29" i="8"/>
  <c r="M61" i="13" a="1"/>
  <c r="M61" i="13" s="1"/>
  <c r="L29" i="8"/>
  <c r="M59" i="13" a="1"/>
  <c r="M59" i="13" s="1"/>
  <c r="AF3" i="13"/>
  <c r="AY3" i="13"/>
  <c r="O24" i="8"/>
  <c r="M37" i="13" a="1"/>
  <c r="M37" i="13" s="1"/>
  <c r="M18" i="8"/>
  <c r="M5" i="13" a="1"/>
  <c r="M5" i="13" s="1"/>
  <c r="M27" i="8"/>
  <c r="M50" i="13" a="1"/>
  <c r="M50" i="13" s="1"/>
  <c r="L25" i="8"/>
  <c r="M39" i="13" a="1"/>
  <c r="M39" i="13" s="1"/>
  <c r="N20" i="8"/>
  <c r="M16" i="13" a="1"/>
  <c r="M16" i="13" s="1"/>
  <c r="N23" i="8"/>
  <c r="M31" i="13" a="1"/>
  <c r="M31" i="13" s="1"/>
  <c r="M24" i="8"/>
  <c r="M35" i="13" a="1"/>
  <c r="M35" i="13" s="1"/>
  <c r="K27" i="8"/>
  <c r="M48" i="13" a="1"/>
  <c r="M48" i="13" s="1"/>
  <c r="C42" i="4"/>
  <c r="C57" i="4" s="1"/>
  <c r="C27" i="8"/>
  <c r="AF47" i="13"/>
  <c r="AY47" i="13"/>
  <c r="AF57" i="13"/>
  <c r="AY57" i="13"/>
  <c r="AZ28" i="13"/>
  <c r="BA28" i="13" s="1"/>
  <c r="N28" i="13"/>
  <c r="AG28" i="13"/>
  <c r="AH28" i="13" s="1"/>
  <c r="AF17" i="13"/>
  <c r="AY17" i="13"/>
  <c r="AF49" i="13"/>
  <c r="AY49" i="13"/>
  <c r="AZ22" i="13"/>
  <c r="BA22" i="13" s="1"/>
  <c r="AG22" i="13"/>
  <c r="AH22" i="13" s="1"/>
  <c r="N22" i="13"/>
  <c r="AF32" i="13"/>
  <c r="AY32" i="13"/>
  <c r="C33" i="4"/>
  <c r="C48" i="4" s="1"/>
  <c r="M3" i="13" a="1"/>
  <c r="M3" i="13" s="1"/>
  <c r="C18" i="8"/>
  <c r="AG18" i="13"/>
  <c r="AH18" i="13" s="1"/>
  <c r="N18" i="13"/>
  <c r="AZ18" i="13"/>
  <c r="BA18" i="13" s="1"/>
  <c r="AG33" i="13"/>
  <c r="AH33" i="13" s="1"/>
  <c r="AZ33" i="13"/>
  <c r="BA33" i="13" s="1"/>
  <c r="N33" i="13"/>
  <c r="AF9" i="13"/>
  <c r="AY9" i="13"/>
  <c r="O26" i="8"/>
  <c r="M47" i="13" a="1"/>
  <c r="M47" i="13" s="1"/>
  <c r="O28" i="8"/>
  <c r="M57" i="13" a="1"/>
  <c r="M57" i="13" s="1"/>
  <c r="O20" i="8"/>
  <c r="M17" i="13" a="1"/>
  <c r="M17" i="13" s="1"/>
  <c r="L27" i="8"/>
  <c r="M49" i="13" a="1"/>
  <c r="M49" i="13" s="1"/>
  <c r="O23" i="8"/>
  <c r="M32" i="13" a="1"/>
  <c r="M32" i="13" s="1"/>
  <c r="AF54" i="13"/>
  <c r="AY54" i="13"/>
  <c r="L19" i="8"/>
  <c r="M9" i="13" a="1"/>
  <c r="M9" i="13" s="1"/>
  <c r="AF24" i="13"/>
  <c r="AY24" i="13"/>
  <c r="AF12" i="13"/>
  <c r="AY12" i="13"/>
  <c r="AZ6" i="13"/>
  <c r="BA6" i="13" s="1"/>
  <c r="N6" i="13"/>
  <c r="AG6" i="13"/>
  <c r="AH6" i="13" s="1"/>
  <c r="AF4" i="13"/>
  <c r="AY4" i="13"/>
  <c r="AZ52" i="13"/>
  <c r="BA52" i="13" s="1"/>
  <c r="N52" i="13"/>
  <c r="AG52" i="13"/>
  <c r="AH52" i="13" s="1"/>
  <c r="L28" i="8"/>
  <c r="M54" i="13" a="1"/>
  <c r="M54" i="13" s="1"/>
  <c r="AF38" i="13"/>
  <c r="AY38" i="13"/>
  <c r="AZ53" i="13"/>
  <c r="BA53" i="13" s="1"/>
  <c r="N53" i="13"/>
  <c r="AG53" i="13"/>
  <c r="AH53" i="13" s="1"/>
  <c r="D44" i="4"/>
  <c r="D59" i="4" s="1"/>
  <c r="F29" i="8"/>
  <c r="N25" i="8"/>
  <c r="M41" i="13" a="1"/>
  <c r="M41" i="13" s="1"/>
  <c r="AF29" i="13"/>
  <c r="AY29" i="13"/>
  <c r="L22" i="8"/>
  <c r="M24" i="13" a="1"/>
  <c r="M24" i="13" s="1"/>
  <c r="O19" i="8"/>
  <c r="M12" i="13" a="1"/>
  <c r="M12" i="13" s="1"/>
  <c r="L18" i="8"/>
  <c r="M4" i="13" a="1"/>
  <c r="M4" i="13" s="1"/>
  <c r="AF44" i="13"/>
  <c r="AY44" i="13"/>
  <c r="K25" i="8"/>
  <c r="M38" i="13" a="1"/>
  <c r="M38" i="13" s="1"/>
  <c r="N27" i="8"/>
  <c r="M51" i="13" a="1"/>
  <c r="M51" i="13" s="1"/>
  <c r="L21" i="8"/>
  <c r="M19" i="13" a="1"/>
  <c r="M19" i="13" s="1"/>
  <c r="N21" i="8"/>
  <c r="M21" i="13" a="1"/>
  <c r="M21" i="13" s="1"/>
  <c r="F44" i="4"/>
  <c r="F59" i="4" s="1"/>
  <c r="N28" i="8"/>
  <c r="M56" i="13" a="1"/>
  <c r="M56" i="13" s="1"/>
  <c r="L24" i="8"/>
  <c r="M34" i="13" a="1"/>
  <c r="M34" i="13" s="1"/>
  <c r="N19" i="8"/>
  <c r="M11" i="13" a="1"/>
  <c r="M11" i="13" s="1"/>
  <c r="L23" i="8"/>
  <c r="M29" i="13" a="1"/>
  <c r="M29" i="13" s="1"/>
  <c r="AZ13" i="13"/>
  <c r="BA13" i="13" s="1"/>
  <c r="AG13" i="13"/>
  <c r="AH13" i="13" s="1"/>
  <c r="N13" i="13"/>
  <c r="AF62" i="13"/>
  <c r="AY62" i="13"/>
  <c r="AG8" i="13"/>
  <c r="AH8" i="13" s="1"/>
  <c r="AZ8" i="13"/>
  <c r="BA8" i="13" s="1"/>
  <c r="N8" i="13"/>
  <c r="AG23" i="13"/>
  <c r="AH23" i="13" s="1"/>
  <c r="AZ23" i="13"/>
  <c r="BA23" i="13" s="1"/>
  <c r="N23" i="13"/>
  <c r="AZ43" i="13"/>
  <c r="BA43" i="13" s="1"/>
  <c r="N43" i="13"/>
  <c r="AG43" i="13"/>
  <c r="AH43" i="13" s="1"/>
  <c r="L26" i="8"/>
  <c r="M44" i="13" a="1"/>
  <c r="M44" i="13" s="1"/>
  <c r="AF27" i="13"/>
  <c r="AY27" i="13"/>
  <c r="M26" i="8"/>
  <c r="M45" i="13" a="1"/>
  <c r="M45" i="13" s="1"/>
  <c r="N22" i="8"/>
  <c r="M26" i="13" a="1"/>
  <c r="M26" i="13" s="1"/>
  <c r="M20" i="8"/>
  <c r="M15" i="13" a="1"/>
  <c r="M15" i="13" s="1"/>
  <c r="M22" i="8"/>
  <c r="M25" i="13" a="1"/>
  <c r="M25" i="13" s="1"/>
  <c r="AG10" i="13"/>
  <c r="AH10" i="13" s="1"/>
  <c r="AZ10" i="13"/>
  <c r="BA10" i="13" s="1"/>
  <c r="N10" i="13"/>
  <c r="M21" i="8"/>
  <c r="M20" i="13" a="1"/>
  <c r="M20" i="13" s="1"/>
  <c r="M23" i="8"/>
  <c r="M30" i="13" a="1"/>
  <c r="M30" i="13" s="1"/>
  <c r="D38" i="4"/>
  <c r="D53" i="4" s="1"/>
  <c r="O29" i="8"/>
  <c r="M62" i="13" a="1"/>
  <c r="M62" i="13" s="1"/>
  <c r="O22" i="8"/>
  <c r="M27" i="13" a="1"/>
  <c r="M27" i="13" s="1"/>
  <c r="E117" i="5"/>
  <c r="C44" i="10" a="1"/>
  <c r="C44" i="10" s="1"/>
  <c r="E6" i="9" a="1"/>
  <c r="E6" i="9" s="1"/>
  <c r="E44" i="10" a="1"/>
  <c r="E44" i="10" s="1"/>
  <c r="M19" i="8"/>
  <c r="B6" i="3"/>
  <c r="D49" i="4"/>
  <c r="C108" i="5" a="1"/>
  <c r="C108" i="5" s="1"/>
  <c r="F40" i="4"/>
  <c r="F55" i="4" s="1"/>
  <c r="F25" i="8"/>
  <c r="A109" i="5"/>
  <c r="B2" i="3" s="1" a="1"/>
  <c r="B2" i="3" s="1"/>
  <c r="C129" i="5"/>
  <c r="D36" i="4"/>
  <c r="D51" i="4" s="1"/>
  <c r="D21" i="8"/>
  <c r="F36" i="4"/>
  <c r="F51" i="4" s="1"/>
  <c r="F21" i="8"/>
  <c r="F123" i="5"/>
  <c r="F129" i="5" s="1"/>
  <c r="F43" i="4"/>
  <c r="F58" i="4" s="1"/>
  <c r="F28" i="8"/>
  <c r="D39" i="4"/>
  <c r="D54" i="4" s="1"/>
  <c r="D24" i="8"/>
  <c r="F34" i="4"/>
  <c r="F49" i="4" s="1"/>
  <c r="F19" i="8"/>
  <c r="D119" i="5"/>
  <c r="D129" i="5" s="1"/>
  <c r="E34" i="4"/>
  <c r="E49" i="4" s="1"/>
  <c r="E19" i="8"/>
  <c r="A44" i="10" s="1" a="1"/>
  <c r="A44" i="10" s="1"/>
  <c r="E21" i="8"/>
  <c r="E36" i="4"/>
  <c r="E51" i="4" s="1"/>
  <c r="G124" i="5"/>
  <c r="G129" i="5" s="1"/>
  <c r="E38" i="4"/>
  <c r="E53" i="4" s="1"/>
  <c r="E23" i="8"/>
  <c r="E33" i="4"/>
  <c r="E48" i="4" s="1"/>
  <c r="E18" i="8"/>
  <c r="B4" i="3"/>
  <c r="B3" i="3"/>
  <c r="E40" i="4"/>
  <c r="E55" i="4" s="1"/>
  <c r="E25" i="8"/>
  <c r="E29" i="8"/>
  <c r="E44" i="4"/>
  <c r="E59" i="4" s="1"/>
  <c r="E43" i="4"/>
  <c r="E58" i="4" s="1"/>
  <c r="E28" i="8"/>
  <c r="F41" i="4"/>
  <c r="F56" i="4" s="1"/>
  <c r="F26" i="8"/>
  <c r="F39" i="4"/>
  <c r="F54" i="4" s="1"/>
  <c r="F24" i="8"/>
  <c r="E35" i="4"/>
  <c r="E50" i="4" s="1"/>
  <c r="E20" i="8"/>
  <c r="E27" i="8"/>
  <c r="E42" i="4"/>
  <c r="E57" i="4" s="1"/>
  <c r="D40" i="4"/>
  <c r="D55" i="4" s="1"/>
  <c r="D25" i="8"/>
  <c r="F35" i="4"/>
  <c r="F50" i="4" s="1"/>
  <c r="F20" i="8"/>
  <c r="F38" i="4"/>
  <c r="F53" i="4" s="1"/>
  <c r="F23" i="8"/>
  <c r="E39" i="4"/>
  <c r="E54" i="4" s="1"/>
  <c r="E24" i="8"/>
  <c r="E120" i="5"/>
  <c r="E129" i="5" s="1"/>
  <c r="E26" i="8"/>
  <c r="E41" i="4"/>
  <c r="E56" i="4" s="1"/>
  <c r="F37" i="4"/>
  <c r="F52" i="4" s="1"/>
  <c r="F22" i="8"/>
  <c r="E37" i="4"/>
  <c r="E52" i="4" s="1"/>
  <c r="E22" i="8"/>
  <c r="F42" i="4"/>
  <c r="F57" i="4" s="1"/>
  <c r="F27" i="8"/>
  <c r="K2" i="14" l="1"/>
  <c r="L2" i="14"/>
  <c r="H2" i="14"/>
  <c r="F2" i="14" a="1"/>
  <c r="F2" i="14" s="1"/>
  <c r="BB22" i="13"/>
  <c r="BC22" i="13"/>
  <c r="BD22" i="13" s="1"/>
  <c r="BB52" i="13"/>
  <c r="BC52" i="13"/>
  <c r="BD52" i="13" s="1"/>
  <c r="AI8" i="13"/>
  <c r="AJ8" i="13"/>
  <c r="O52" i="13"/>
  <c r="P52" i="13"/>
  <c r="BB43" i="13"/>
  <c r="BC43" i="13"/>
  <c r="BD43" i="13" s="1"/>
  <c r="AG49" i="13"/>
  <c r="AH49" i="13" s="1"/>
  <c r="N49" i="13"/>
  <c r="AZ49" i="13"/>
  <c r="BA49" i="13" s="1"/>
  <c r="O22" i="13"/>
  <c r="P22" i="13"/>
  <c r="O28" i="13"/>
  <c r="P28" i="13"/>
  <c r="AG39" i="13"/>
  <c r="AH39" i="13" s="1"/>
  <c r="N39" i="13"/>
  <c r="AZ39" i="13"/>
  <c r="BA39" i="13" s="1"/>
  <c r="AI22" i="13"/>
  <c r="AJ22" i="13"/>
  <c r="O23" i="13"/>
  <c r="P23" i="13"/>
  <c r="AG9" i="13"/>
  <c r="AH9" i="13" s="1"/>
  <c r="AZ9" i="13"/>
  <c r="BA9" i="13" s="1"/>
  <c r="N9" i="13"/>
  <c r="AZ36" i="13"/>
  <c r="BA36" i="13" s="1"/>
  <c r="AG36" i="13"/>
  <c r="AH36" i="13" s="1"/>
  <c r="N36" i="13"/>
  <c r="O42" i="13"/>
  <c r="P42" i="13"/>
  <c r="AZ30" i="13"/>
  <c r="BA30" i="13" s="1"/>
  <c r="AG30" i="13"/>
  <c r="AH30" i="13" s="1"/>
  <c r="N30" i="13"/>
  <c r="BB23" i="13"/>
  <c r="BC23" i="13"/>
  <c r="BD23" i="13" s="1"/>
  <c r="O13" i="13"/>
  <c r="P13" i="13"/>
  <c r="AZ51" i="13"/>
  <c r="BA51" i="13" s="1"/>
  <c r="AG51" i="13"/>
  <c r="AH51" i="13" s="1"/>
  <c r="N51" i="13"/>
  <c r="AZ12" i="13"/>
  <c r="BA12" i="13" s="1"/>
  <c r="AG12" i="13"/>
  <c r="AH12" i="13" s="1"/>
  <c r="N12" i="13"/>
  <c r="AZ54" i="13"/>
  <c r="BA54" i="13" s="1"/>
  <c r="N54" i="13"/>
  <c r="AG54" i="13"/>
  <c r="AH54" i="13" s="1"/>
  <c r="AI6" i="13"/>
  <c r="AJ6" i="13"/>
  <c r="AZ59" i="13"/>
  <c r="BA59" i="13" s="1"/>
  <c r="N59" i="13"/>
  <c r="AG59" i="13"/>
  <c r="AH59" i="13" s="1"/>
  <c r="BB7" i="13"/>
  <c r="BC7" i="13"/>
  <c r="BD7" i="13" s="1"/>
  <c r="AI42" i="13"/>
  <c r="AJ42" i="13"/>
  <c r="BB14" i="13"/>
  <c r="BC14" i="13"/>
  <c r="BD14" i="13" s="1"/>
  <c r="O10" i="13"/>
  <c r="P10" i="13"/>
  <c r="O43" i="13"/>
  <c r="P43" i="13"/>
  <c r="AZ21" i="13"/>
  <c r="BA21" i="13" s="1"/>
  <c r="AG21" i="13"/>
  <c r="AH21" i="13" s="1"/>
  <c r="N21" i="13"/>
  <c r="AZ62" i="13"/>
  <c r="BA62" i="13" s="1"/>
  <c r="N62" i="13"/>
  <c r="AG62" i="13"/>
  <c r="AH62" i="13" s="1"/>
  <c r="AZ11" i="13"/>
  <c r="BA11" i="13" s="1"/>
  <c r="N11" i="13"/>
  <c r="AG11" i="13"/>
  <c r="AH11" i="13" s="1"/>
  <c r="BB18" i="13"/>
  <c r="BC18" i="13"/>
  <c r="BD18" i="13" s="1"/>
  <c r="AG48" i="13"/>
  <c r="AH48" i="13" s="1"/>
  <c r="N48" i="13"/>
  <c r="AZ48" i="13"/>
  <c r="BA48" i="13" s="1"/>
  <c r="AI10" i="13"/>
  <c r="AJ10" i="13"/>
  <c r="BB28" i="13"/>
  <c r="BC28" i="13"/>
  <c r="BD28" i="13" s="1"/>
  <c r="AG34" i="13"/>
  <c r="AH34" i="13" s="1"/>
  <c r="AZ34" i="13"/>
  <c r="BA34" i="13" s="1"/>
  <c r="N34" i="13"/>
  <c r="AI18" i="13"/>
  <c r="AJ18" i="13"/>
  <c r="AG50" i="13"/>
  <c r="AH50" i="13" s="1"/>
  <c r="N50" i="13"/>
  <c r="AZ50" i="13"/>
  <c r="BA50" i="13" s="1"/>
  <c r="AG15" i="13"/>
  <c r="AH15" i="13" s="1"/>
  <c r="N15" i="13"/>
  <c r="AZ15" i="13"/>
  <c r="BA15" i="13" s="1"/>
  <c r="AZ44" i="13"/>
  <c r="BA44" i="13" s="1"/>
  <c r="N44" i="13"/>
  <c r="AG44" i="13"/>
  <c r="AH44" i="13" s="1"/>
  <c r="AI23" i="13"/>
  <c r="AJ23" i="13"/>
  <c r="AI13" i="13"/>
  <c r="AJ13" i="13"/>
  <c r="AG56" i="13"/>
  <c r="AH56" i="13" s="1"/>
  <c r="AZ56" i="13"/>
  <c r="BA56" i="13" s="1"/>
  <c r="N56" i="13"/>
  <c r="O6" i="13"/>
  <c r="P6" i="13"/>
  <c r="AG57" i="13"/>
  <c r="AH57" i="13" s="1"/>
  <c r="N57" i="13"/>
  <c r="AZ57" i="13"/>
  <c r="BA57" i="13" s="1"/>
  <c r="AZ3" i="13"/>
  <c r="AG3" i="13"/>
  <c r="N3" i="13"/>
  <c r="B2" i="14"/>
  <c r="AG31" i="13"/>
  <c r="AH31" i="13" s="1"/>
  <c r="N31" i="13"/>
  <c r="AZ31" i="13"/>
  <c r="BA31" i="13" s="1"/>
  <c r="AZ5" i="13"/>
  <c r="BA5" i="13" s="1"/>
  <c r="AG5" i="13"/>
  <c r="AH5" i="13" s="1"/>
  <c r="N5" i="13"/>
  <c r="AZ46" i="13"/>
  <c r="BA46" i="13" s="1"/>
  <c r="AG46" i="13"/>
  <c r="AH46" i="13" s="1"/>
  <c r="N46" i="13"/>
  <c r="O7" i="13"/>
  <c r="P7" i="13"/>
  <c r="BB58" i="13"/>
  <c r="BC58" i="13"/>
  <c r="BD58" i="13" s="1"/>
  <c r="AZ60" i="13"/>
  <c r="BA60" i="13" s="1"/>
  <c r="AG60" i="13"/>
  <c r="AH60" i="13" s="1"/>
  <c r="N60" i="13"/>
  <c r="BB10" i="13"/>
  <c r="BC10" i="13"/>
  <c r="BD10" i="13" s="1"/>
  <c r="BB53" i="13"/>
  <c r="BC53" i="13"/>
  <c r="BD53" i="13" s="1"/>
  <c r="AZ19" i="13"/>
  <c r="BA19" i="13" s="1"/>
  <c r="AG19" i="13"/>
  <c r="AH19" i="13" s="1"/>
  <c r="N19" i="13"/>
  <c r="BB42" i="13"/>
  <c r="BC42" i="13"/>
  <c r="BD42" i="13" s="1"/>
  <c r="AG25" i="13"/>
  <c r="AH25" i="13" s="1"/>
  <c r="N25" i="13"/>
  <c r="AZ25" i="13"/>
  <c r="BA25" i="13" s="1"/>
  <c r="AG41" i="13"/>
  <c r="AH41" i="13" s="1"/>
  <c r="N41" i="13"/>
  <c r="AZ41" i="13"/>
  <c r="BA41" i="13" s="1"/>
  <c r="AG17" i="13"/>
  <c r="AH17" i="13" s="1"/>
  <c r="AZ17" i="13"/>
  <c r="BA17" i="13" s="1"/>
  <c r="N17" i="13"/>
  <c r="AZ35" i="13"/>
  <c r="BA35" i="13" s="1"/>
  <c r="N35" i="13"/>
  <c r="AG35" i="13"/>
  <c r="AH35" i="13" s="1"/>
  <c r="O14" i="13"/>
  <c r="P14" i="13"/>
  <c r="AZ27" i="13"/>
  <c r="BA27" i="13" s="1"/>
  <c r="N27" i="13"/>
  <c r="AG27" i="13"/>
  <c r="AH27" i="13" s="1"/>
  <c r="AZ20" i="13"/>
  <c r="BA20" i="13" s="1"/>
  <c r="AG20" i="13"/>
  <c r="AH20" i="13" s="1"/>
  <c r="N20" i="13"/>
  <c r="O8" i="13"/>
  <c r="P8" i="13"/>
  <c r="BB13" i="13"/>
  <c r="BC13" i="13"/>
  <c r="BD13" i="13" s="1"/>
  <c r="AZ38" i="13"/>
  <c r="BA38" i="13" s="1"/>
  <c r="AG38" i="13"/>
  <c r="AH38" i="13" s="1"/>
  <c r="N38" i="13"/>
  <c r="AG24" i="13"/>
  <c r="AH24" i="13" s="1"/>
  <c r="N24" i="13"/>
  <c r="AZ24" i="13"/>
  <c r="BA24" i="13" s="1"/>
  <c r="BB6" i="13"/>
  <c r="BC6" i="13"/>
  <c r="BD6" i="13" s="1"/>
  <c r="O33" i="13"/>
  <c r="P33" i="13"/>
  <c r="AZ61" i="13"/>
  <c r="BA61" i="13" s="1"/>
  <c r="N61" i="13"/>
  <c r="AG61" i="13"/>
  <c r="AH61" i="13" s="1"/>
  <c r="AI7" i="13"/>
  <c r="AJ7" i="13"/>
  <c r="O58" i="13"/>
  <c r="P58" i="13"/>
  <c r="O53" i="13"/>
  <c r="P53" i="13"/>
  <c r="A32" i="8"/>
  <c r="B32" i="8" s="1"/>
  <c r="AZ45" i="13"/>
  <c r="BA45" i="13" s="1"/>
  <c r="AG45" i="13"/>
  <c r="AH45" i="13" s="1"/>
  <c r="N45" i="13"/>
  <c r="AZ4" i="13"/>
  <c r="BA4" i="13" s="1"/>
  <c r="AG4" i="13"/>
  <c r="AH4" i="13" s="1"/>
  <c r="N4" i="13"/>
  <c r="O18" i="13"/>
  <c r="P18" i="13"/>
  <c r="AI14" i="13"/>
  <c r="AJ14" i="13"/>
  <c r="AG26" i="13"/>
  <c r="AH26" i="13" s="1"/>
  <c r="AZ26" i="13"/>
  <c r="BA26" i="13" s="1"/>
  <c r="N26" i="13"/>
  <c r="AI43" i="13"/>
  <c r="AJ43" i="13"/>
  <c r="BB8" i="13"/>
  <c r="BC8" i="13"/>
  <c r="BD8" i="13" s="1"/>
  <c r="AZ29" i="13"/>
  <c r="BA29" i="13" s="1"/>
  <c r="AG29" i="13"/>
  <c r="AH29" i="13" s="1"/>
  <c r="N29" i="13"/>
  <c r="AI53" i="13"/>
  <c r="AJ53" i="13"/>
  <c r="AI52" i="13"/>
  <c r="AJ52" i="13"/>
  <c r="AG32" i="13"/>
  <c r="AH32" i="13" s="1"/>
  <c r="N32" i="13"/>
  <c r="AZ32" i="13"/>
  <c r="BA32" i="13" s="1"/>
  <c r="AG47" i="13"/>
  <c r="AH47" i="13" s="1"/>
  <c r="N47" i="13"/>
  <c r="AZ47" i="13"/>
  <c r="BA47" i="13" s="1"/>
  <c r="BB33" i="13"/>
  <c r="BC33" i="13"/>
  <c r="BD33" i="13" s="1"/>
  <c r="AG16" i="13"/>
  <c r="AH16" i="13" s="1"/>
  <c r="AZ16" i="13"/>
  <c r="BA16" i="13" s="1"/>
  <c r="N16" i="13"/>
  <c r="AZ37" i="13"/>
  <c r="BA37" i="13" s="1"/>
  <c r="AG37" i="13"/>
  <c r="AH37" i="13" s="1"/>
  <c r="N37" i="13"/>
  <c r="AG55" i="13"/>
  <c r="AH55" i="13" s="1"/>
  <c r="AZ55" i="13"/>
  <c r="BA55" i="13" s="1"/>
  <c r="N55" i="13"/>
  <c r="AI58" i="13"/>
  <c r="AJ58" i="13"/>
  <c r="AG40" i="13"/>
  <c r="AH40" i="13" s="1"/>
  <c r="N40" i="13"/>
  <c r="AZ40" i="13"/>
  <c r="BA40" i="13" s="1"/>
  <c r="AI33" i="13"/>
  <c r="AJ33" i="13"/>
  <c r="AI28" i="13"/>
  <c r="AJ28" i="13"/>
  <c r="W46" i="10"/>
  <c r="W52" i="10"/>
  <c r="B7" i="3"/>
  <c r="E40" i="10" a="1"/>
  <c r="E40" i="10" s="1"/>
  <c r="I50" i="1"/>
  <c r="Y46" i="10"/>
  <c r="I51" i="1"/>
  <c r="B5" i="3"/>
  <c r="Y52" i="10" s="1"/>
  <c r="B8" i="14" l="1" a="1"/>
  <c r="B8" i="14" s="1"/>
  <c r="C22" i="15" a="1"/>
  <c r="C22" i="15" s="1"/>
  <c r="B9" i="14" a="1"/>
  <c r="B9" i="14" s="1"/>
  <c r="C23" i="15" a="1"/>
  <c r="C23" i="15" s="1"/>
  <c r="B10" i="14" a="1"/>
  <c r="B10" i="14" s="1"/>
  <c r="C24" i="15" a="1"/>
  <c r="C24" i="15" s="1"/>
  <c r="B11" i="14"/>
  <c r="C25" i="15"/>
  <c r="AK53" i="13"/>
  <c r="H31" i="15" a="1"/>
  <c r="H31" i="15" s="1"/>
  <c r="AK6" i="13"/>
  <c r="K21" i="15" a="1"/>
  <c r="K21" i="15" s="1"/>
  <c r="AK23" i="13"/>
  <c r="H25" i="15" a="1"/>
  <c r="H25" i="15" s="1"/>
  <c r="AK42" i="13"/>
  <c r="L28" i="15" a="1"/>
  <c r="L28" i="15" s="1"/>
  <c r="AK52" i="13"/>
  <c r="L30" i="15" a="1"/>
  <c r="L30" i="15" s="1"/>
  <c r="AK43" i="13"/>
  <c r="H29" i="15" a="1"/>
  <c r="H29" i="15" s="1"/>
  <c r="AK13" i="13"/>
  <c r="H23" i="15" a="1"/>
  <c r="H23" i="15" s="1"/>
  <c r="AK10" i="13"/>
  <c r="J22" i="15" a="1"/>
  <c r="J22" i="15" s="1"/>
  <c r="AK33" i="13"/>
  <c r="H27" i="15" a="1"/>
  <c r="H27" i="15" s="1"/>
  <c r="AK58" i="13"/>
  <c r="H32" i="15" a="1"/>
  <c r="H32" i="15" s="1"/>
  <c r="AK7" i="13"/>
  <c r="L21" i="15" a="1"/>
  <c r="L21" i="15" s="1"/>
  <c r="AK28" i="13"/>
  <c r="H26" i="15" a="1"/>
  <c r="H26" i="15" s="1"/>
  <c r="AK14" i="13"/>
  <c r="I23" i="15" a="1"/>
  <c r="I23" i="15" s="1"/>
  <c r="AK18" i="13"/>
  <c r="H24" i="15" a="1"/>
  <c r="H24" i="15" s="1"/>
  <c r="AK22" i="13"/>
  <c r="L24" i="15" a="1"/>
  <c r="L24" i="15" s="1"/>
  <c r="AK8" i="13"/>
  <c r="H22" i="15" a="1"/>
  <c r="H22" i="15" s="1"/>
  <c r="B3" i="14"/>
  <c r="Q7" i="13"/>
  <c r="Q58" i="13"/>
  <c r="Q28" i="13"/>
  <c r="Q33" i="13"/>
  <c r="Q6" i="13"/>
  <c r="Q42" i="13"/>
  <c r="Q8" i="13"/>
  <c r="Q14" i="13"/>
  <c r="Q23" i="13"/>
  <c r="Q52" i="13"/>
  <c r="Q43" i="13"/>
  <c r="Q22" i="13"/>
  <c r="Q10" i="13"/>
  <c r="Q13" i="13"/>
  <c r="Q18" i="13"/>
  <c r="Q53" i="13"/>
  <c r="AH3" i="13"/>
  <c r="AJ3" i="13" s="1"/>
  <c r="K3" i="14"/>
  <c r="L3" i="14"/>
  <c r="H3" i="14"/>
  <c r="E3" i="14"/>
  <c r="F3" i="14" a="1"/>
  <c r="F3" i="14" s="1"/>
  <c r="BA3" i="13"/>
  <c r="BB3" i="13" s="1"/>
  <c r="K4" i="14"/>
  <c r="H4" i="14"/>
  <c r="L4" i="14"/>
  <c r="E4" i="14"/>
  <c r="B4" i="14"/>
  <c r="F4" i="14" a="1"/>
  <c r="F4" i="14" s="1"/>
  <c r="BB62" i="13"/>
  <c r="BC62" i="13"/>
  <c r="BD62" i="13" s="1"/>
  <c r="BB37" i="13"/>
  <c r="BC37" i="13"/>
  <c r="BD37" i="13" s="1"/>
  <c r="BB4" i="13"/>
  <c r="BC4" i="13"/>
  <c r="BD4" i="13" s="1"/>
  <c r="BB29" i="13"/>
  <c r="BC29" i="13"/>
  <c r="BD29" i="13" s="1"/>
  <c r="BB27" i="13"/>
  <c r="BC27" i="13"/>
  <c r="BD27" i="13" s="1"/>
  <c r="BB49" i="13"/>
  <c r="BC49" i="13"/>
  <c r="BD49" i="13" s="1"/>
  <c r="O40" i="13"/>
  <c r="P40" i="13"/>
  <c r="O47" i="13"/>
  <c r="P47" i="13"/>
  <c r="AI27" i="13"/>
  <c r="AJ27" i="13"/>
  <c r="O17" i="13"/>
  <c r="P17" i="13"/>
  <c r="AI59" i="13"/>
  <c r="AJ59" i="13"/>
  <c r="AI47" i="13"/>
  <c r="AJ47" i="13"/>
  <c r="O29" i="13"/>
  <c r="P29" i="13"/>
  <c r="AI57" i="13"/>
  <c r="AJ57" i="13"/>
  <c r="O59" i="13"/>
  <c r="P59" i="13"/>
  <c r="O16" i="13"/>
  <c r="P16" i="13"/>
  <c r="O46" i="13"/>
  <c r="P46" i="13"/>
  <c r="BB12" i="13"/>
  <c r="BC12" i="13"/>
  <c r="BD12" i="13" s="1"/>
  <c r="BB16" i="13"/>
  <c r="BC16" i="13"/>
  <c r="BD16" i="13" s="1"/>
  <c r="O32" i="13"/>
  <c r="P32" i="13"/>
  <c r="BB41" i="13"/>
  <c r="BC41" i="13"/>
  <c r="BD41" i="13" s="1"/>
  <c r="O60" i="13"/>
  <c r="P60" i="13"/>
  <c r="O50" i="13"/>
  <c r="P50" i="13"/>
  <c r="O21" i="13"/>
  <c r="P21" i="13"/>
  <c r="O51" i="13"/>
  <c r="P51" i="13"/>
  <c r="AI30" i="13"/>
  <c r="AJ30" i="13"/>
  <c r="BB9" i="13"/>
  <c r="BC9" i="13"/>
  <c r="BD9" i="13" s="1"/>
  <c r="BB39" i="13"/>
  <c r="BC39" i="13"/>
  <c r="BD39" i="13" s="1"/>
  <c r="O49" i="13"/>
  <c r="P49" i="13"/>
  <c r="AI4" i="13"/>
  <c r="AJ4" i="13"/>
  <c r="BB31" i="13"/>
  <c r="BC31" i="13"/>
  <c r="BD31" i="13" s="1"/>
  <c r="O57" i="13"/>
  <c r="P57" i="13"/>
  <c r="O15" i="13"/>
  <c r="P15" i="13"/>
  <c r="AI40" i="13"/>
  <c r="AJ40" i="13"/>
  <c r="O27" i="13"/>
  <c r="P27" i="13"/>
  <c r="AI34" i="13"/>
  <c r="AJ34" i="13"/>
  <c r="AI12" i="13"/>
  <c r="AJ12" i="13"/>
  <c r="AI29" i="13"/>
  <c r="AJ29" i="13"/>
  <c r="O45" i="13"/>
  <c r="P45" i="13"/>
  <c r="BB50" i="13"/>
  <c r="BC50" i="13"/>
  <c r="BD50" i="13" s="1"/>
  <c r="O9" i="13"/>
  <c r="P9" i="13"/>
  <c r="AI45" i="13"/>
  <c r="AJ45" i="13"/>
  <c r="AI16" i="13"/>
  <c r="AJ16" i="13"/>
  <c r="BB45" i="13"/>
  <c r="BC45" i="13"/>
  <c r="BD45" i="13" s="1"/>
  <c r="AI61" i="13"/>
  <c r="AJ61" i="13"/>
  <c r="O24" i="13"/>
  <c r="P24" i="13"/>
  <c r="O41" i="13"/>
  <c r="P41" i="13"/>
  <c r="O19" i="13"/>
  <c r="P19" i="13"/>
  <c r="AI60" i="13"/>
  <c r="AJ60" i="13"/>
  <c r="BB46" i="13"/>
  <c r="BC46" i="13"/>
  <c r="BD46" i="13" s="1"/>
  <c r="O3" i="13"/>
  <c r="P3" i="13"/>
  <c r="AI44" i="13"/>
  <c r="AJ44" i="13"/>
  <c r="AI50" i="13"/>
  <c r="AJ50" i="13"/>
  <c r="AI11" i="13"/>
  <c r="AJ11" i="13"/>
  <c r="AI21" i="13"/>
  <c r="AJ21" i="13"/>
  <c r="AI51" i="13"/>
  <c r="AJ51" i="13"/>
  <c r="BB30" i="13"/>
  <c r="BC30" i="13"/>
  <c r="BD30" i="13" s="1"/>
  <c r="AI9" i="13"/>
  <c r="AJ9" i="13"/>
  <c r="O39" i="13"/>
  <c r="P39" i="13"/>
  <c r="AI49" i="13"/>
  <c r="AJ49" i="13"/>
  <c r="O61" i="13"/>
  <c r="P61" i="13"/>
  <c r="AI24" i="13"/>
  <c r="AJ24" i="13"/>
  <c r="O20" i="13"/>
  <c r="P20" i="13"/>
  <c r="AI35" i="13"/>
  <c r="AJ35" i="13"/>
  <c r="AI41" i="13"/>
  <c r="AJ41" i="13"/>
  <c r="AI19" i="13"/>
  <c r="AJ19" i="13"/>
  <c r="BB60" i="13"/>
  <c r="BC60" i="13"/>
  <c r="BD60" i="13" s="1"/>
  <c r="O5" i="13"/>
  <c r="P5" i="13"/>
  <c r="O56" i="13"/>
  <c r="P56" i="13"/>
  <c r="O44" i="13"/>
  <c r="P44" i="13"/>
  <c r="O11" i="13"/>
  <c r="P11" i="13"/>
  <c r="BB21" i="13"/>
  <c r="BC21" i="13"/>
  <c r="BD21" i="13" s="1"/>
  <c r="AI54" i="13"/>
  <c r="AJ54" i="13"/>
  <c r="BB51" i="13"/>
  <c r="BC51" i="13"/>
  <c r="BD51" i="13" s="1"/>
  <c r="AI39" i="13"/>
  <c r="AJ39" i="13"/>
  <c r="AI37" i="13"/>
  <c r="AJ37" i="13"/>
  <c r="O26" i="13"/>
  <c r="P26" i="13"/>
  <c r="AI25" i="13"/>
  <c r="AJ25" i="13"/>
  <c r="AI36" i="13"/>
  <c r="AJ36" i="13"/>
  <c r="BB26" i="13"/>
  <c r="BC26" i="13"/>
  <c r="BD26" i="13" s="1"/>
  <c r="AI15" i="13"/>
  <c r="AJ15" i="13"/>
  <c r="BB36" i="13"/>
  <c r="BC36" i="13"/>
  <c r="BD36" i="13" s="1"/>
  <c r="AI26" i="13"/>
  <c r="AJ26" i="13"/>
  <c r="AI31" i="13"/>
  <c r="AJ31" i="13"/>
  <c r="BB54" i="13"/>
  <c r="BC54" i="13"/>
  <c r="BD54" i="13" s="1"/>
  <c r="BB44" i="13"/>
  <c r="BC44" i="13"/>
  <c r="BD44" i="13" s="1"/>
  <c r="BB24" i="13"/>
  <c r="BC24" i="13"/>
  <c r="BD24" i="13" s="1"/>
  <c r="O55" i="13"/>
  <c r="P55" i="13"/>
  <c r="AI32" i="13"/>
  <c r="AJ32" i="13"/>
  <c r="BB55" i="13"/>
  <c r="BC55" i="13"/>
  <c r="BD55" i="13" s="1"/>
  <c r="AI55" i="13"/>
  <c r="AJ55" i="13"/>
  <c r="BB61" i="13"/>
  <c r="BC61" i="13"/>
  <c r="BD61" i="13" s="1"/>
  <c r="O38" i="13"/>
  <c r="P38" i="13"/>
  <c r="AI20" i="13"/>
  <c r="AJ20" i="13"/>
  <c r="O35" i="13"/>
  <c r="P35" i="13"/>
  <c r="BB25" i="13"/>
  <c r="BC25" i="13"/>
  <c r="BD25" i="13" s="1"/>
  <c r="BB19" i="13"/>
  <c r="BC19" i="13"/>
  <c r="BD19" i="13" s="1"/>
  <c r="AI5" i="13"/>
  <c r="AJ5" i="13"/>
  <c r="BB56" i="13"/>
  <c r="BC56" i="13"/>
  <c r="BD56" i="13" s="1"/>
  <c r="BB11" i="13"/>
  <c r="BC11" i="13"/>
  <c r="BD11" i="13" s="1"/>
  <c r="O54" i="13"/>
  <c r="P54" i="13"/>
  <c r="BB38" i="13"/>
  <c r="BC38" i="13"/>
  <c r="BD38" i="13" s="1"/>
  <c r="BB34" i="13"/>
  <c r="BC34" i="13"/>
  <c r="BD34" i="13" s="1"/>
  <c r="O48" i="13"/>
  <c r="P48" i="13"/>
  <c r="O62" i="13"/>
  <c r="P62" i="13"/>
  <c r="O12" i="13"/>
  <c r="P12" i="13"/>
  <c r="BB17" i="13"/>
  <c r="BC17" i="13"/>
  <c r="BD17" i="13" s="1"/>
  <c r="O31" i="13"/>
  <c r="P31" i="13"/>
  <c r="AI48" i="13"/>
  <c r="AJ48" i="13"/>
  <c r="BB32" i="13"/>
  <c r="BC32" i="13"/>
  <c r="BD32" i="13" s="1"/>
  <c r="AI17" i="13"/>
  <c r="AJ17" i="13"/>
  <c r="BB59" i="13"/>
  <c r="BC59" i="13"/>
  <c r="BD59" i="13" s="1"/>
  <c r="O30" i="13"/>
  <c r="P30" i="13"/>
  <c r="AI46" i="13"/>
  <c r="AJ46" i="13"/>
  <c r="BB40" i="13"/>
  <c r="BC40" i="13"/>
  <c r="BD40" i="13" s="1"/>
  <c r="O37" i="13"/>
  <c r="P37" i="13"/>
  <c r="BB47" i="13"/>
  <c r="BC47" i="13"/>
  <c r="BD47" i="13" s="1"/>
  <c r="O4" i="13"/>
  <c r="P4" i="13"/>
  <c r="AI38" i="13"/>
  <c r="AJ38" i="13"/>
  <c r="BB20" i="13"/>
  <c r="BC20" i="13"/>
  <c r="BD20" i="13" s="1"/>
  <c r="BB35" i="13"/>
  <c r="BC35" i="13"/>
  <c r="BD35" i="13" s="1"/>
  <c r="O25" i="13"/>
  <c r="P25" i="13"/>
  <c r="BB5" i="13"/>
  <c r="BC5" i="13"/>
  <c r="BD5" i="13" s="1"/>
  <c r="BB57" i="13"/>
  <c r="BC57" i="13"/>
  <c r="BD57" i="13" s="1"/>
  <c r="AI56" i="13"/>
  <c r="AJ56" i="13"/>
  <c r="BB15" i="13"/>
  <c r="BC15" i="13"/>
  <c r="BD15" i="13" s="1"/>
  <c r="O34" i="13"/>
  <c r="P34" i="13"/>
  <c r="BB48" i="13"/>
  <c r="BC48" i="13"/>
  <c r="BD48" i="13" s="1"/>
  <c r="AI62" i="13"/>
  <c r="AJ62" i="13"/>
  <c r="O36" i="13"/>
  <c r="P36" i="13"/>
  <c r="AK62" i="13" l="1"/>
  <c r="L32" i="15" a="1"/>
  <c r="L32" i="15" s="1"/>
  <c r="AK56" i="13"/>
  <c r="K31" i="15" a="1"/>
  <c r="K31" i="15" s="1"/>
  <c r="AK48" i="13"/>
  <c r="H30" i="15" a="1"/>
  <c r="H30" i="15" s="1"/>
  <c r="AK32" i="13"/>
  <c r="L26" i="15" a="1"/>
  <c r="L26" i="15" s="1"/>
  <c r="AK15" i="13"/>
  <c r="J23" i="15" a="1"/>
  <c r="J23" i="15" s="1"/>
  <c r="AK54" i="13"/>
  <c r="I31" i="15" a="1"/>
  <c r="I31" i="15" s="1"/>
  <c r="AK41" i="13"/>
  <c r="K28" i="15" a="1"/>
  <c r="K28" i="15" s="1"/>
  <c r="AK50" i="13"/>
  <c r="J30" i="15" a="1"/>
  <c r="J30" i="15" s="1"/>
  <c r="AK60" i="13"/>
  <c r="J32" i="15" a="1"/>
  <c r="J32" i="15" s="1"/>
  <c r="AK61" i="13"/>
  <c r="K32" i="15" a="1"/>
  <c r="K32" i="15" s="1"/>
  <c r="AK12" i="13"/>
  <c r="L22" i="15" a="1"/>
  <c r="L22" i="15" s="1"/>
  <c r="AK27" i="13"/>
  <c r="L25" i="15" a="1"/>
  <c r="L25" i="15" s="1"/>
  <c r="AK35" i="13"/>
  <c r="J27" i="15" a="1"/>
  <c r="J27" i="15" s="1"/>
  <c r="AK51" i="13"/>
  <c r="K30" i="15" a="1"/>
  <c r="K30" i="15" s="1"/>
  <c r="AK34" i="13"/>
  <c r="I27" i="15" a="1"/>
  <c r="I27" i="15" s="1"/>
  <c r="AK17" i="13"/>
  <c r="L23" i="15" a="1"/>
  <c r="L23" i="15" s="1"/>
  <c r="AK55" i="13"/>
  <c r="J31" i="15" a="1"/>
  <c r="J31" i="15" s="1"/>
  <c r="AK26" i="13"/>
  <c r="K25" i="15" a="1"/>
  <c r="K25" i="15" s="1"/>
  <c r="AK21" i="13"/>
  <c r="K24" i="15" a="1"/>
  <c r="K24" i="15" s="1"/>
  <c r="AK16" i="13"/>
  <c r="K23" i="15" a="1"/>
  <c r="K23" i="15" s="1"/>
  <c r="AK59" i="13"/>
  <c r="I32" i="15" a="1"/>
  <c r="I32" i="15" s="1"/>
  <c r="AK31" i="13"/>
  <c r="K26" i="15" a="1"/>
  <c r="K26" i="15" s="1"/>
  <c r="AK37" i="13"/>
  <c r="L27" i="15" a="1"/>
  <c r="L27" i="15" s="1"/>
  <c r="AK49" i="13"/>
  <c r="I30" i="15" a="1"/>
  <c r="I30" i="15" s="1"/>
  <c r="AK44" i="13"/>
  <c r="I29" i="15" a="1"/>
  <c r="I29" i="15" s="1"/>
  <c r="AK47" i="13"/>
  <c r="L29" i="15" a="1"/>
  <c r="L29" i="15" s="1"/>
  <c r="AK38" i="13"/>
  <c r="H28" i="15" a="1"/>
  <c r="H28" i="15" s="1"/>
  <c r="AK39" i="13"/>
  <c r="I28" i="15" a="1"/>
  <c r="I28" i="15" s="1"/>
  <c r="E15" i="15"/>
  <c r="AK36" i="13"/>
  <c r="K27" i="15" a="1"/>
  <c r="K27" i="15" s="1"/>
  <c r="AK46" i="13"/>
  <c r="K29" i="15" a="1"/>
  <c r="K29" i="15" s="1"/>
  <c r="AK5" i="13"/>
  <c r="J21" i="15" a="1"/>
  <c r="J21" i="15" s="1"/>
  <c r="AK20" i="13"/>
  <c r="J24" i="15" a="1"/>
  <c r="J24" i="15" s="1"/>
  <c r="AK25" i="13"/>
  <c r="J25" i="15" a="1"/>
  <c r="J25" i="15" s="1"/>
  <c r="AK19" i="13"/>
  <c r="I24" i="15" a="1"/>
  <c r="I24" i="15" s="1"/>
  <c r="AK24" i="13"/>
  <c r="I25" i="15" a="1"/>
  <c r="I25" i="15" s="1"/>
  <c r="AK9" i="13"/>
  <c r="I22" i="15" a="1"/>
  <c r="I22" i="15" s="1"/>
  <c r="AK11" i="13"/>
  <c r="K22" i="15" a="1"/>
  <c r="K22" i="15" s="1"/>
  <c r="AK45" i="13"/>
  <c r="J29" i="15" a="1"/>
  <c r="J29" i="15" s="1"/>
  <c r="AK29" i="13"/>
  <c r="I26" i="15" a="1"/>
  <c r="I26" i="15" s="1"/>
  <c r="AK40" i="13"/>
  <c r="J28" i="15" a="1"/>
  <c r="J28" i="15" s="1"/>
  <c r="AK4" i="13"/>
  <c r="I21" i="15" a="1"/>
  <c r="I21" i="15" s="1"/>
  <c r="AK30" i="13"/>
  <c r="J26" i="15" a="1"/>
  <c r="J26" i="15" s="1"/>
  <c r="AK57" i="13"/>
  <c r="L31" i="15" a="1"/>
  <c r="L31" i="15" s="1"/>
  <c r="AK3" i="13"/>
  <c r="H21" i="15" a="1"/>
  <c r="H21" i="15" s="1"/>
  <c r="AI3" i="13"/>
  <c r="I3" i="14" s="1"/>
  <c r="Q55" i="13"/>
  <c r="Q61" i="13"/>
  <c r="Q49" i="13"/>
  <c r="Q29" i="13"/>
  <c r="Q35" i="13"/>
  <c r="Q11" i="13"/>
  <c r="Q5" i="13"/>
  <c r="Q19" i="13"/>
  <c r="Q57" i="13"/>
  <c r="Q21" i="13"/>
  <c r="Q32" i="13"/>
  <c r="Q16" i="13"/>
  <c r="Q47" i="13"/>
  <c r="Q36" i="13"/>
  <c r="Q25" i="13"/>
  <c r="Q4" i="13"/>
  <c r="Q12" i="13"/>
  <c r="BC3" i="13"/>
  <c r="BD3" i="13" s="1"/>
  <c r="Q44" i="13"/>
  <c r="Q20" i="13"/>
  <c r="Q39" i="13"/>
  <c r="Q3" i="13"/>
  <c r="Q41" i="13"/>
  <c r="Q45" i="13"/>
  <c r="Q27" i="13"/>
  <c r="Q50" i="13"/>
  <c r="Q59" i="13"/>
  <c r="Q40" i="13"/>
  <c r="Q62" i="13"/>
  <c r="Q9" i="13"/>
  <c r="Q15" i="13"/>
  <c r="Q51" i="13"/>
  <c r="Q46" i="13"/>
  <c r="Q34" i="13"/>
  <c r="Q30" i="13"/>
  <c r="Q38" i="13"/>
  <c r="Q26" i="13"/>
  <c r="Q56" i="13"/>
  <c r="Q24" i="13"/>
  <c r="Q60" i="13"/>
  <c r="Q17" i="13"/>
  <c r="Q54" i="13"/>
  <c r="Q37" i="13"/>
  <c r="Q31" i="13"/>
  <c r="Q48" i="13"/>
  <c r="C3" i="14"/>
  <c r="I4" i="14"/>
  <c r="I2" i="14"/>
  <c r="C2" i="14"/>
  <c r="B7" i="14" l="1"/>
  <c r="C7" i="14" s="1"/>
  <c r="C8" i="14" s="1"/>
  <c r="C9" i="14" s="1"/>
  <c r="C10" i="14" s="1"/>
  <c r="C11" i="14" s="1"/>
  <c r="C13" i="14" s="1"/>
  <c r="C21" i="15"/>
  <c r="C27" i="15"/>
  <c r="B13" i="14"/>
  <c r="D3" i="14"/>
  <c r="H15" i="15" s="1"/>
  <c r="J3" i="14" a="1"/>
  <c r="J3" i="14" s="1"/>
  <c r="B70" i="13"/>
  <c r="D4" i="14"/>
  <c r="J4" i="14" a="1"/>
  <c r="J4" i="14" s="1"/>
  <c r="L15" i="15"/>
  <c r="B69" i="13"/>
  <c r="J2" i="14" a="1"/>
  <c r="J2" i="14" s="1"/>
  <c r="D2" i="14"/>
  <c r="C4" i="14"/>
  <c r="R33" i="13"/>
  <c r="B68" i="13"/>
  <c r="R37" i="13"/>
  <c r="R24" i="13"/>
  <c r="R44" i="13"/>
  <c r="R31" i="13"/>
  <c r="R60" i="13"/>
  <c r="R38" i="13"/>
  <c r="R51" i="13"/>
  <c r="R40" i="13"/>
  <c r="R45" i="13"/>
  <c r="R20" i="13"/>
  <c r="R7" i="13"/>
  <c r="R28" i="13"/>
  <c r="R25" i="13"/>
  <c r="R32" i="13"/>
  <c r="R5" i="13"/>
  <c r="R49" i="13"/>
  <c r="R6" i="13"/>
  <c r="R8" i="13"/>
  <c r="R23" i="13"/>
  <c r="R43" i="13"/>
  <c r="R36" i="13"/>
  <c r="R21" i="13"/>
  <c r="R11" i="13"/>
  <c r="R61" i="13"/>
  <c r="R10" i="13"/>
  <c r="R18" i="13"/>
  <c r="R58" i="13"/>
  <c r="R15" i="13"/>
  <c r="R41" i="13"/>
  <c r="R54" i="13"/>
  <c r="R34" i="13"/>
  <c r="R9" i="13"/>
  <c r="R50" i="13"/>
  <c r="R3" i="13"/>
  <c r="R12" i="13"/>
  <c r="R47" i="13"/>
  <c r="R57" i="13"/>
  <c r="R35" i="13"/>
  <c r="R55" i="13"/>
  <c r="R42" i="13"/>
  <c r="R14" i="13"/>
  <c r="R48" i="13"/>
  <c r="R17" i="13"/>
  <c r="R26" i="13"/>
  <c r="R46" i="13"/>
  <c r="R62" i="13"/>
  <c r="R27" i="13"/>
  <c r="R39" i="13"/>
  <c r="R52" i="13"/>
  <c r="R22" i="13"/>
  <c r="R30" i="13"/>
  <c r="R59" i="13"/>
  <c r="R56" i="13"/>
  <c r="R4" i="13"/>
  <c r="R16" i="13"/>
  <c r="R19" i="13"/>
  <c r="R29" i="13"/>
  <c r="R13" i="13"/>
  <c r="R53" i="13"/>
  <c r="P15" i="15" l="1"/>
  <c r="AL5" i="13"/>
  <c r="AL8" i="13"/>
  <c r="AL42" i="13"/>
  <c r="AL23" i="13"/>
  <c r="AL60" i="13"/>
  <c r="AL51" i="13"/>
  <c r="AL48" i="13"/>
  <c r="AL57" i="13"/>
  <c r="AL32" i="13"/>
  <c r="AL54" i="13"/>
  <c r="AL30" i="13"/>
  <c r="AL59" i="13"/>
  <c r="AL36" i="13"/>
  <c r="AL27" i="13"/>
  <c r="AL28" i="13"/>
  <c r="AL25" i="13"/>
  <c r="AL47" i="13"/>
  <c r="AL52" i="13"/>
  <c r="AL29" i="13"/>
  <c r="AL39" i="13"/>
  <c r="AL31" i="13"/>
  <c r="AL7" i="13"/>
  <c r="AL17" i="13"/>
  <c r="AL19" i="13"/>
  <c r="AL38" i="13"/>
  <c r="AL3" i="13"/>
  <c r="AL62" i="13"/>
  <c r="AL44" i="13"/>
  <c r="AL24" i="13"/>
  <c r="AL15" i="13"/>
  <c r="AL53" i="13"/>
  <c r="AL43" i="13"/>
  <c r="AL40" i="13"/>
  <c r="AL35" i="13"/>
  <c r="AL4" i="13"/>
  <c r="AL12" i="13"/>
  <c r="AL16" i="13"/>
  <c r="AL14" i="13"/>
  <c r="AL22" i="13"/>
  <c r="AL49" i="13"/>
  <c r="AL46" i="13"/>
  <c r="AL11" i="13"/>
  <c r="AL6" i="13"/>
  <c r="AL41" i="13"/>
  <c r="AL56" i="13"/>
  <c r="AL34" i="13"/>
  <c r="AL9" i="13"/>
  <c r="AL58" i="13"/>
  <c r="AL13" i="13"/>
  <c r="AL26" i="13"/>
  <c r="AL50" i="13"/>
  <c r="AL37" i="13"/>
  <c r="AL33" i="13"/>
  <c r="AL61" i="13"/>
  <c r="AL21" i="13"/>
  <c r="AL10" i="13"/>
  <c r="AL18" i="13"/>
  <c r="AL20" i="13"/>
  <c r="AL45" i="13"/>
  <c r="AL55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<sst xmlns="http://schemas.openxmlformats.org/spreadsheetml/2006/main" count="1810" uniqueCount="248">
  <si>
    <t>Generation</t>
  </si>
  <si>
    <t>Adoption Rate (U.S. 2024-25)</t>
  </si>
  <si>
    <t>Usage Frequency (Weekly+)</t>
  </si>
  <si>
    <t>Late Payment Incidence</t>
  </si>
  <si>
    <t>Regret After Use</t>
  </si>
  <si>
    <t>Gen Z (18-28)</t>
  </si>
  <si>
    <t>38% - 44%</t>
  </si>
  <si>
    <t>39% - 51%</t>
  </si>
  <si>
    <t>27% - 64%</t>
  </si>
  <si>
    <t>Millennials (29-44)</t>
  </si>
  <si>
    <t>37% - 48%</t>
  </si>
  <si>
    <t>30% - 57%</t>
  </si>
  <si>
    <t>Gen X (45-60)</t>
  </si>
  <si>
    <t>28% - 29%</t>
  </si>
  <si>
    <t>22% - 37%</t>
  </si>
  <si>
    <t>Baby Boomers (61-79)</t>
  </si>
  <si>
    <t>13% - 21%</t>
  </si>
  <si>
    <t>18% - 20%</t>
  </si>
  <si>
    <t>Revenue Source</t>
  </si>
  <si>
    <t>Typical Share</t>
  </si>
  <si>
    <t>Merchant fees</t>
  </si>
  <si>
    <t>60–80%</t>
  </si>
  <si>
    <t>Consumer interest</t>
  </si>
  <si>
    <t>10–30%</t>
  </si>
  <si>
    <t>Late fees</t>
  </si>
  <si>
    <t>5–10%</t>
  </si>
  <si>
    <t>Interchange + other</t>
  </si>
  <si>
    <t>5–15%</t>
  </si>
  <si>
    <t>% BNPL Users</t>
  </si>
  <si>
    <t>Gen Z</t>
  </si>
  <si>
    <t>Millenial</t>
  </si>
  <si>
    <t>Millenials</t>
  </si>
  <si>
    <t>Gen X</t>
  </si>
  <si>
    <t>Baby Boomers</t>
  </si>
  <si>
    <t>Income Bracket</t>
  </si>
  <si>
    <t>&lt;50,000</t>
  </si>
  <si>
    <t>50,000-1,00,000</t>
  </si>
  <si>
    <t>&gt;1,00,000</t>
  </si>
  <si>
    <t>Column1</t>
  </si>
  <si>
    <t>Column2</t>
  </si>
  <si>
    <t>Adjustment Factor</t>
  </si>
  <si>
    <t>What % of Gen uses BNPL services</t>
  </si>
  <si>
    <t>What % of Income Bracket uses BNPL services</t>
  </si>
  <si>
    <t xml:space="preserve">Adoption Rate </t>
  </si>
  <si>
    <t>Adoption Rate</t>
  </si>
  <si>
    <t># Population (in M)</t>
  </si>
  <si>
    <t>Weight</t>
  </si>
  <si>
    <t>Portfoliio Comp</t>
  </si>
  <si>
    <t># of BNPL Users (in M)</t>
  </si>
  <si>
    <t>Portfolio Comp</t>
  </si>
  <si>
    <t>Percentage of Population</t>
  </si>
  <si>
    <t>Baby Boomer</t>
  </si>
  <si>
    <t>% of BNPL Users</t>
  </si>
  <si>
    <t>% of Different Generations belonging to different Income Brackets</t>
  </si>
  <si>
    <t>BNPL Portfolio Composition</t>
  </si>
  <si>
    <t>% BNPL Portfolio Composition</t>
  </si>
  <si>
    <t>Credit Score</t>
  </si>
  <si>
    <t>Credit Category</t>
  </si>
  <si>
    <t>Deep Subprime</t>
  </si>
  <si>
    <t>Subprime</t>
  </si>
  <si>
    <t>Near Prime</t>
  </si>
  <si>
    <t>Prime</t>
  </si>
  <si>
    <t>Super Prime</t>
  </si>
  <si>
    <t>&lt;580</t>
  </si>
  <si>
    <t>580-619</t>
  </si>
  <si>
    <t>620-659</t>
  </si>
  <si>
    <t>660-719</t>
  </si>
  <si>
    <t>&gt;720</t>
  </si>
  <si>
    <t>BNPL Loan Originations</t>
  </si>
  <si>
    <t>BNPL Default Rates</t>
  </si>
  <si>
    <t>No Score</t>
  </si>
  <si>
    <t>What % of an Income Bracket lies in what Credit Category?</t>
  </si>
  <si>
    <t xml:space="preserve">Income Bracket </t>
  </si>
  <si>
    <t>Default Rate</t>
  </si>
  <si>
    <t>Default Rates by Income Brackets</t>
  </si>
  <si>
    <t>Default Rates by Generation</t>
  </si>
  <si>
    <t>What % of a Generation lies in what Credit Category?</t>
  </si>
  <si>
    <t>Default Rates</t>
  </si>
  <si>
    <t>%Default Rates by User Segment</t>
  </si>
  <si>
    <t># BNPL Portfolio Composition (in M)</t>
  </si>
  <si>
    <t xml:space="preserve"> </t>
  </si>
  <si>
    <t xml:space="preserve">Generation Default Behaviour Multiplier </t>
  </si>
  <si>
    <t>&lt;50k</t>
  </si>
  <si>
    <t>Sub Prime</t>
  </si>
  <si>
    <t>Sum</t>
  </si>
  <si>
    <t>50k-100k</t>
  </si>
  <si>
    <t>&gt;100k</t>
  </si>
  <si>
    <t>% BNPL Portfolio</t>
  </si>
  <si>
    <t># BNPL Portfolio (in M)</t>
  </si>
  <si>
    <t>Default Behaviour Multiplier</t>
  </si>
  <si>
    <t>Portfolio Default Rate</t>
  </si>
  <si>
    <t># BNPL User Count</t>
  </si>
  <si>
    <t>N/A</t>
  </si>
  <si>
    <t>Loan Share by Segment</t>
  </si>
  <si>
    <t>Loan Originations</t>
  </si>
  <si>
    <t>US Population (in M)</t>
  </si>
  <si>
    <t># Total Loans (in M)</t>
  </si>
  <si>
    <t>Avg Loan per User</t>
  </si>
  <si>
    <t>Loan Count (in M)</t>
  </si>
  <si>
    <t>Loan Share by Segment (in M)</t>
  </si>
  <si>
    <t xml:space="preserve">Average Loans </t>
  </si>
  <si>
    <t>Portfolio Average Default Rate</t>
  </si>
  <si>
    <t>Average Ticket Size</t>
  </si>
  <si>
    <t>Average Revenue Per User</t>
  </si>
  <si>
    <t>Avg MDR Rate</t>
  </si>
  <si>
    <t>Portfolio ATS</t>
  </si>
  <si>
    <t>Portfolio ARPU</t>
  </si>
  <si>
    <t>Portfolio Metrics</t>
  </si>
  <si>
    <t>Avg Ticket Size</t>
  </si>
  <si>
    <t>Revenue Per Segment (In M)</t>
  </si>
  <si>
    <t>US Industry Revenue (in M)</t>
  </si>
  <si>
    <t>Income Beta</t>
  </si>
  <si>
    <t>Beta Value</t>
  </si>
  <si>
    <t>Credit Category Beta</t>
  </si>
  <si>
    <t>Beta Segment</t>
  </si>
  <si>
    <t>Income</t>
  </si>
  <si>
    <t>Ticket Size</t>
  </si>
  <si>
    <t>PD(T)</t>
  </si>
  <si>
    <t>PD(0)</t>
  </si>
  <si>
    <t>ATS</t>
  </si>
  <si>
    <t>LGD</t>
  </si>
  <si>
    <t>Fixed Cost</t>
  </si>
  <si>
    <t>Funding Rate</t>
  </si>
  <si>
    <t>Tenure (in months)</t>
  </si>
  <si>
    <t>Expected Credit Loss (ECL)</t>
  </si>
  <si>
    <t>Funding Cost (FC)</t>
  </si>
  <si>
    <t>Revenue per Loan (in $)</t>
  </si>
  <si>
    <t>CM per Loan (in $)</t>
  </si>
  <si>
    <t>CM per User (in $)</t>
  </si>
  <si>
    <t>Delta</t>
  </si>
  <si>
    <t>User Profiles</t>
  </si>
  <si>
    <t>User1</t>
  </si>
  <si>
    <t>User2</t>
  </si>
  <si>
    <t>User3</t>
  </si>
  <si>
    <t>Users</t>
  </si>
  <si>
    <t>Beta Val</t>
  </si>
  <si>
    <t>Average # of Loans</t>
  </si>
  <si>
    <t>Portfolio %</t>
  </si>
  <si>
    <t>ARPU</t>
  </si>
  <si>
    <t>% of Total Loans</t>
  </si>
  <si>
    <t>Delta Funding Rate</t>
  </si>
  <si>
    <t xml:space="preserve">Delta MDR </t>
  </si>
  <si>
    <t>(in BPS)</t>
  </si>
  <si>
    <t>%Portfolio Composition</t>
  </si>
  <si>
    <t># Profitable Loans(in M)</t>
  </si>
  <si>
    <t xml:space="preserve">%Profitable Loans </t>
  </si>
  <si>
    <t>%Unprofitable Loans</t>
  </si>
  <si>
    <t>Selected User</t>
  </si>
  <si>
    <t>Overall Portfolio Statistics</t>
  </si>
  <si>
    <t>Average Default Rate</t>
  </si>
  <si>
    <t>$ CM Per User</t>
  </si>
  <si>
    <t>Average CM per Loan (in $)</t>
  </si>
  <si>
    <t>Min Profitable Ticket Size</t>
  </si>
  <si>
    <t>Max Profitable Ticket Size</t>
  </si>
  <si>
    <t>Gen Z,
&lt;50,000,
Deep Subprime</t>
  </si>
  <si>
    <t>Millenial,
50,000-1,00,000,
Near Prime</t>
  </si>
  <si>
    <t>Gen X,
&gt;1,00,000,
Super Prime</t>
  </si>
  <si>
    <t>Millenial,
50,000-1,00,000,
Sub Prime</t>
  </si>
  <si>
    <t>›</t>
  </si>
  <si>
    <t>Peak CM</t>
  </si>
  <si>
    <t>Delta Peak</t>
  </si>
  <si>
    <t>Peak ATS</t>
  </si>
  <si>
    <t>Min Profitable Delta</t>
  </si>
  <si>
    <t>Max Profitable Delta</t>
  </si>
  <si>
    <t>Min Profitable ATS</t>
  </si>
  <si>
    <t>Max Profitable ATS</t>
  </si>
  <si>
    <t>Ticket Size at Peak CM</t>
  </si>
  <si>
    <t>Portfolio CM (Per User)</t>
  </si>
  <si>
    <t>Portfolio CM (Per Loan)</t>
  </si>
  <si>
    <t>Portfolio Average Loan Count</t>
  </si>
  <si>
    <t>P(0.75)</t>
  </si>
  <si>
    <t>P(0.5)</t>
  </si>
  <si>
    <t>P(0.25)</t>
  </si>
  <si>
    <t>EAD</t>
  </si>
  <si>
    <t>Base ATS Values</t>
  </si>
  <si>
    <t>&lt;50000</t>
  </si>
  <si>
    <t>50000-100000</t>
  </si>
  <si>
    <t>&gt;100000</t>
  </si>
  <si>
    <t>ATS Scale</t>
  </si>
  <si>
    <t>Base</t>
  </si>
  <si>
    <t>Scenario</t>
  </si>
  <si>
    <t>MDR</t>
  </si>
  <si>
    <t>PD</t>
  </si>
  <si>
    <t>Adverse</t>
  </si>
  <si>
    <t>Severely Adverse</t>
  </si>
  <si>
    <t>Portfolio Level Stresses</t>
  </si>
  <si>
    <t>Credit Category Stresses</t>
  </si>
  <si>
    <t>Age Stress</t>
  </si>
  <si>
    <t>Income Stress</t>
  </si>
  <si>
    <t>Age</t>
  </si>
  <si>
    <t>PD Base</t>
  </si>
  <si>
    <t>PD Adv</t>
  </si>
  <si>
    <t>PD Sev</t>
  </si>
  <si>
    <t>EAD Base</t>
  </si>
  <si>
    <t>EAD Adv</t>
  </si>
  <si>
    <t>EAD Sev</t>
  </si>
  <si>
    <t>ATS Base</t>
  </si>
  <si>
    <t>ATS Adv</t>
  </si>
  <si>
    <t>ATS Sev</t>
  </si>
  <si>
    <t>LC Base</t>
  </si>
  <si>
    <t>LC Adv</t>
  </si>
  <si>
    <t>LC Sev</t>
  </si>
  <si>
    <t>Base Case</t>
  </si>
  <si>
    <t>Segment</t>
  </si>
  <si>
    <t>Adverse Case</t>
  </si>
  <si>
    <t>Funding Cost</t>
  </si>
  <si>
    <t>ECL</t>
  </si>
  <si>
    <t>CM Per Loan</t>
  </si>
  <si>
    <t>Avg Loan Per User</t>
  </si>
  <si>
    <t>CM Per User</t>
  </si>
  <si>
    <t>User Count(in M)</t>
  </si>
  <si>
    <t>Loan Count(in M)</t>
  </si>
  <si>
    <t>Revenue Per Loan</t>
  </si>
  <si>
    <t>Profitable Loans</t>
  </si>
  <si>
    <t>Average ATS</t>
  </si>
  <si>
    <t>Loan Volume (in M)</t>
  </si>
  <si>
    <t>Merchant GMV(in B)</t>
  </si>
  <si>
    <t>Profitable Segments</t>
  </si>
  <si>
    <t>MACRO STRESS TEST</t>
  </si>
  <si>
    <t>PORTFOLIO CM (in M)</t>
  </si>
  <si>
    <t>AVG DEFAULT RATE</t>
  </si>
  <si>
    <t>CM Per Segment</t>
  </si>
  <si>
    <t>CM Contribution</t>
  </si>
  <si>
    <t>Total Portfolio CM</t>
  </si>
  <si>
    <t>Total CM</t>
  </si>
  <si>
    <t>Concentration Risk</t>
  </si>
  <si>
    <t>MDR Override (in BPS)</t>
  </si>
  <si>
    <t>Breakeven MDR</t>
  </si>
  <si>
    <t>Current MDR</t>
  </si>
  <si>
    <t>Cushion / Shortfall</t>
  </si>
  <si>
    <t>+86 bps</t>
  </si>
  <si>
    <t>+12 bps</t>
  </si>
  <si>
    <t>-160 bps</t>
  </si>
  <si>
    <t>BREAKEVEN MDR</t>
  </si>
  <si>
    <t>ECL Degradation</t>
  </si>
  <si>
    <t>Final CM</t>
  </si>
  <si>
    <t>Base CM</t>
  </si>
  <si>
    <t>Revenue Compression</t>
  </si>
  <si>
    <t>Funding Cost Reduction</t>
  </si>
  <si>
    <t>Fixed Cost Relief</t>
  </si>
  <si>
    <t>Driver</t>
  </si>
  <si>
    <t>Values</t>
  </si>
  <si>
    <t>Cumulative Values</t>
  </si>
  <si>
    <t>CM Drivers</t>
  </si>
  <si>
    <t>Values(in M)</t>
  </si>
  <si>
    <t>PROFIT CONCENTRATION</t>
  </si>
  <si>
    <t>PORTFOLIO OPTIMIZER</t>
  </si>
  <si>
    <t>Severely Adverse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</si>
</sst>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₹&quot;* #,##0.00_);_(&quot;₹&quot;* \(#,##0.00\);_(&quot;₹&quot;* &quot;-&quot;??_);_(@_)"/>
    <numFmt numFmtId="164" formatCode="0.000"/>
    <numFmt numFmtId="165" formatCode="0.0"/>
    <numFmt numFmtId="166" formatCode="_([$$-409]* #,##0.00_);_([$$-409]* \(#,##0.00\);_([$$-409]* &quot;-&quot;??_);_(@_)"/>
    <numFmt numFmtId="167" formatCode="0.0%"/>
    <numFmt numFmtId="168" formatCode="[$$-409]#,##0.00"/>
    <numFmt numFmtId="169" formatCode="_([$$-409]* #,##0_);_([$$-409]* \(#,##0\);_([$$-409]* &quot;-&quot;??_);_(@_)"/>
    <numFmt numFmtId="170" formatCode="[$$-409]#,##0.0"/>
    <numFmt numFmtId="171" formatCode="[$$-409]#,##0"/>
  </numFmts>
  <fonts count="3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0"/>
      <name val="Arial"/>
      <family val="2"/>
    </font>
    <font>
      <sz val="12"/>
      <color rgb="FF000000"/>
      <name val="Aptos Narrow"/>
      <family val="2"/>
      <scheme val="minor"/>
    </font>
    <font>
      <sz val="12"/>
      <color theme="0"/>
      <name val="Arial"/>
      <family val="2"/>
    </font>
    <font>
      <sz val="8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sz val="22"/>
      <color theme="1"/>
      <name val="Aptos Narrow"/>
      <family val="2"/>
      <scheme val="minor"/>
    </font>
    <font>
      <sz val="25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6"/>
      <color theme="1"/>
      <name val="Aptos Narrow"/>
      <scheme val="minor"/>
    </font>
    <font>
      <sz val="2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30"/>
      <color theme="1"/>
      <name val="Aptos Narrow"/>
      <family val="2"/>
      <scheme val="minor"/>
    </font>
    <font>
      <b/>
      <sz val="28"/>
      <color theme="1"/>
      <name val="Aptos Narrow"/>
      <scheme val="minor"/>
    </font>
    <font>
      <sz val="22"/>
      <color theme="1"/>
      <name val="Aptos Narrow"/>
      <scheme val="minor"/>
    </font>
    <font>
      <sz val="12"/>
      <color theme="1"/>
      <name val="Helvetica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95"/>
      <color rgb="FFFFFFFF"/>
      <name val="Aptos Display"/>
      <scheme val="major"/>
    </font>
    <font>
      <b/>
      <sz val="24"/>
      <color theme="2"/>
      <name val="Aptos Narrow"/>
      <scheme val="minor"/>
    </font>
    <font>
      <b/>
      <sz val="26"/>
      <color theme="2"/>
      <name val="Aptos Narrow"/>
      <scheme val="minor"/>
    </font>
    <font>
      <b/>
      <sz val="24"/>
      <color rgb="FFFFFFFF"/>
      <name val="Aptos Narrow"/>
      <scheme val="minor"/>
    </font>
    <font>
      <sz val="24"/>
      <color theme="1"/>
      <name val="Aptos Narrow"/>
      <scheme val="minor"/>
    </font>
    <font>
      <b/>
      <sz val="32"/>
      <color theme="0"/>
      <name val="Aptos Narrow"/>
      <scheme val="minor"/>
    </font>
    <font>
      <b/>
      <sz val="40"/>
      <color theme="0"/>
      <name val="Aptos Narrow"/>
      <scheme val="minor"/>
    </font>
    <font>
      <b/>
      <sz val="40"/>
      <color theme="2"/>
      <name val="Aptos Narrow"/>
      <scheme val="minor"/>
    </font>
    <font>
      <b/>
      <sz val="28"/>
      <color theme="0"/>
      <name val="Helvetica"/>
      <family val="2"/>
    </font>
    <font>
      <b/>
      <sz val="25"/>
      <color theme="2"/>
      <name val="Aptos Narrow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8B0505"/>
        <bgColor indexed="64"/>
      </patternFill>
    </fill>
    <fill>
      <patternFill patternType="solid">
        <fgColor rgb="FFC30000"/>
        <bgColor indexed="64"/>
      </patternFill>
    </fill>
    <fill>
      <patternFill patternType="solid">
        <fgColor rgb="FF376CFF"/>
        <bgColor indexed="64"/>
      </patternFill>
    </fill>
  </fills>
  <borders count="61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/>
      <top/>
      <bottom style="thin">
        <color rgb="FF44B3E1"/>
      </bottom>
      <diagonal/>
    </border>
    <border>
      <left/>
      <right style="thin">
        <color rgb="FF44B3E1"/>
      </right>
      <top/>
      <bottom style="thin">
        <color rgb="FF44B3E1"/>
      </bottom>
      <diagonal/>
    </border>
    <border>
      <left/>
      <right/>
      <top style="thin">
        <color rgb="FF44B3E1"/>
      </top>
      <bottom/>
      <diagonal/>
    </border>
    <border>
      <left style="thin">
        <color rgb="FF44B3E1"/>
      </left>
      <right/>
      <top/>
      <bottom style="thin">
        <color rgb="FF44B3E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theme="0"/>
      </left>
      <right style="thin">
        <color theme="3"/>
      </right>
      <top style="thin">
        <color theme="3"/>
      </top>
      <bottom style="thin">
        <color theme="0"/>
      </bottom>
      <diagonal/>
    </border>
    <border>
      <left style="thin">
        <color theme="3"/>
      </left>
      <right style="thin">
        <color theme="0"/>
      </right>
      <top style="thin">
        <color theme="3"/>
      </top>
      <bottom/>
      <diagonal/>
    </border>
    <border>
      <left style="thin">
        <color theme="0"/>
      </left>
      <right style="thin">
        <color theme="3"/>
      </right>
      <top style="thin">
        <color theme="0"/>
      </top>
      <bottom style="thin">
        <color theme="3"/>
      </bottom>
      <diagonal/>
    </border>
    <border>
      <left style="thin">
        <color theme="3"/>
      </left>
      <right/>
      <top style="thin">
        <color theme="0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0"/>
      </bottom>
      <diagonal/>
    </border>
    <border>
      <left style="thin">
        <color theme="0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0"/>
      </right>
      <top style="thin">
        <color theme="0"/>
      </top>
      <bottom style="thin">
        <color theme="3"/>
      </bottom>
      <diagonal/>
    </border>
    <border>
      <left style="thin">
        <color theme="3"/>
      </left>
      <right style="thin">
        <color theme="0"/>
      </right>
      <top style="thin">
        <color theme="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3"/>
      </right>
      <top style="medium">
        <color theme="0"/>
      </top>
      <bottom style="thin">
        <color theme="3"/>
      </bottom>
      <diagonal/>
    </border>
    <border>
      <left style="thin">
        <color theme="3"/>
      </left>
      <right style="medium">
        <color theme="0"/>
      </right>
      <top style="medium">
        <color theme="0"/>
      </top>
      <bottom style="thin">
        <color theme="3"/>
      </bottom>
      <diagonal/>
    </border>
    <border>
      <left style="medium">
        <color theme="0"/>
      </left>
      <right style="thin">
        <color theme="3"/>
      </right>
      <top style="thin">
        <color theme="3"/>
      </top>
      <bottom style="medium">
        <color theme="0"/>
      </bottom>
      <diagonal/>
    </border>
    <border>
      <left style="thin">
        <color theme="3"/>
      </left>
      <right style="medium">
        <color theme="0"/>
      </right>
      <top style="thin">
        <color theme="3"/>
      </top>
      <bottom style="medium">
        <color theme="0"/>
      </bottom>
      <diagonal/>
    </border>
    <border>
      <left style="thin">
        <color theme="3"/>
      </left>
      <right style="thin">
        <color theme="0"/>
      </right>
      <top style="medium">
        <color theme="0"/>
      </top>
      <bottom style="thin">
        <color theme="3"/>
      </bottom>
      <diagonal/>
    </border>
    <border>
      <left style="thin">
        <color theme="0"/>
      </left>
      <right style="thin">
        <color theme="3"/>
      </right>
      <top style="medium">
        <color theme="0"/>
      </top>
      <bottom style="thin">
        <color theme="3"/>
      </bottom>
      <diagonal/>
    </border>
    <border>
      <left style="thin">
        <color theme="3"/>
      </left>
      <right/>
      <top style="medium">
        <color theme="0"/>
      </top>
      <bottom style="thin">
        <color theme="3"/>
      </bottom>
      <diagonal/>
    </border>
    <border>
      <left style="medium">
        <color theme="0"/>
      </left>
      <right style="thin">
        <color theme="3"/>
      </right>
      <top style="thin">
        <color theme="3"/>
      </top>
      <bottom/>
      <diagonal/>
    </border>
    <border>
      <left style="medium">
        <color theme="0"/>
      </left>
      <right style="thin">
        <color theme="3"/>
      </right>
      <top style="thin">
        <color theme="0"/>
      </top>
      <bottom style="thin">
        <color theme="3"/>
      </bottom>
      <diagonal/>
    </border>
    <border>
      <left style="thin">
        <color theme="3"/>
      </left>
      <right style="medium">
        <color theme="0"/>
      </right>
      <top/>
      <bottom style="thin">
        <color theme="3"/>
      </bottom>
      <diagonal/>
    </border>
    <border>
      <left style="thin">
        <color theme="3"/>
      </left>
      <right style="medium">
        <color theme="0"/>
      </right>
      <top style="thin">
        <color theme="3"/>
      </top>
      <bottom/>
      <diagonal/>
    </border>
    <border>
      <left style="thin">
        <color theme="3"/>
      </left>
      <right style="medium">
        <color theme="0"/>
      </right>
      <top style="thin">
        <color theme="0"/>
      </top>
      <bottom style="thin">
        <color theme="3"/>
      </bottom>
      <diagonal/>
    </border>
    <border>
      <left style="thin">
        <color theme="3"/>
      </left>
      <right style="medium">
        <color theme="0"/>
      </right>
      <top style="thin">
        <color theme="3"/>
      </top>
      <bottom style="thin">
        <color theme="0"/>
      </bottom>
      <diagonal/>
    </border>
    <border>
      <left style="thin">
        <color theme="3"/>
      </left>
      <right/>
      <top style="thin">
        <color theme="3"/>
      </top>
      <bottom style="medium">
        <color theme="0"/>
      </bottom>
      <diagonal/>
    </border>
    <border>
      <left style="thin">
        <color theme="0"/>
      </left>
      <right style="thin">
        <color theme="3"/>
      </right>
      <top style="thin">
        <color theme="3"/>
      </top>
      <bottom style="medium">
        <color theme="0"/>
      </bottom>
      <diagonal/>
    </border>
    <border>
      <left style="thin">
        <color theme="3"/>
      </left>
      <right style="thin">
        <color theme="0"/>
      </right>
      <top style="thin">
        <color theme="3"/>
      </top>
      <bottom style="medium">
        <color theme="0"/>
      </bottom>
      <diagonal/>
    </border>
    <border>
      <left/>
      <right style="thin">
        <color theme="3"/>
      </right>
      <top style="thin">
        <color theme="3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thin">
        <color theme="0"/>
      </top>
      <bottom style="medium">
        <color theme="1"/>
      </bottom>
      <diagonal/>
    </border>
    <border>
      <left/>
      <right style="medium">
        <color theme="1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/>
      <top/>
      <bottom style="thin">
        <color theme="0"/>
      </bottom>
      <diagonal/>
    </border>
    <border>
      <left/>
      <right style="medium">
        <color theme="1"/>
      </right>
      <top/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 style="thin">
        <color theme="0"/>
      </bottom>
      <diagonal/>
    </border>
    <border>
      <left/>
      <right style="medium">
        <color theme="1"/>
      </right>
      <top style="medium">
        <color theme="1"/>
      </top>
      <bottom style="thin">
        <color theme="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8">
    <xf numFmtId="0" fontId="0" fillId="0" borderId="0" xfId="0"/>
    <xf numFmtId="0" fontId="6" fillId="0" borderId="0" xfId="0" applyFont="1"/>
    <xf numFmtId="0" fontId="5" fillId="0" borderId="0" xfId="0" applyFont="1"/>
    <xf numFmtId="9" fontId="0" fillId="0" borderId="0" xfId="0" applyNumberFormat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9" fontId="5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2" fontId="0" fillId="0" borderId="0" xfId="0" applyNumberFormat="1"/>
    <xf numFmtId="2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9" fontId="9" fillId="0" borderId="0" xfId="0" applyNumberFormat="1" applyFont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0" fillId="0" borderId="0" xfId="0" applyNumberFormat="1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wrapText="1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3" borderId="2" xfId="0" applyFill="1" applyBorder="1" applyAlignment="1">
      <alignment horizontal="left"/>
    </xf>
    <xf numFmtId="0" fontId="2" fillId="2" borderId="0" xfId="0" applyFont="1" applyFill="1" applyAlignment="1">
      <alignment horizontal="left"/>
    </xf>
    <xf numFmtId="10" fontId="0" fillId="0" borderId="0" xfId="0" applyNumberFormat="1" applyAlignment="1">
      <alignment horizontal="left"/>
    </xf>
    <xf numFmtId="9" fontId="0" fillId="3" borderId="4" xfId="0" applyNumberFormat="1" applyFill="1" applyBorder="1" applyAlignment="1">
      <alignment horizontal="left"/>
    </xf>
    <xf numFmtId="9" fontId="0" fillId="0" borderId="4" xfId="0" applyNumberFormat="1" applyBorder="1" applyAlignment="1">
      <alignment horizontal="left"/>
    </xf>
    <xf numFmtId="9" fontId="0" fillId="0" borderId="3" xfId="0" applyNumberFormat="1" applyBorder="1" applyAlignment="1">
      <alignment horizontal="left"/>
    </xf>
    <xf numFmtId="9" fontId="0" fillId="3" borderId="0" xfId="0" applyNumberFormat="1" applyFill="1" applyAlignment="1">
      <alignment horizontal="left"/>
    </xf>
    <xf numFmtId="9" fontId="0" fillId="0" borderId="0" xfId="0" applyNumberFormat="1" applyAlignment="1">
      <alignment horizontal="left"/>
    </xf>
    <xf numFmtId="10" fontId="0" fillId="3" borderId="0" xfId="0" applyNumberFormat="1" applyFill="1" applyAlignment="1">
      <alignment horizontal="left"/>
    </xf>
    <xf numFmtId="9" fontId="0" fillId="0" borderId="0" xfId="2" applyFont="1" applyAlignment="1">
      <alignment horizontal="left"/>
    </xf>
    <xf numFmtId="9" fontId="0" fillId="3" borderId="4" xfId="2" applyFont="1" applyFill="1" applyBorder="1" applyAlignment="1">
      <alignment horizontal="left"/>
    </xf>
    <xf numFmtId="9" fontId="0" fillId="0" borderId="4" xfId="2" applyFont="1" applyBorder="1" applyAlignment="1">
      <alignment horizontal="left"/>
    </xf>
    <xf numFmtId="9" fontId="0" fillId="3" borderId="3" xfId="2" applyFont="1" applyFill="1" applyBorder="1" applyAlignment="1">
      <alignment horizontal="left"/>
    </xf>
    <xf numFmtId="9" fontId="0" fillId="3" borderId="5" xfId="2" applyFont="1" applyFill="1" applyBorder="1" applyAlignment="1">
      <alignment horizontal="left"/>
    </xf>
    <xf numFmtId="9" fontId="0" fillId="0" borderId="5" xfId="2" applyFont="1" applyBorder="1" applyAlignment="1">
      <alignment horizontal="left"/>
    </xf>
    <xf numFmtId="9" fontId="0" fillId="3" borderId="2" xfId="2" applyFont="1" applyFill="1" applyBorder="1" applyAlignment="1">
      <alignment horizontal="left"/>
    </xf>
    <xf numFmtId="2" fontId="0" fillId="3" borderId="5" xfId="0" applyNumberFormat="1" applyFill="1" applyBorder="1" applyAlignment="1">
      <alignment horizontal="left"/>
    </xf>
    <xf numFmtId="2" fontId="0" fillId="0" borderId="5" xfId="0" applyNumberFormat="1" applyBorder="1" applyAlignment="1">
      <alignment horizontal="left"/>
    </xf>
    <xf numFmtId="2" fontId="0" fillId="3" borderId="2" xfId="0" applyNumberFormat="1" applyFill="1" applyBorder="1" applyAlignment="1">
      <alignment horizontal="left"/>
    </xf>
    <xf numFmtId="0" fontId="8" fillId="0" borderId="0" xfId="0" applyFont="1" applyAlignment="1">
      <alignment horizontal="left"/>
    </xf>
    <xf numFmtId="0" fontId="11" fillId="4" borderId="6" xfId="0" applyFont="1" applyFill="1" applyBorder="1" applyAlignment="1">
      <alignment horizontal="left"/>
    </xf>
    <xf numFmtId="0" fontId="11" fillId="4" borderId="7" xfId="0" applyFont="1" applyFill="1" applyBorder="1" applyAlignment="1">
      <alignment horizontal="left"/>
    </xf>
    <xf numFmtId="0" fontId="11" fillId="4" borderId="8" xfId="0" applyFont="1" applyFill="1" applyBorder="1" applyAlignment="1">
      <alignment horizontal="left"/>
    </xf>
    <xf numFmtId="0" fontId="8" fillId="5" borderId="6" xfId="0" applyFont="1" applyFill="1" applyBorder="1" applyAlignment="1">
      <alignment horizontal="left"/>
    </xf>
    <xf numFmtId="2" fontId="8" fillId="5" borderId="8" xfId="0" applyNumberFormat="1" applyFont="1" applyFill="1" applyBorder="1" applyAlignment="1">
      <alignment horizontal="left"/>
    </xf>
    <xf numFmtId="0" fontId="8" fillId="0" borderId="6" xfId="0" applyFont="1" applyBorder="1" applyAlignment="1">
      <alignment horizontal="left"/>
    </xf>
    <xf numFmtId="2" fontId="8" fillId="0" borderId="7" xfId="0" applyNumberFormat="1" applyFont="1" applyBorder="1" applyAlignment="1">
      <alignment horizontal="left"/>
    </xf>
    <xf numFmtId="2" fontId="8" fillId="0" borderId="8" xfId="0" applyNumberFormat="1" applyFont="1" applyBorder="1" applyAlignment="1">
      <alignment horizontal="left"/>
    </xf>
    <xf numFmtId="9" fontId="8" fillId="5" borderId="7" xfId="2" applyFont="1" applyFill="1" applyBorder="1" applyAlignment="1">
      <alignment horizontal="left"/>
    </xf>
    <xf numFmtId="0" fontId="8" fillId="5" borderId="7" xfId="0" applyFont="1" applyFill="1" applyBorder="1" applyAlignment="1">
      <alignment horizontal="left"/>
    </xf>
    <xf numFmtId="0" fontId="8" fillId="0" borderId="7" xfId="0" applyFont="1" applyBorder="1" applyAlignment="1">
      <alignment horizontal="left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8" fillId="0" borderId="11" xfId="0" applyFont="1" applyBorder="1" applyAlignment="1">
      <alignment horizontal="left"/>
    </xf>
    <xf numFmtId="9" fontId="8" fillId="5" borderId="11" xfId="2" applyFont="1" applyFill="1" applyBorder="1" applyAlignment="1">
      <alignment horizontal="left"/>
    </xf>
    <xf numFmtId="10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  <xf numFmtId="9" fontId="0" fillId="0" borderId="0" xfId="2" applyFont="1"/>
    <xf numFmtId="10" fontId="0" fillId="0" borderId="0" xfId="2" applyNumberFormat="1" applyFont="1"/>
    <xf numFmtId="1" fontId="0" fillId="0" borderId="0" xfId="0" applyNumberFormat="1"/>
    <xf numFmtId="0" fontId="11" fillId="4" borderId="6" xfId="0" applyFont="1" applyFill="1" applyBorder="1"/>
    <xf numFmtId="0" fontId="11" fillId="4" borderId="8" xfId="0" applyFont="1" applyFill="1" applyBorder="1"/>
    <xf numFmtId="0" fontId="8" fillId="5" borderId="6" xfId="0" applyFont="1" applyFill="1" applyBorder="1"/>
    <xf numFmtId="0" fontId="8" fillId="0" borderId="6" xfId="0" applyFont="1" applyBorder="1"/>
    <xf numFmtId="0" fontId="11" fillId="4" borderId="7" xfId="0" applyFont="1" applyFill="1" applyBorder="1"/>
    <xf numFmtId="2" fontId="8" fillId="5" borderId="7" xfId="0" applyNumberFormat="1" applyFont="1" applyFill="1" applyBorder="1"/>
    <xf numFmtId="0" fontId="8" fillId="5" borderId="7" xfId="0" applyFont="1" applyFill="1" applyBorder="1"/>
    <xf numFmtId="0" fontId="8" fillId="0" borderId="7" xfId="0" applyFont="1" applyBorder="1"/>
    <xf numFmtId="0" fontId="11" fillId="4" borderId="9" xfId="0" applyFont="1" applyFill="1" applyBorder="1"/>
    <xf numFmtId="0" fontId="11" fillId="4" borderId="10" xfId="0" applyFont="1" applyFill="1" applyBorder="1"/>
    <xf numFmtId="0" fontId="8" fillId="5" borderId="11" xfId="0" applyFont="1" applyFill="1" applyBorder="1"/>
    <xf numFmtId="2" fontId="8" fillId="5" borderId="11" xfId="0" applyNumberFormat="1" applyFont="1" applyFill="1" applyBorder="1"/>
    <xf numFmtId="2" fontId="8" fillId="0" borderId="0" xfId="0" applyNumberFormat="1" applyFont="1" applyAlignment="1">
      <alignment horizontal="left"/>
    </xf>
    <xf numFmtId="0" fontId="8" fillId="0" borderId="6" xfId="0" applyFont="1" applyBorder="1" applyAlignment="1">
      <alignment wrapText="1"/>
    </xf>
    <xf numFmtId="10" fontId="8" fillId="0" borderId="0" xfId="0" applyNumberFormat="1" applyFont="1"/>
    <xf numFmtId="10" fontId="4" fillId="0" borderId="0" xfId="0" applyNumberFormat="1" applyFont="1"/>
    <xf numFmtId="2" fontId="0" fillId="0" borderId="0" xfId="2" applyNumberFormat="1" applyFont="1"/>
    <xf numFmtId="0" fontId="8" fillId="5" borderId="12" xfId="0" applyFont="1" applyFill="1" applyBorder="1"/>
    <xf numFmtId="0" fontId="8" fillId="5" borderId="9" xfId="0" applyFont="1" applyFill="1" applyBorder="1"/>
    <xf numFmtId="2" fontId="8" fillId="0" borderId="0" xfId="0" applyNumberFormat="1" applyFont="1"/>
    <xf numFmtId="0" fontId="8" fillId="0" borderId="12" xfId="0" applyFont="1" applyBorder="1"/>
    <xf numFmtId="0" fontId="8" fillId="0" borderId="9" xfId="0" applyFont="1" applyBorder="1"/>
    <xf numFmtId="0" fontId="8" fillId="0" borderId="12" xfId="0" applyFont="1" applyBorder="1" applyAlignment="1">
      <alignment wrapText="1"/>
    </xf>
    <xf numFmtId="0" fontId="8" fillId="0" borderId="9" xfId="0" applyFont="1" applyBorder="1" applyAlignment="1">
      <alignment wrapText="1"/>
    </xf>
    <xf numFmtId="0" fontId="12" fillId="0" borderId="0" xfId="0" applyFont="1"/>
    <xf numFmtId="0" fontId="13" fillId="0" borderId="0" xfId="0" applyFont="1"/>
    <xf numFmtId="2" fontId="13" fillId="0" borderId="0" xfId="0" applyNumberFormat="1" applyFont="1"/>
    <xf numFmtId="2" fontId="5" fillId="0" borderId="0" xfId="0" applyNumberFormat="1" applyFont="1"/>
    <xf numFmtId="0" fontId="4" fillId="0" borderId="0" xfId="0" applyFont="1"/>
    <xf numFmtId="166" fontId="0" fillId="0" borderId="0" xfId="1" applyNumberFormat="1" applyFont="1"/>
    <xf numFmtId="166" fontId="0" fillId="0" borderId="0" xfId="0" applyNumberFormat="1" applyAlignment="1">
      <alignment horizontal="left"/>
    </xf>
    <xf numFmtId="166" fontId="0" fillId="0" borderId="0" xfId="0" applyNumberFormat="1"/>
    <xf numFmtId="3" fontId="0" fillId="0" borderId="0" xfId="0" applyNumberFormat="1" applyAlignment="1">
      <alignment horizontal="left"/>
    </xf>
    <xf numFmtId="0" fontId="8" fillId="0" borderId="0" xfId="0" applyFont="1" applyAlignment="1">
      <alignment wrapText="1"/>
    </xf>
    <xf numFmtId="166" fontId="8" fillId="5" borderId="7" xfId="0" applyNumberFormat="1" applyFont="1" applyFill="1" applyBorder="1"/>
    <xf numFmtId="0" fontId="8" fillId="0" borderId="11" xfId="0" applyFont="1" applyBorder="1" applyAlignment="1">
      <alignment wrapText="1"/>
    </xf>
    <xf numFmtId="0" fontId="8" fillId="0" borderId="11" xfId="0" applyFont="1" applyBorder="1"/>
    <xf numFmtId="166" fontId="8" fillId="5" borderId="11" xfId="0" applyNumberFormat="1" applyFont="1" applyFill="1" applyBorder="1"/>
    <xf numFmtId="0" fontId="0" fillId="0" borderId="0" xfId="0" applyAlignment="1">
      <alignment vertical="center"/>
    </xf>
    <xf numFmtId="167" fontId="8" fillId="5" borderId="7" xfId="0" applyNumberFormat="1" applyFont="1" applyFill="1" applyBorder="1" applyAlignment="1">
      <alignment horizontal="left"/>
    </xf>
    <xf numFmtId="167" fontId="8" fillId="0" borderId="7" xfId="0" applyNumberFormat="1" applyFont="1" applyBorder="1" applyAlignment="1">
      <alignment horizontal="left"/>
    </xf>
    <xf numFmtId="0" fontId="0" fillId="14" borderId="0" xfId="0" applyFill="1"/>
    <xf numFmtId="0" fontId="2" fillId="2" borderId="13" xfId="0" applyFont="1" applyFill="1" applyBorder="1"/>
    <xf numFmtId="9" fontId="0" fillId="3" borderId="13" xfId="0" applyNumberFormat="1" applyFill="1" applyBorder="1"/>
    <xf numFmtId="166" fontId="0" fillId="3" borderId="5" xfId="0" applyNumberFormat="1" applyFill="1" applyBorder="1"/>
    <xf numFmtId="9" fontId="0" fillId="0" borderId="13" xfId="0" applyNumberFormat="1" applyBorder="1"/>
    <xf numFmtId="0" fontId="2" fillId="2" borderId="5" xfId="0" applyFont="1" applyFill="1" applyBorder="1" applyAlignment="1">
      <alignment wrapText="1" shrinkToFit="1"/>
    </xf>
    <xf numFmtId="0" fontId="2" fillId="2" borderId="1" xfId="0" applyFont="1" applyFill="1" applyBorder="1"/>
    <xf numFmtId="0" fontId="16" fillId="0" borderId="0" xfId="0" applyFont="1"/>
    <xf numFmtId="10" fontId="16" fillId="0" borderId="0" xfId="0" applyNumberFormat="1" applyFont="1"/>
    <xf numFmtId="2" fontId="16" fillId="0" borderId="0" xfId="0" applyNumberFormat="1" applyFont="1"/>
    <xf numFmtId="165" fontId="16" fillId="0" borderId="0" xfId="0" applyNumberFormat="1" applyFont="1"/>
    <xf numFmtId="166" fontId="16" fillId="0" borderId="0" xfId="0" applyNumberFormat="1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2" fontId="24" fillId="0" borderId="0" xfId="0" applyNumberFormat="1" applyFont="1"/>
    <xf numFmtId="167" fontId="0" fillId="0" borderId="0" xfId="2" applyNumberFormat="1" applyFont="1"/>
    <xf numFmtId="0" fontId="3" fillId="0" borderId="0" xfId="0" applyFont="1"/>
    <xf numFmtId="10" fontId="8" fillId="5" borderId="7" xfId="0" applyNumberFormat="1" applyFont="1" applyFill="1" applyBorder="1"/>
    <xf numFmtId="9" fontId="8" fillId="5" borderId="7" xfId="0" applyNumberFormat="1" applyFont="1" applyFill="1" applyBorder="1"/>
    <xf numFmtId="10" fontId="8" fillId="0" borderId="7" xfId="0" applyNumberFormat="1" applyFont="1" applyBorder="1"/>
    <xf numFmtId="9" fontId="8" fillId="0" borderId="7" xfId="0" applyNumberFormat="1" applyFont="1" applyBorder="1"/>
    <xf numFmtId="2" fontId="8" fillId="0" borderId="7" xfId="0" applyNumberFormat="1" applyFont="1" applyBorder="1"/>
    <xf numFmtId="10" fontId="8" fillId="0" borderId="11" xfId="0" applyNumberFormat="1" applyFont="1" applyBorder="1"/>
    <xf numFmtId="9" fontId="8" fillId="0" borderId="11" xfId="0" applyNumberFormat="1" applyFont="1" applyBorder="1"/>
    <xf numFmtId="2" fontId="8" fillId="0" borderId="11" xfId="0" applyNumberFormat="1" applyFont="1" applyBorder="1"/>
    <xf numFmtId="166" fontId="8" fillId="0" borderId="7" xfId="0" applyNumberFormat="1" applyFont="1" applyBorder="1"/>
    <xf numFmtId="166" fontId="8" fillId="0" borderId="11" xfId="0" applyNumberFormat="1" applyFont="1" applyBorder="1"/>
    <xf numFmtId="2" fontId="8" fillId="5" borderId="9" xfId="0" applyNumberFormat="1" applyFont="1" applyFill="1" applyBorder="1"/>
    <xf numFmtId="166" fontId="8" fillId="5" borderId="9" xfId="0" applyNumberFormat="1" applyFont="1" applyFill="1" applyBorder="1"/>
    <xf numFmtId="169" fontId="16" fillId="0" borderId="0" xfId="0" applyNumberFormat="1" applyFont="1"/>
    <xf numFmtId="1" fontId="0" fillId="0" borderId="0" xfId="0" applyNumberFormat="1" applyAlignment="1">
      <alignment horizontal="left"/>
    </xf>
    <xf numFmtId="0" fontId="26" fillId="0" borderId="0" xfId="0" applyFont="1"/>
    <xf numFmtId="0" fontId="27" fillId="0" borderId="0" xfId="0" applyFont="1"/>
    <xf numFmtId="10" fontId="0" fillId="0" borderId="0" xfId="2" applyNumberFormat="1" applyFont="1" applyBorder="1"/>
    <xf numFmtId="0" fontId="16" fillId="0" borderId="0" xfId="0" applyFont="1" applyAlignment="1">
      <alignment vertical="top" wrapText="1"/>
    </xf>
    <xf numFmtId="10" fontId="8" fillId="0" borderId="7" xfId="2" applyNumberFormat="1" applyFont="1" applyBorder="1"/>
    <xf numFmtId="10" fontId="8" fillId="5" borderId="7" xfId="2" applyNumberFormat="1" applyFont="1" applyFill="1" applyBorder="1"/>
    <xf numFmtId="10" fontId="8" fillId="0" borderId="11" xfId="2" applyNumberFormat="1" applyFont="1" applyBorder="1"/>
    <xf numFmtId="10" fontId="26" fillId="0" borderId="0" xfId="0" applyNumberFormat="1" applyFont="1"/>
    <xf numFmtId="0" fontId="31" fillId="18" borderId="43" xfId="0" applyFont="1" applyFill="1" applyBorder="1"/>
    <xf numFmtId="0" fontId="31" fillId="18" borderId="44" xfId="0" applyFont="1" applyFill="1" applyBorder="1"/>
    <xf numFmtId="0" fontId="31" fillId="18" borderId="45" xfId="0" applyFont="1" applyFill="1" applyBorder="1"/>
    <xf numFmtId="0" fontId="31" fillId="16" borderId="46" xfId="0" applyFont="1" applyFill="1" applyBorder="1"/>
    <xf numFmtId="0" fontId="31" fillId="16" borderId="0" xfId="0" applyFont="1" applyFill="1"/>
    <xf numFmtId="166" fontId="32" fillId="15" borderId="0" xfId="0" applyNumberFormat="1" applyFont="1" applyFill="1"/>
    <xf numFmtId="166" fontId="32" fillId="15" borderId="47" xfId="0" applyNumberFormat="1" applyFont="1" applyFill="1" applyBorder="1"/>
    <xf numFmtId="0" fontId="31" fillId="16" borderId="48" xfId="0" applyFont="1" applyFill="1" applyBorder="1"/>
    <xf numFmtId="0" fontId="31" fillId="16" borderId="49" xfId="0" applyFont="1" applyFill="1" applyBorder="1"/>
    <xf numFmtId="166" fontId="32" fillId="15" borderId="49" xfId="0" applyNumberFormat="1" applyFont="1" applyFill="1" applyBorder="1"/>
    <xf numFmtId="166" fontId="32" fillId="15" borderId="50" xfId="0" applyNumberFormat="1" applyFont="1" applyFill="1" applyBorder="1"/>
    <xf numFmtId="0" fontId="29" fillId="21" borderId="57" xfId="0" applyFont="1" applyFill="1" applyBorder="1"/>
    <xf numFmtId="0" fontId="29" fillId="21" borderId="53" xfId="0" applyFont="1" applyFill="1" applyBorder="1"/>
    <xf numFmtId="0" fontId="29" fillId="21" borderId="55" xfId="0" applyFont="1" applyFill="1" applyBorder="1"/>
    <xf numFmtId="0" fontId="37" fillId="17" borderId="59" xfId="0" applyFont="1" applyFill="1" applyBorder="1"/>
    <xf numFmtId="0" fontId="37" fillId="17" borderId="60" xfId="0" applyFont="1" applyFill="1" applyBorder="1" applyAlignment="1">
      <alignment horizontal="left"/>
    </xf>
    <xf numFmtId="171" fontId="30" fillId="21" borderId="58" xfId="0" applyNumberFormat="1" applyFont="1" applyFill="1" applyBorder="1" applyAlignment="1">
      <alignment horizontal="left" vertical="center"/>
    </xf>
    <xf numFmtId="171" fontId="30" fillId="21" borderId="58" xfId="0" applyNumberFormat="1" applyFont="1" applyFill="1" applyBorder="1" applyAlignment="1">
      <alignment horizontal="left"/>
    </xf>
    <xf numFmtId="168" fontId="30" fillId="21" borderId="54" xfId="0" applyNumberFormat="1" applyFont="1" applyFill="1" applyBorder="1"/>
    <xf numFmtId="171" fontId="30" fillId="21" borderId="56" xfId="0" applyNumberFormat="1" applyFont="1" applyFill="1" applyBorder="1" applyAlignment="1">
      <alignment horizontal="left"/>
    </xf>
    <xf numFmtId="171" fontId="37" fillId="21" borderId="58" xfId="0" applyNumberFormat="1" applyFont="1" applyFill="1" applyBorder="1" applyAlignment="1">
      <alignment horizontal="left"/>
    </xf>
    <xf numFmtId="0" fontId="36" fillId="22" borderId="0" xfId="0" applyFont="1" applyFill="1" applyAlignment="1">
      <alignment horizontal="center" vertical="center" wrapText="1"/>
    </xf>
    <xf numFmtId="0" fontId="30" fillId="17" borderId="0" xfId="0" applyFont="1" applyFill="1" applyAlignment="1">
      <alignment horizontal="center" vertical="center" wrapText="1"/>
    </xf>
    <xf numFmtId="0" fontId="30" fillId="17" borderId="51" xfId="0" applyFont="1" applyFill="1" applyBorder="1" applyAlignment="1">
      <alignment horizontal="center" vertical="center" wrapText="1"/>
    </xf>
    <xf numFmtId="10" fontId="35" fillId="21" borderId="52" xfId="2" applyNumberFormat="1" applyFont="1" applyFill="1" applyBorder="1" applyAlignment="1">
      <alignment horizontal="center" vertical="center" wrapText="1"/>
    </xf>
    <xf numFmtId="10" fontId="35" fillId="21" borderId="0" xfId="2" applyNumberFormat="1" applyFont="1" applyFill="1" applyAlignment="1">
      <alignment horizontal="center" vertical="center" wrapText="1"/>
    </xf>
    <xf numFmtId="0" fontId="33" fillId="17" borderId="0" xfId="0" applyFont="1" applyFill="1" applyAlignment="1">
      <alignment horizontal="left" vertical="center"/>
    </xf>
    <xf numFmtId="0" fontId="33" fillId="17" borderId="51" xfId="0" applyFont="1" applyFill="1" applyBorder="1" applyAlignment="1">
      <alignment horizontal="left" vertical="center"/>
    </xf>
    <xf numFmtId="10" fontId="33" fillId="18" borderId="52" xfId="2" applyNumberFormat="1" applyFont="1" applyFill="1" applyBorder="1" applyAlignment="1">
      <alignment horizontal="left" vertical="center"/>
    </xf>
    <xf numFmtId="10" fontId="33" fillId="18" borderId="0" xfId="2" applyNumberFormat="1" applyFont="1" applyFill="1" applyBorder="1" applyAlignment="1">
      <alignment horizontal="left" vertical="center"/>
    </xf>
    <xf numFmtId="0" fontId="30" fillId="17" borderId="0" xfId="0" applyFont="1" applyFill="1" applyAlignment="1">
      <alignment horizontal="center" vertical="center"/>
    </xf>
    <xf numFmtId="0" fontId="30" fillId="17" borderId="51" xfId="0" applyFont="1" applyFill="1" applyBorder="1" applyAlignment="1">
      <alignment horizontal="center" vertical="center"/>
    </xf>
    <xf numFmtId="170" fontId="34" fillId="19" borderId="52" xfId="0" applyNumberFormat="1" applyFont="1" applyFill="1" applyBorder="1" applyAlignment="1">
      <alignment horizontal="center" vertical="center"/>
    </xf>
    <xf numFmtId="170" fontId="34" fillId="19" borderId="0" xfId="0" applyNumberFormat="1" applyFont="1" applyFill="1" applyAlignment="1">
      <alignment horizontal="center" vertical="center"/>
    </xf>
    <xf numFmtId="0" fontId="29" fillId="17" borderId="0" xfId="0" applyFont="1" applyFill="1" applyAlignment="1">
      <alignment horizontal="center" vertical="center"/>
    </xf>
    <xf numFmtId="0" fontId="29" fillId="17" borderId="51" xfId="0" applyFont="1" applyFill="1" applyBorder="1" applyAlignment="1">
      <alignment horizontal="center" vertical="center"/>
    </xf>
    <xf numFmtId="167" fontId="34" fillId="19" borderId="52" xfId="2" applyNumberFormat="1" applyFont="1" applyFill="1" applyBorder="1" applyAlignment="1">
      <alignment horizontal="center" vertical="center" wrapText="1"/>
    </xf>
    <xf numFmtId="167" fontId="34" fillId="19" borderId="0" xfId="2" applyNumberFormat="1" applyFont="1" applyFill="1" applyAlignment="1">
      <alignment horizontal="center" vertical="center" wrapText="1"/>
    </xf>
    <xf numFmtId="171" fontId="34" fillId="19" borderId="52" xfId="0" applyNumberFormat="1" applyFont="1" applyFill="1" applyBorder="1" applyAlignment="1">
      <alignment horizontal="center" vertical="center"/>
    </xf>
    <xf numFmtId="171" fontId="34" fillId="19" borderId="0" xfId="0" applyNumberFormat="1" applyFont="1" applyFill="1" applyAlignment="1">
      <alignment horizontal="center" vertical="center"/>
    </xf>
    <xf numFmtId="10" fontId="34" fillId="19" borderId="52" xfId="0" applyNumberFormat="1" applyFont="1" applyFill="1" applyBorder="1" applyAlignment="1">
      <alignment horizontal="center" vertical="center"/>
    </xf>
    <xf numFmtId="10" fontId="34" fillId="19" borderId="0" xfId="0" applyNumberFormat="1" applyFont="1" applyFill="1" applyAlignment="1">
      <alignment horizontal="center" vertical="center"/>
    </xf>
    <xf numFmtId="0" fontId="28" fillId="2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7" fillId="9" borderId="0" xfId="0" applyFont="1" applyFill="1" applyAlignment="1">
      <alignment horizontal="center" vertical="center"/>
    </xf>
    <xf numFmtId="0" fontId="15" fillId="10" borderId="0" xfId="0" applyFont="1" applyFill="1" applyAlignment="1" applyProtection="1">
      <alignment horizontal="center" vertical="center"/>
      <protection locked="0"/>
    </xf>
    <xf numFmtId="0" fontId="19" fillId="12" borderId="0" xfId="0" applyFont="1" applyFill="1" applyAlignment="1">
      <alignment horizontal="center"/>
    </xf>
    <xf numFmtId="0" fontId="16" fillId="13" borderId="0" xfId="0" applyFont="1" applyFill="1" applyAlignment="1" applyProtection="1">
      <alignment horizontal="center" vertical="center"/>
      <protection locked="0"/>
    </xf>
    <xf numFmtId="0" fontId="14" fillId="11" borderId="26" xfId="0" applyFont="1" applyFill="1" applyBorder="1" applyAlignment="1">
      <alignment horizontal="center" vertical="center" shrinkToFit="1"/>
    </xf>
    <xf numFmtId="0" fontId="14" fillId="11" borderId="27" xfId="0" applyFont="1" applyFill="1" applyBorder="1" applyAlignment="1">
      <alignment horizontal="center" vertical="center" shrinkToFit="1"/>
    </xf>
    <xf numFmtId="0" fontId="14" fillId="11" borderId="28" xfId="0" applyFont="1" applyFill="1" applyBorder="1" applyAlignment="1">
      <alignment horizontal="center" vertical="center" shrinkToFit="1"/>
    </xf>
    <xf numFmtId="0" fontId="14" fillId="11" borderId="29" xfId="0" applyFont="1" applyFill="1" applyBorder="1" applyAlignment="1">
      <alignment horizontal="center" vertical="center" shrinkToFit="1"/>
    </xf>
    <xf numFmtId="0" fontId="16" fillId="8" borderId="0" xfId="0" applyFont="1" applyFill="1" applyAlignment="1">
      <alignment horizontal="center" vertical="center" shrinkToFit="1"/>
    </xf>
    <xf numFmtId="0" fontId="21" fillId="7" borderId="0" xfId="0" applyFont="1" applyFill="1" applyAlignment="1">
      <alignment horizontal="center" vertical="center" wrapText="1"/>
    </xf>
    <xf numFmtId="0" fontId="14" fillId="6" borderId="25" xfId="0" applyFont="1" applyFill="1" applyBorder="1" applyAlignment="1">
      <alignment horizontal="center" vertical="center" wrapText="1"/>
    </xf>
    <xf numFmtId="0" fontId="14" fillId="11" borderId="31" xfId="0" applyFont="1" applyFill="1" applyBorder="1" applyAlignment="1">
      <alignment horizontal="center" vertical="center" shrinkToFit="1"/>
    </xf>
    <xf numFmtId="0" fontId="14" fillId="11" borderId="32" xfId="0" applyFont="1" applyFill="1" applyBorder="1" applyAlignment="1">
      <alignment horizontal="center" vertical="center" shrinkToFit="1"/>
    </xf>
    <xf numFmtId="0" fontId="14" fillId="11" borderId="17" xfId="0" applyFont="1" applyFill="1" applyBorder="1" applyAlignment="1">
      <alignment horizontal="center" vertical="center" shrinkToFit="1"/>
    </xf>
    <xf numFmtId="0" fontId="14" fillId="11" borderId="21" xfId="0" applyFont="1" applyFill="1" applyBorder="1" applyAlignment="1">
      <alignment horizontal="center" vertical="center" shrinkToFit="1"/>
    </xf>
    <xf numFmtId="10" fontId="20" fillId="11" borderId="34" xfId="2" applyNumberFormat="1" applyFont="1" applyFill="1" applyBorder="1" applyAlignment="1">
      <alignment horizontal="center" vertical="center"/>
    </xf>
    <xf numFmtId="10" fontId="20" fillId="11" borderId="20" xfId="2" applyNumberFormat="1" applyFont="1" applyFill="1" applyBorder="1" applyAlignment="1">
      <alignment horizontal="center" vertical="center"/>
    </xf>
    <xf numFmtId="10" fontId="20" fillId="11" borderId="33" xfId="2" applyNumberFormat="1" applyFont="1" applyFill="1" applyBorder="1" applyAlignment="1">
      <alignment horizontal="center" vertical="center"/>
    </xf>
    <xf numFmtId="10" fontId="20" fillId="11" borderId="14" xfId="2" applyNumberFormat="1" applyFont="1" applyFill="1" applyBorder="1" applyAlignment="1">
      <alignment horizontal="center" vertical="center"/>
    </xf>
    <xf numFmtId="0" fontId="14" fillId="11" borderId="30" xfId="0" applyFont="1" applyFill="1" applyBorder="1" applyAlignment="1">
      <alignment horizontal="center" vertical="center" shrinkToFit="1"/>
    </xf>
    <xf numFmtId="0" fontId="14" fillId="11" borderId="33" xfId="0" applyFont="1" applyFill="1" applyBorder="1" applyAlignment="1">
      <alignment horizontal="center" vertical="center" shrinkToFit="1"/>
    </xf>
    <xf numFmtId="0" fontId="14" fillId="11" borderId="18" xfId="0" applyFont="1" applyFill="1" applyBorder="1" applyAlignment="1">
      <alignment horizontal="center" vertical="center" shrinkToFit="1"/>
    </xf>
    <xf numFmtId="168" fontId="20" fillId="11" borderId="34" xfId="0" applyNumberFormat="1" applyFont="1" applyFill="1" applyBorder="1" applyAlignment="1">
      <alignment horizontal="center" vertical="center"/>
    </xf>
    <xf numFmtId="168" fontId="20" fillId="11" borderId="20" xfId="0" applyNumberFormat="1" applyFont="1" applyFill="1" applyBorder="1" applyAlignment="1">
      <alignment horizontal="center" vertical="center"/>
    </xf>
    <xf numFmtId="168" fontId="20" fillId="11" borderId="28" xfId="0" applyNumberFormat="1" applyFont="1" applyFill="1" applyBorder="1" applyAlignment="1">
      <alignment horizontal="center" vertical="center"/>
    </xf>
    <xf numFmtId="168" fontId="20" fillId="11" borderId="39" xfId="0" applyNumberFormat="1" applyFont="1" applyFill="1" applyBorder="1" applyAlignment="1">
      <alignment horizontal="center" vertical="center"/>
    </xf>
    <xf numFmtId="10" fontId="20" fillId="11" borderId="19" xfId="2" applyNumberFormat="1" applyFont="1" applyFill="1" applyBorder="1" applyAlignment="1">
      <alignment horizontal="center" vertical="center"/>
    </xf>
    <xf numFmtId="10" fontId="20" fillId="11" borderId="23" xfId="2" applyNumberFormat="1" applyFont="1" applyFill="1" applyBorder="1" applyAlignment="1">
      <alignment horizontal="center" vertical="center"/>
    </xf>
    <xf numFmtId="10" fontId="20" fillId="11" borderId="40" xfId="2" applyNumberFormat="1" applyFont="1" applyFill="1" applyBorder="1" applyAlignment="1">
      <alignment horizontal="center" vertical="center"/>
    </xf>
    <xf numFmtId="10" fontId="20" fillId="11" borderId="41" xfId="2" applyNumberFormat="1" applyFont="1" applyFill="1" applyBorder="1" applyAlignment="1">
      <alignment horizontal="center" vertical="center"/>
    </xf>
    <xf numFmtId="10" fontId="20" fillId="11" borderId="16" xfId="2" applyNumberFormat="1" applyFont="1" applyFill="1" applyBorder="1" applyAlignment="1">
      <alignment horizontal="center" vertical="center"/>
    </xf>
    <xf numFmtId="10" fontId="20" fillId="11" borderId="35" xfId="2" applyNumberFormat="1" applyFont="1" applyFill="1" applyBorder="1" applyAlignment="1">
      <alignment horizontal="center" vertical="center"/>
    </xf>
    <xf numFmtId="10" fontId="20" fillId="11" borderId="42" xfId="2" applyNumberFormat="1" applyFont="1" applyFill="1" applyBorder="1" applyAlignment="1">
      <alignment horizontal="center" vertical="center"/>
    </xf>
    <xf numFmtId="10" fontId="20" fillId="11" borderId="29" xfId="2" applyNumberFormat="1" applyFont="1" applyFill="1" applyBorder="1" applyAlignment="1">
      <alignment horizontal="center" vertical="center"/>
    </xf>
    <xf numFmtId="0" fontId="14" fillId="11" borderId="19" xfId="0" applyFont="1" applyFill="1" applyBorder="1" applyAlignment="1">
      <alignment horizontal="center" vertical="center" shrinkToFit="1"/>
    </xf>
    <xf numFmtId="0" fontId="14" fillId="11" borderId="37" xfId="0" applyFont="1" applyFill="1" applyBorder="1" applyAlignment="1">
      <alignment horizontal="center" vertical="center" shrinkToFit="1"/>
    </xf>
    <xf numFmtId="0" fontId="14" fillId="11" borderId="38" xfId="0" applyFont="1" applyFill="1" applyBorder="1" applyAlignment="1">
      <alignment horizontal="center" vertical="center" shrinkToFit="1"/>
    </xf>
    <xf numFmtId="0" fontId="14" fillId="11" borderId="19" xfId="0" applyFont="1" applyFill="1" applyBorder="1" applyAlignment="1">
      <alignment horizontal="center" vertical="center" wrapText="1" shrinkToFit="1"/>
    </xf>
    <xf numFmtId="0" fontId="14" fillId="11" borderId="23" xfId="0" applyFont="1" applyFill="1" applyBorder="1" applyAlignment="1">
      <alignment horizontal="center" vertical="center" wrapText="1" shrinkToFit="1"/>
    </xf>
    <xf numFmtId="0" fontId="14" fillId="11" borderId="17" xfId="0" applyFont="1" applyFill="1" applyBorder="1" applyAlignment="1">
      <alignment horizontal="center" vertical="center" wrapText="1" shrinkToFit="1"/>
    </xf>
    <xf numFmtId="0" fontId="14" fillId="11" borderId="24" xfId="0" applyFont="1" applyFill="1" applyBorder="1" applyAlignment="1">
      <alignment horizontal="center" vertical="center" wrapText="1" shrinkToFit="1"/>
    </xf>
    <xf numFmtId="0" fontId="14" fillId="11" borderId="34" xfId="0" applyFont="1" applyFill="1" applyBorder="1" applyAlignment="1">
      <alignment horizontal="center" vertical="center" shrinkToFit="1"/>
    </xf>
    <xf numFmtId="0" fontId="14" fillId="11" borderId="20" xfId="0" applyFont="1" applyFill="1" applyBorder="1" applyAlignment="1">
      <alignment horizontal="center" vertical="center" shrinkToFit="1"/>
    </xf>
    <xf numFmtId="0" fontId="14" fillId="11" borderId="14" xfId="0" applyFont="1" applyFill="1" applyBorder="1" applyAlignment="1">
      <alignment horizontal="center" vertical="center" shrinkToFit="1"/>
    </xf>
    <xf numFmtId="168" fontId="20" fillId="11" borderId="16" xfId="0" applyNumberFormat="1" applyFont="1" applyFill="1" applyBorder="1" applyAlignment="1">
      <alignment horizontal="center" vertical="center"/>
    </xf>
    <xf numFmtId="168" fontId="20" fillId="11" borderId="35" xfId="0" applyNumberFormat="1" applyFont="1" applyFill="1" applyBorder="1" applyAlignment="1">
      <alignment horizontal="center" vertical="center"/>
    </xf>
    <xf numFmtId="168" fontId="20" fillId="11" borderId="15" xfId="0" applyNumberFormat="1" applyFont="1" applyFill="1" applyBorder="1" applyAlignment="1">
      <alignment horizontal="center" vertical="center"/>
    </xf>
    <xf numFmtId="168" fontId="20" fillId="11" borderId="36" xfId="0" applyNumberFormat="1" applyFont="1" applyFill="1" applyBorder="1" applyAlignment="1">
      <alignment horizontal="center" vertical="center"/>
    </xf>
    <xf numFmtId="168" fontId="20" fillId="11" borderId="19" xfId="0" applyNumberFormat="1" applyFont="1" applyFill="1" applyBorder="1" applyAlignment="1">
      <alignment horizontal="center" vertical="center"/>
    </xf>
    <xf numFmtId="168" fontId="20" fillId="11" borderId="23" xfId="0" applyNumberFormat="1" applyFont="1" applyFill="1" applyBorder="1" applyAlignment="1">
      <alignment horizontal="center" vertical="center"/>
    </xf>
    <xf numFmtId="168" fontId="20" fillId="11" borderId="22" xfId="0" applyNumberFormat="1" applyFont="1" applyFill="1" applyBorder="1" applyAlignment="1">
      <alignment horizontal="center" vertical="center"/>
    </xf>
    <xf numFmtId="168" fontId="20" fillId="11" borderId="18" xfId="0" applyNumberFormat="1" applyFont="1" applyFill="1" applyBorder="1" applyAlignment="1">
      <alignment horizontal="center" vertical="center"/>
    </xf>
    <xf numFmtId="168" fontId="18" fillId="6" borderId="25" xfId="0" applyNumberFormat="1" applyFont="1" applyFill="1" applyBorder="1" applyAlignment="1">
      <alignment horizontal="center" vertical="center"/>
    </xf>
    <xf numFmtId="10" fontId="18" fillId="6" borderId="25" xfId="0" applyNumberFormat="1" applyFont="1" applyFill="1" applyBorder="1" applyAlignment="1">
      <alignment horizontal="center" vertical="center"/>
    </xf>
    <xf numFmtId="0" fontId="18" fillId="6" borderId="25" xfId="0" applyFont="1" applyFill="1" applyBorder="1" applyAlignment="1">
      <alignment horizontal="center" vertical="center"/>
    </xf>
    <xf numFmtId="0" fontId="22" fillId="14" borderId="0" xfId="0" applyFont="1" applyFill="1" applyAlignment="1">
      <alignment horizontal="left" vertical="center" wrapText="1"/>
    </xf>
  </cellXfs>
  <cellStyles count="3">
    <cellStyle name="Currency" xfId="1" builtinId="4"/>
    <cellStyle name="Normal" xfId="0" builtinId="0"/>
    <cellStyle name="Per cent" xfId="2" builtinId="5"/>
  </cellStyles>
  <dxfs count="324"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" formatCode="0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3" formatCode="0%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border outline="0">
        <top style="thin">
          <color rgb="FF44B3E1"/>
        </top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4" formatCode="0.00%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3" formatCode="0%"/>
      <border diagonalUp="0" diagonalDown="0" outline="0">
        <left/>
        <right/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border outline="0">
        <top style="thin">
          <color rgb="FF44B3E1"/>
        </top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numFmt numFmtId="167" formatCode="0.0%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2" formatCode="0.00"/>
    </dxf>
    <dxf>
      <numFmt numFmtId="2" formatCode="0.00"/>
    </dxf>
    <dxf>
      <numFmt numFmtId="2" formatCode="0.00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3" formatCode="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14" formatCode="0.00%"/>
    </dxf>
    <dxf>
      <numFmt numFmtId="166" formatCode="_([$$-409]* #,##0.00_);_([$$-409]* \(#,##0.00\);_([$$-409]* &quot;-&quot;??_);_(@_)"/>
    </dxf>
    <dxf>
      <numFmt numFmtId="14" formatCode="0.00%"/>
    </dxf>
    <dxf>
      <numFmt numFmtId="167" formatCode="0.0%"/>
    </dxf>
    <dxf>
      <numFmt numFmtId="167" formatCode="0.0%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/>
        <bottom style="thin">
          <color rgb="FF44B3E1"/>
        </bottom>
        <vertical/>
        <horizontal/>
      </border>
    </dxf>
    <dxf>
      <border outline="0">
        <left style="thin">
          <color rgb="FF44B3E1"/>
        </left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/>
        <bottom style="thin">
          <color rgb="FF44B3E1"/>
        </bottom>
        <vertical/>
        <horizontal/>
      </border>
    </dxf>
    <dxf>
      <border outline="0">
        <left style="thin">
          <color rgb="FF44B3E1"/>
        </left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numFmt numFmtId="2" formatCode="0.00"/>
    </dxf>
    <dxf>
      <numFmt numFmtId="166" formatCode="_([$$-409]* #,##0.00_);_([$$-409]* \(#,##0.00\);_([$$-409]* &quot;-&quot;??_);_(@_)"/>
    </dxf>
    <dxf>
      <numFmt numFmtId="14" formatCode="0.00%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fill>
        <patternFill patternType="solid">
          <fgColor rgb="FFC0E6F5"/>
          <bgColor rgb="FFC0E6F5"/>
        </patternFill>
      </fill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fill>
        <patternFill patternType="solid">
          <fgColor rgb="FFC0E6F5"/>
          <bgColor rgb="FFC0E6F5"/>
        </patternFill>
      </fill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fill>
        <patternFill patternType="solid">
          <fgColor rgb="FFC0E6F5"/>
          <bgColor rgb="FFC0E6F5"/>
        </patternFill>
      </fill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fill>
        <patternFill patternType="solid">
          <fgColor rgb="FFC0E6F5"/>
          <bgColor rgb="FFC0E6F5"/>
        </patternFill>
      </fill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6" formatCode="_([$$-409]* #,##0.00_);_([$$-409]* \(#,##0.00\);_([$$-409]* &quot;-&quot;??_);_(@_)"/>
      <fill>
        <patternFill patternType="solid">
          <fgColor rgb="FFC0E6F5"/>
          <bgColor rgb="FFC0E6F5"/>
        </patternFill>
      </fill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border outline="0">
        <top style="thin">
          <color rgb="FF44B3E1"/>
        </top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rgb="FFC0E6F5"/>
          <bgColor rgb="FFC0E6F5"/>
        </patternFill>
      </fill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/>
        <bottom style="thin">
          <color rgb="FF44B3E1"/>
        </bottom>
        <vertical/>
        <horizontal/>
      </border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/>
        <bottom style="thin">
          <color rgb="FF44B3E1"/>
        </bottom>
        <vertical/>
        <horizontal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/>
        <bottom style="thin">
          <color rgb="FF44B3E1"/>
        </bottom>
        <vertical/>
        <horizontal/>
      </border>
    </dxf>
    <dxf>
      <border outline="0">
        <left style="thin">
          <color rgb="FF44B3E1"/>
        </left>
        <top style="thin">
          <color rgb="FF44B3E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fill>
        <patternFill patternType="solid">
          <fgColor rgb="FFC0E6F5"/>
          <bgColor rgb="FFC0E6F5"/>
        </patternFill>
      </fill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fill>
        <patternFill patternType="solid">
          <fgColor rgb="FFC0E6F5"/>
          <bgColor rgb="FFC0E6F5"/>
        </patternFill>
      </fill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fill>
        <patternFill patternType="solid">
          <fgColor rgb="FFC0E6F5"/>
          <bgColor rgb="FFC0E6F5"/>
        </patternFill>
      </fill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fill>
        <patternFill patternType="solid">
          <fgColor rgb="FFC0E6F5"/>
          <bgColor rgb="FFC0E6F5"/>
        </patternFill>
      </fill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2" formatCode="0.00"/>
      <fill>
        <patternFill patternType="solid">
          <fgColor rgb="FFC0E6F5"/>
          <bgColor rgb="FFC0E6F5"/>
        </patternFill>
      </fill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border outline="0">
        <top style="thin">
          <color rgb="FF44B3E1"/>
        </top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rgb="FFC0E6F5"/>
          <bgColor rgb="FFC0E6F5"/>
        </patternFill>
      </fill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" formatCode="#,##0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rgb="FFC0E6F5"/>
          <bgColor rgb="FFC0E6F5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rgb="FFC0E6F5"/>
          <bgColor rgb="FFC0E6F5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rgb="FFC0E6F5"/>
          <bgColor rgb="FFC0E6F5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border outline="0">
        <top style="thin">
          <color rgb="FF44B3E1"/>
        </top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rgb="FFC0E6F5"/>
          <bgColor rgb="FFC0E6F5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numFmt numFmtId="13" formatCode="0%"/>
    </dxf>
    <dxf>
      <numFmt numFmtId="2" formatCode="0.00"/>
    </dxf>
    <dxf>
      <border outline="0">
        <left style="thin">
          <color theme="4" tint="0.39997558519241921"/>
        </left>
      </border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4" formatCode="0.00%"/>
      <border outline="0">
        <left style="thin">
          <color theme="4" tint="0.39997558519241921"/>
        </left>
      </border>
    </dxf>
    <dxf>
      <numFmt numFmtId="13" formatCode="0%"/>
    </dxf>
    <dxf>
      <border outline="0">
        <left style="thin">
          <color theme="4" tint="0.39997558519241921"/>
        </left>
      </border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top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3" formatCode="0%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3" formatCode="0%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376CFF"/>
      <color rgb="FFDE4000"/>
      <color rgb="FFC30000"/>
      <color rgb="FF8B0505"/>
      <color rgb="FFFFFFFF"/>
      <color rgb="FFD4B900"/>
      <color rgb="FFD99200"/>
      <color rgb="FFCACF54"/>
      <color rgb="FFBBCF6C"/>
      <color rgb="FF2E2E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'User Segmentation'!$B$89</c:f>
              <c:strCache>
                <c:ptCount val="1"/>
                <c:pt idx="0">
                  <c:v>&lt;50,000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'User Segmentation'!$A$90:$A$93</c:f>
              <c:strCache>
                <c:ptCount val="4"/>
                <c:pt idx="0">
                  <c:v>Gen Z</c:v>
                </c:pt>
                <c:pt idx="1">
                  <c:v>Millenial</c:v>
                </c:pt>
                <c:pt idx="2">
                  <c:v>Gen X</c:v>
                </c:pt>
                <c:pt idx="3">
                  <c:v>Baby Boomer</c:v>
                </c:pt>
              </c:strCache>
            </c:strRef>
          </c:cat>
          <c:val>
            <c:numRef>
              <c:f>'User Segmentation'!$B$90:$B$93</c:f>
              <c:numCache>
                <c:formatCode>0%</c:formatCode>
                <c:ptCount val="4"/>
                <c:pt idx="0">
                  <c:v>0.24749350133576017</c:v>
                </c:pt>
                <c:pt idx="1">
                  <c:v>0.14350907906832885</c:v>
                </c:pt>
                <c:pt idx="2">
                  <c:v>5.1369705136536888E-2</c:v>
                </c:pt>
                <c:pt idx="3">
                  <c:v>5.2408443104841371E-2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A-A34E-817C-5BAB7E903A2C}"/>
            </c:ext>
          </c:extLst>
        </c:ser>
        <c:ser>
          <c:idx val="1"/>
          <c:order val="1"/>
          <c:tx>
            <c:strRef>
              <c:f>'User Segmentation'!$C$89</c:f>
              <c:strCache>
                <c:ptCount val="1"/>
                <c:pt idx="0">
                  <c:v>50,000-1,00,000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'User Segmentation'!$A$90:$A$93</c:f>
              <c:strCache>
                <c:ptCount val="4"/>
                <c:pt idx="0">
                  <c:v>Gen Z</c:v>
                </c:pt>
                <c:pt idx="1">
                  <c:v>Millenial</c:v>
                </c:pt>
                <c:pt idx="2">
                  <c:v>Gen X</c:v>
                </c:pt>
                <c:pt idx="3">
                  <c:v>Baby Boomer</c:v>
                </c:pt>
              </c:strCache>
            </c:strRef>
          </c:cat>
          <c:val>
            <c:numRef>
              <c:f>'User Segmentation'!$C$90:$C$93</c:f>
              <c:numCache>
                <c:formatCode>0%</c:formatCode>
                <c:ptCount val="4"/>
                <c:pt idx="0">
                  <c:v>5.1841278278248297E-2</c:v>
                </c:pt>
                <c:pt idx="1">
                  <c:v>0.13026069078269628</c:v>
                </c:pt>
                <c:pt idx="2">
                  <c:v>8.5483541666412546E-2</c:v>
                </c:pt>
                <c:pt idx="3">
                  <c:v>3.9641858933258688E-2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EA-A34E-817C-5BAB7E903A2C}"/>
            </c:ext>
          </c:extLst>
        </c:ser>
        <c:ser>
          <c:idx val="2"/>
          <c:order val="2"/>
          <c:tx>
            <c:strRef>
              <c:f>'User Segmentation'!$D$89</c:f>
              <c:strCache>
                <c:ptCount val="1"/>
                <c:pt idx="0">
                  <c:v>&gt;1,00,000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8621880937852185E-17"/>
                  <c:y val="-3.136461997343114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7EA-A34E-817C-5BAB7E903A2C}"/>
                </c:ext>
              </c:extLst>
            </c:dLbl>
            <c:dLbl>
              <c:idx val="3"/>
              <c:layout>
                <c:manualLayout>
                  <c:x val="0"/>
                  <c:y val="-5.631525226013414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7EA-A34E-817C-5BAB7E903A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'User Segmentation'!$A$90:$A$93</c:f>
              <c:strCache>
                <c:ptCount val="4"/>
                <c:pt idx="0">
                  <c:v>Gen Z</c:v>
                </c:pt>
                <c:pt idx="1">
                  <c:v>Millenial</c:v>
                </c:pt>
                <c:pt idx="2">
                  <c:v>Gen X</c:v>
                </c:pt>
                <c:pt idx="3">
                  <c:v>Baby Boomer</c:v>
                </c:pt>
              </c:strCache>
            </c:strRef>
          </c:cat>
          <c:val>
            <c:numRef>
              <c:f>'User Segmentation'!$D$90:$D$93</c:f>
              <c:numCache>
                <c:formatCode>0%</c:formatCode>
                <c:ptCount val="4"/>
                <c:pt idx="0">
                  <c:v>1.2555107148974806E-2</c:v>
                </c:pt>
                <c:pt idx="1">
                  <c:v>9.4641007189193535E-2</c:v>
                </c:pt>
                <c:pt idx="2">
                  <c:v>6.7754328363001354E-2</c:v>
                </c:pt>
                <c:pt idx="3">
                  <c:v>2.3041458992747243E-2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EA-A34E-817C-5BAB7E903A2C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15240223"/>
        <c:axId val="1683871839"/>
      </c:barChart>
      <c:catAx>
        <c:axId val="101524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871839"/>
        <c:crosses val="autoZero"/>
        <c:auto val="1"/>
        <c:lblAlgn val="ctr"/>
        <c:lblOffset val="100"/>
        <c:noMultiLvlLbl val="0"/>
      </c:catAx>
      <c:valAx>
        <c:axId val="16838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24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Loan</a:t>
            </a:r>
            <a:r>
              <a:rPr lang="en-GB" baseline="0"/>
              <a:t> Originations by Credit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D2-044C-BB0A-7E7F1306010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shade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D2-044C-BB0A-7E7F1306010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shade val="9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9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9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D2-044C-BB0A-7E7F1306010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tint val="9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9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9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2D2-044C-BB0A-7E7F1306010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1">
                      <a:tint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2D2-044C-BB0A-7E7F1306010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2D2-044C-BB0A-7E7F130601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'Default Rates'!$I$4:$I$9</c:f>
              <c:strCache>
                <c:ptCount val="6"/>
                <c:pt idx="0">
                  <c:v>No Score</c:v>
                </c:pt>
                <c:pt idx="1">
                  <c:v>Deep Subprime</c:v>
                </c:pt>
                <c:pt idx="2">
                  <c:v>Subprime</c:v>
                </c:pt>
                <c:pt idx="3">
                  <c:v>Near Prime</c:v>
                </c:pt>
                <c:pt idx="4">
                  <c:v>Prime</c:v>
                </c:pt>
                <c:pt idx="5">
                  <c:v>Super Prime</c:v>
                </c:pt>
              </c:strCache>
            </c:strRef>
          </c:cat>
          <c:val>
            <c:numRef>
              <c:f>'Default Rates'!$J$4:$J$9</c:f>
              <c:numCache>
                <c:formatCode>0.0%</c:formatCode>
                <c:ptCount val="6"/>
                <c:pt idx="0">
                  <c:v>3.9E-2</c:v>
                </c:pt>
                <c:pt idx="1">
                  <c:v>0.45</c:v>
                </c:pt>
                <c:pt idx="2">
                  <c:v>0.16</c:v>
                </c:pt>
                <c:pt idx="3">
                  <c:v>0.127</c:v>
                </c:pt>
                <c:pt idx="4">
                  <c:v>0.13200000000000001</c:v>
                </c:pt>
                <c:pt idx="5">
                  <c:v>9.0999999999999998E-2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6-2C46-9CA2-F07F41A9A0E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%</a:t>
            </a:r>
            <a:r>
              <a:rPr lang="en-GB" baseline="0"/>
              <a:t> of Profitable Loans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71-2744-919D-4B65E397C4E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571-2744-919D-4B65E397C4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'Contribution Margin'!$A$31:$B$31</c:f>
              <c:strCache>
                <c:ptCount val="2"/>
                <c:pt idx="0">
                  <c:v>%Profitable Loans </c:v>
                </c:pt>
                <c:pt idx="1">
                  <c:v>%Unprofitable Loans</c:v>
                </c:pt>
              </c:strCache>
            </c:strRef>
          </c:cat>
          <c:val>
            <c:numRef>
              <c:f>'Contribution Margin'!$A$32:$B$32</c:f>
              <c:numCache>
                <c:formatCode>0.0%</c:formatCode>
                <c:ptCount val="2"/>
                <c:pt idx="0">
                  <c:v>0.38651060953413835</c:v>
                </c:pt>
                <c:pt idx="1">
                  <c:v>0.61348939046586159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19-5B42-A5B5-C07000B4F7C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400" b="1" baseline="0">
                <a:solidFill>
                  <a:schemeClr val="tx1"/>
                </a:solidFill>
              </a:rPr>
              <a:t>Contribution Margin vs Change in Ticket Size</a:t>
            </a:r>
          </a:p>
        </c:rich>
      </c:tx>
      <c:layout>
        <c:manualLayout>
          <c:xMode val="edge"/>
          <c:yMode val="edge"/>
          <c:x val="0.22155973967302181"/>
          <c:y val="3.35966910480084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834183818076243E-2"/>
          <c:y val="9.386032129955689E-2"/>
          <c:w val="0.77858134029253701"/>
          <c:h val="0.80478200715416837"/>
        </c:manualLayout>
      </c:layout>
      <c:scatterChart>
        <c:scatterStyle val="lineMarker"/>
        <c:varyColors val="0"/>
        <c:ser>
          <c:idx val="0"/>
          <c:order val="0"/>
          <c:tx>
            <c:strRef>
              <c:f>'Dynamic CM'!$B$8</c:f>
              <c:strCache>
                <c:ptCount val="1"/>
                <c:pt idx="0">
                  <c:v>Gen Z,
&lt;50,000,
Deep Subprime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'Dynamic CM'!$A$9:$A$32</c:f>
              <c:numCache>
                <c:formatCode>0%</c:formatCode>
                <c:ptCount val="24"/>
                <c:pt idx="0">
                  <c:v>-0.75</c:v>
                </c:pt>
                <c:pt idx="1">
                  <c:v>-0.5</c:v>
                </c:pt>
                <c:pt idx="2">
                  <c:v>-0.25</c:v>
                </c:pt>
                <c:pt idx="3">
                  <c:v>0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  <c:pt idx="8">
                  <c:v>1.25</c:v>
                </c:pt>
                <c:pt idx="9">
                  <c:v>1.5</c:v>
                </c:pt>
                <c:pt idx="10">
                  <c:v>1.75</c:v>
                </c:pt>
                <c:pt idx="11">
                  <c:v>2</c:v>
                </c:pt>
                <c:pt idx="12">
                  <c:v>2.25</c:v>
                </c:pt>
                <c:pt idx="13">
                  <c:v>2.5</c:v>
                </c:pt>
                <c:pt idx="14">
                  <c:v>2.75</c:v>
                </c:pt>
                <c:pt idx="15">
                  <c:v>3</c:v>
                </c:pt>
                <c:pt idx="16">
                  <c:v>3.25</c:v>
                </c:pt>
                <c:pt idx="17">
                  <c:v>3.5</c:v>
                </c:pt>
                <c:pt idx="18">
                  <c:v>3.75</c:v>
                </c:pt>
                <c:pt idx="19">
                  <c:v>4</c:v>
                </c:pt>
                <c:pt idx="20">
                  <c:v>4.25</c:v>
                </c:pt>
                <c:pt idx="21">
                  <c:v>4.5</c:v>
                </c:pt>
                <c:pt idx="22">
                  <c:v>4.75</c:v>
                </c:pt>
                <c:pt idx="23">
                  <c:v>5</c:v>
                </c:pt>
              </c:numCache>
            </c:numRef>
          </c:xVal>
          <c:yVal>
            <c:numRef>
              <c:f>'Dynamic CM'!$B$9:$B$32</c:f>
              <c:numCache>
                <c:formatCode>_([$$-409]* #,##0.00_);_([$$-409]* \(#,##0.00\);_([$$-409]* "-"??_);_(@_)</c:formatCode>
                <c:ptCount val="24"/>
                <c:pt idx="0">
                  <c:v>-2.8052599652777777</c:v>
                </c:pt>
                <c:pt idx="1">
                  <c:v>-2.6105199305555558</c:v>
                </c:pt>
                <c:pt idx="2">
                  <c:v>-2.4157798958333334</c:v>
                </c:pt>
                <c:pt idx="3">
                  <c:v>-2.2210398611111115</c:v>
                </c:pt>
                <c:pt idx="4">
                  <c:v>-2.9494372554241353</c:v>
                </c:pt>
                <c:pt idx="5">
                  <c:v>-4.2637890102622329</c:v>
                </c:pt>
                <c:pt idx="6">
                  <c:v>-6.2673937383921867</c:v>
                </c:pt>
                <c:pt idx="7">
                  <c:v>-9.0616543493902668</c:v>
                </c:pt>
                <c:pt idx="8">
                  <c:v>-12.746380951113062</c:v>
                </c:pt>
                <c:pt idx="9">
                  <c:v>-17.420012906563663</c:v>
                </c:pt>
                <c:pt idx="10">
                  <c:v>-23.179788395757878</c:v>
                </c:pt>
                <c:pt idx="11">
                  <c:v>-30.12187798593818</c:v>
                </c:pt>
                <c:pt idx="12">
                  <c:v>-38.341492469242475</c:v>
                </c:pt>
                <c:pt idx="13">
                  <c:v>-47.932971678710103</c:v>
                </c:pt>
                <c:pt idx="14">
                  <c:v>-58.989858855385776</c:v>
                </c:pt>
                <c:pt idx="15">
                  <c:v>-71.604963788513984</c:v>
                </c:pt>
                <c:pt idx="16">
                  <c:v>-85.870417063549596</c:v>
                </c:pt>
                <c:pt idx="17">
                  <c:v>-101.87771715051711</c:v>
                </c:pt>
                <c:pt idx="18">
                  <c:v>-119.71777164497109</c:v>
                </c:pt>
                <c:pt idx="19">
                  <c:v>-139.48093367334951</c:v>
                </c:pt>
                <c:pt idx="20">
                  <c:v>-161.25703425513765</c:v>
                </c:pt>
                <c:pt idx="21">
                  <c:v>-185.13541125111192</c:v>
                </c:pt>
                <c:pt idx="22">
                  <c:v>-211.20493540358089</c:v>
                </c:pt>
                <c:pt idx="23">
                  <c:v>-239.55403387990108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69-6944-83F3-71F526602E80}"/>
            </c:ext>
          </c:extLst>
        </c:ser>
        <c:ser>
          <c:idx val="1"/>
          <c:order val="1"/>
          <c:tx>
            <c:strRef>
              <c:f>'Dynamic CM'!$C$8</c:f>
              <c:strCache>
                <c:ptCount val="1"/>
                <c:pt idx="0">
                  <c:v>Millenial,
50,000-1,00,000,
Near Prime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'Dynamic CM'!$A$9:$A$32</c:f>
              <c:numCache>
                <c:formatCode>0%</c:formatCode>
                <c:ptCount val="24"/>
                <c:pt idx="0">
                  <c:v>-0.75</c:v>
                </c:pt>
                <c:pt idx="1">
                  <c:v>-0.5</c:v>
                </c:pt>
                <c:pt idx="2">
                  <c:v>-0.25</c:v>
                </c:pt>
                <c:pt idx="3">
                  <c:v>0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  <c:pt idx="8">
                  <c:v>1.25</c:v>
                </c:pt>
                <c:pt idx="9">
                  <c:v>1.5</c:v>
                </c:pt>
                <c:pt idx="10">
                  <c:v>1.75</c:v>
                </c:pt>
                <c:pt idx="11">
                  <c:v>2</c:v>
                </c:pt>
                <c:pt idx="12">
                  <c:v>2.25</c:v>
                </c:pt>
                <c:pt idx="13">
                  <c:v>2.5</c:v>
                </c:pt>
                <c:pt idx="14">
                  <c:v>2.75</c:v>
                </c:pt>
                <c:pt idx="15">
                  <c:v>3</c:v>
                </c:pt>
                <c:pt idx="16">
                  <c:v>3.25</c:v>
                </c:pt>
                <c:pt idx="17">
                  <c:v>3.5</c:v>
                </c:pt>
                <c:pt idx="18">
                  <c:v>3.75</c:v>
                </c:pt>
                <c:pt idx="19">
                  <c:v>4</c:v>
                </c:pt>
                <c:pt idx="20">
                  <c:v>4.25</c:v>
                </c:pt>
                <c:pt idx="21">
                  <c:v>4.5</c:v>
                </c:pt>
                <c:pt idx="22">
                  <c:v>4.75</c:v>
                </c:pt>
                <c:pt idx="23">
                  <c:v>5</c:v>
                </c:pt>
              </c:numCache>
            </c:numRef>
          </c:xVal>
          <c:yVal>
            <c:numRef>
              <c:f>'Dynamic CM'!$C$9:$C$32</c:f>
              <c:numCache>
                <c:formatCode>_([$$-409]* #,##0.00_);_([$$-409]* \(#,##0.00\);_([$$-409]* "-"??_);_(@_)</c:formatCode>
                <c:ptCount val="24"/>
                <c:pt idx="0">
                  <c:v>-1.4127797327579368</c:v>
                </c:pt>
                <c:pt idx="1">
                  <c:v>0.1744405344841265</c:v>
                </c:pt>
                <c:pt idx="2">
                  <c:v>1.7616608017261908</c:v>
                </c:pt>
                <c:pt idx="3">
                  <c:v>3.3488810689682529</c:v>
                </c:pt>
                <c:pt idx="4">
                  <c:v>4.5900323367980143</c:v>
                </c:pt>
                <c:pt idx="5">
                  <c:v>5.6651480593968335</c:v>
                </c:pt>
                <c:pt idx="6">
                  <c:v>6.5642136403234828</c:v>
                </c:pt>
                <c:pt idx="7">
                  <c:v>7.2783021755654058</c:v>
                </c:pt>
                <c:pt idx="8">
                  <c:v>7.799321443607738</c:v>
                </c:pt>
                <c:pt idx="9">
                  <c:v>8.1198437034799973</c:v>
                </c:pt>
                <c:pt idx="10">
                  <c:v>8.2329850264689401</c:v>
                </c:pt>
                <c:pt idx="11">
                  <c:v>8.1323162581332955</c:v>
                </c:pt>
                <c:pt idx="12">
                  <c:v>7.8117952172413574</c:v>
                </c:pt>
                <c:pt idx="13">
                  <c:v>7.265713732835307</c:v>
                </c:pt>
                <c:pt idx="14">
                  <c:v>6.4886553905605382</c:v>
                </c:pt>
                <c:pt idx="15">
                  <c:v>5.4754612196420602</c:v>
                </c:pt>
                <c:pt idx="16">
                  <c:v>4.2212014034127634</c:v>
                </c:pt>
                <c:pt idx="17">
                  <c:v>2.721151649251599</c:v>
                </c:pt>
                <c:pt idx="18">
                  <c:v>0.9707732242416256</c:v>
                </c:pt>
                <c:pt idx="19">
                  <c:v>-1.0343040821871341</c:v>
                </c:pt>
                <c:pt idx="20">
                  <c:v>-3.2982966277325119</c:v>
                </c:pt>
                <c:pt idx="21">
                  <c:v>-5.8252796487109961</c:v>
                </c:pt>
                <c:pt idx="22">
                  <c:v>-8.61919838881321</c:v>
                </c:pt>
                <c:pt idx="23">
                  <c:v>-11.683877889890589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69-6944-83F3-71F526602E80}"/>
            </c:ext>
          </c:extLst>
        </c:ser>
        <c:ser>
          <c:idx val="2"/>
          <c:order val="2"/>
          <c:tx>
            <c:strRef>
              <c:f>'Dynamic CM'!$D$8</c:f>
              <c:strCache>
                <c:ptCount val="1"/>
                <c:pt idx="0">
                  <c:v>Gen X,
&gt;1,00,000,
Super Prime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'Dynamic CM'!$A$9:$A$32</c:f>
              <c:numCache>
                <c:formatCode>0%</c:formatCode>
                <c:ptCount val="24"/>
                <c:pt idx="0">
                  <c:v>-0.75</c:v>
                </c:pt>
                <c:pt idx="1">
                  <c:v>-0.5</c:v>
                </c:pt>
                <c:pt idx="2">
                  <c:v>-0.25</c:v>
                </c:pt>
                <c:pt idx="3">
                  <c:v>0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  <c:pt idx="8">
                  <c:v>1.25</c:v>
                </c:pt>
                <c:pt idx="9">
                  <c:v>1.5</c:v>
                </c:pt>
                <c:pt idx="10">
                  <c:v>1.75</c:v>
                </c:pt>
                <c:pt idx="11">
                  <c:v>2</c:v>
                </c:pt>
                <c:pt idx="12">
                  <c:v>2.25</c:v>
                </c:pt>
                <c:pt idx="13">
                  <c:v>2.5</c:v>
                </c:pt>
                <c:pt idx="14">
                  <c:v>2.75</c:v>
                </c:pt>
                <c:pt idx="15">
                  <c:v>3</c:v>
                </c:pt>
                <c:pt idx="16">
                  <c:v>3.25</c:v>
                </c:pt>
                <c:pt idx="17">
                  <c:v>3.5</c:v>
                </c:pt>
                <c:pt idx="18">
                  <c:v>3.75</c:v>
                </c:pt>
                <c:pt idx="19">
                  <c:v>4</c:v>
                </c:pt>
                <c:pt idx="20">
                  <c:v>4.25</c:v>
                </c:pt>
                <c:pt idx="21">
                  <c:v>4.5</c:v>
                </c:pt>
                <c:pt idx="22">
                  <c:v>4.75</c:v>
                </c:pt>
                <c:pt idx="23">
                  <c:v>5</c:v>
                </c:pt>
              </c:numCache>
            </c:numRef>
          </c:xVal>
          <c:yVal>
            <c:numRef>
              <c:f>'Dynamic CM'!$D$9:$D$32</c:f>
              <c:numCache>
                <c:formatCode>_([$$-409]* #,##0.00_);_([$$-409]* \(#,##0.00\);_([$$-409]* "-"??_);_(@_)</c:formatCode>
                <c:ptCount val="24"/>
                <c:pt idx="0">
                  <c:v>0.93026959325396863</c:v>
                </c:pt>
                <c:pt idx="1">
                  <c:v>4.8605391865079373</c:v>
                </c:pt>
                <c:pt idx="2">
                  <c:v>8.790808779761905</c:v>
                </c:pt>
                <c:pt idx="3">
                  <c:v>12.721078373015875</c:v>
                </c:pt>
                <c:pt idx="4">
                  <c:v>16.1083352700558</c:v>
                </c:pt>
                <c:pt idx="5">
                  <c:v>19.269006837798813</c:v>
                </c:pt>
                <c:pt idx="6">
                  <c:v>22.20012527676564</c:v>
                </c:pt>
                <c:pt idx="7">
                  <c:v>24.899154909394152</c:v>
                </c:pt>
                <c:pt idx="8">
                  <c:v>27.363878698149943</c:v>
                </c:pt>
                <c:pt idx="9">
                  <c:v>29.592324740476251</c:v>
                </c:pt>
                <c:pt idx="10">
                  <c:v>31.582715827919106</c:v>
                </c:pt>
                <c:pt idx="11">
                  <c:v>33.333433279907069</c:v>
                </c:pt>
                <c:pt idx="12">
                  <c:v>34.842990100889793</c:v>
                </c:pt>
                <c:pt idx="13">
                  <c:v>36.110010492603699</c:v>
                </c:pt>
                <c:pt idx="14">
                  <c:v>37.133213851442605</c:v>
                </c:pt>
                <c:pt idx="15">
                  <c:v>37.91140202392414</c:v>
                </c:pt>
                <c:pt idx="16">
                  <c:v>38.443448987369464</c:v>
                </c:pt>
                <c:pt idx="17">
                  <c:v>38.728292373940825</c:v>
                </c:pt>
                <c:pt idx="18">
                  <c:v>38.764926421370546</c:v>
                </c:pt>
                <c:pt idx="19">
                  <c:v>38.552396045525498</c:v>
                </c:pt>
                <c:pt idx="20">
                  <c:v>38.089791807509506</c:v>
                </c:pt>
                <c:pt idx="21">
                  <c:v>37.376245602981975</c:v>
                </c:pt>
                <c:pt idx="22">
                  <c:v>36.410926941090651</c:v>
                </c:pt>
                <c:pt idx="23">
                  <c:v>35.193039709611185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69-6944-83F3-71F526602E80}"/>
            </c:ext>
          </c:extLst>
        </c:ser>
        <c:ser>
          <c:idx val="3"/>
          <c:order val="3"/>
          <c:tx>
            <c:strRef>
              <c:f>'Dynamic CM'!$E$8</c:f>
              <c:strCache>
                <c:ptCount val="1"/>
                <c:pt idx="0">
                  <c:v>Gen Z,
50,000-1,00,000,
Near Prime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'Dynamic CM'!$A$9:$A$32</c:f>
              <c:numCache>
                <c:formatCode>0%</c:formatCode>
                <c:ptCount val="24"/>
                <c:pt idx="0">
                  <c:v>-0.75</c:v>
                </c:pt>
                <c:pt idx="1">
                  <c:v>-0.5</c:v>
                </c:pt>
                <c:pt idx="2">
                  <c:v>-0.25</c:v>
                </c:pt>
                <c:pt idx="3">
                  <c:v>0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  <c:pt idx="8">
                  <c:v>1.25</c:v>
                </c:pt>
                <c:pt idx="9">
                  <c:v>1.5</c:v>
                </c:pt>
                <c:pt idx="10">
                  <c:v>1.75</c:v>
                </c:pt>
                <c:pt idx="11">
                  <c:v>2</c:v>
                </c:pt>
                <c:pt idx="12">
                  <c:v>2.25</c:v>
                </c:pt>
                <c:pt idx="13">
                  <c:v>2.5</c:v>
                </c:pt>
                <c:pt idx="14">
                  <c:v>2.75</c:v>
                </c:pt>
                <c:pt idx="15">
                  <c:v>3</c:v>
                </c:pt>
                <c:pt idx="16">
                  <c:v>3.25</c:v>
                </c:pt>
                <c:pt idx="17">
                  <c:v>3.5</c:v>
                </c:pt>
                <c:pt idx="18">
                  <c:v>3.75</c:v>
                </c:pt>
                <c:pt idx="19">
                  <c:v>4</c:v>
                </c:pt>
                <c:pt idx="20">
                  <c:v>4.25</c:v>
                </c:pt>
                <c:pt idx="21">
                  <c:v>4.5</c:v>
                </c:pt>
                <c:pt idx="22">
                  <c:v>4.75</c:v>
                </c:pt>
                <c:pt idx="23">
                  <c:v>5</c:v>
                </c:pt>
              </c:numCache>
            </c:numRef>
          </c:xVal>
          <c:yVal>
            <c:numRef>
              <c:f>'Dynamic CM'!$E$9:$E$32</c:f>
              <c:numCache>
                <c:formatCode>_([$$-409]* #,##0.00_);_([$$-409]* \(#,##0.00\);_([$$-409]* "-"??_);_(@_)</c:formatCode>
                <c:ptCount val="24"/>
                <c:pt idx="0">
                  <c:v>-1.9470667485119046</c:v>
                </c:pt>
                <c:pt idx="1">
                  <c:v>-0.89413349702380951</c:v>
                </c:pt>
                <c:pt idx="2">
                  <c:v>0.1587997544642854</c:v>
                </c:pt>
                <c:pt idx="3">
                  <c:v>1.211733005952381</c:v>
                </c:pt>
                <c:pt idx="4">
                  <c:v>2.0250873704922729</c:v>
                </c:pt>
                <c:pt idx="5">
                  <c:v>2.7234975730649826</c:v>
                </c:pt>
                <c:pt idx="6">
                  <c:v>3.3000306440237179</c:v>
                </c:pt>
                <c:pt idx="7">
                  <c:v>3.7485066084765992</c:v>
                </c:pt>
                <c:pt idx="8">
                  <c:v>4.0633233309339962</c:v>
                </c:pt>
                <c:pt idx="9">
                  <c:v>4.2393386867985967</c:v>
                </c:pt>
                <c:pt idx="10">
                  <c:v>4.2717870253425012</c:v>
                </c:pt>
                <c:pt idx="11">
                  <c:v>4.1562175299144855</c:v>
                </c:pt>
                <c:pt idx="12">
                  <c:v>3.8884472801816479</c:v>
                </c:pt>
                <c:pt idx="13">
                  <c:v>3.4645245866054566</c:v>
                </c:pt>
                <c:pt idx="14">
                  <c:v>2.8806997387971442</c:v>
                </c:pt>
                <c:pt idx="15">
                  <c:v>2.13340125107562</c:v>
                </c:pt>
                <c:pt idx="16">
                  <c:v>1.2192162780488687</c:v>
                </c:pt>
                <c:pt idx="17">
                  <c:v>0.13487425584179036</c:v>
                </c:pt>
                <c:pt idx="18">
                  <c:v>-1.1227669189476543</c:v>
                </c:pt>
                <c:pt idx="19">
                  <c:v>-2.5567326839803499</c:v>
                </c:pt>
                <c:pt idx="20">
                  <c:v>-4.1699419666549957</c:v>
                </c:pt>
                <c:pt idx="21">
                  <c:v>-5.9652159979469346</c:v>
                </c:pt>
                <c:pt idx="22">
                  <c:v>-7.9452860166950927</c:v>
                </c:pt>
                <c:pt idx="23">
                  <c:v>-10.112800047631097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69-6944-83F3-71F526602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833743"/>
        <c:axId val="863835455"/>
      </c:scatterChart>
      <c:valAx>
        <c:axId val="863833743"/>
        <c:scaling>
          <c:orientation val="minMax"/>
          <c:max val="5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aseline="0">
                    <a:solidFill>
                      <a:schemeClr val="tx1"/>
                    </a:solidFill>
                  </a:rPr>
                  <a:t>Delta ATS</a:t>
                </a:r>
              </a:p>
            </c:rich>
          </c:tx>
          <c:layout>
            <c:manualLayout>
              <c:xMode val="edge"/>
              <c:yMode val="edge"/>
              <c:x val="0.46236920120280328"/>
              <c:y val="0.948719932398984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835455"/>
        <c:crosses val="autoZero"/>
        <c:crossBetween val="midCat"/>
        <c:majorUnit val="1"/>
        <c:minorUnit val="0.2"/>
      </c:valAx>
      <c:valAx>
        <c:axId val="86383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aseline="0">
                    <a:solidFill>
                      <a:schemeClr val="tx1"/>
                    </a:solidFill>
                  </a:rPr>
                  <a:t>Contribution Margin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.00_);\([$$-409]#,##0.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833743"/>
        <c:crossesAt val="0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939060174348713"/>
          <c:y val="0.12891351384061836"/>
          <c:w val="0.12764699293837045"/>
          <c:h val="0.722701522369380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400" b="1">
                <a:solidFill>
                  <a:schemeClr val="tx1"/>
                </a:solidFill>
              </a:rPr>
              <a:t>User</a:t>
            </a:r>
            <a:r>
              <a:rPr lang="en-GB" sz="2400" b="1" baseline="0">
                <a:solidFill>
                  <a:schemeClr val="tx1"/>
                </a:solidFill>
              </a:rPr>
              <a:t> Base by Generation</a:t>
            </a:r>
            <a:endParaRPr lang="en-GB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'User Segmentation'!$B$89</c:f>
              <c:strCache>
                <c:ptCount val="1"/>
                <c:pt idx="0">
                  <c:v>&lt;50,000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'User Segmentation'!$A$90:$A$93</c:f>
              <c:strCache>
                <c:ptCount val="4"/>
                <c:pt idx="0">
                  <c:v>Gen Z</c:v>
                </c:pt>
                <c:pt idx="1">
                  <c:v>Millenial</c:v>
                </c:pt>
                <c:pt idx="2">
                  <c:v>Gen X</c:v>
                </c:pt>
                <c:pt idx="3">
                  <c:v>Baby Boomer</c:v>
                </c:pt>
              </c:strCache>
            </c:strRef>
          </c:cat>
          <c:val>
            <c:numRef>
              <c:f>'User Segmentation'!$B$90:$B$93</c:f>
              <c:numCache>
                <c:formatCode>0%</c:formatCode>
                <c:ptCount val="4"/>
                <c:pt idx="0">
                  <c:v>0.24749350133576017</c:v>
                </c:pt>
                <c:pt idx="1">
                  <c:v>0.14350907906832885</c:v>
                </c:pt>
                <c:pt idx="2">
                  <c:v>5.1369705136536888E-2</c:v>
                </c:pt>
                <c:pt idx="3">
                  <c:v>5.2408443104841371E-2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B-0C4C-8856-E11C2FA75B23}"/>
            </c:ext>
          </c:extLst>
        </c:ser>
        <c:ser>
          <c:idx val="1"/>
          <c:order val="1"/>
          <c:tx>
            <c:strRef>
              <c:f>'User Segmentation'!$C$89</c:f>
              <c:strCache>
                <c:ptCount val="1"/>
                <c:pt idx="0">
                  <c:v>50,000-1,00,000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'User Segmentation'!$A$90:$A$93</c:f>
              <c:strCache>
                <c:ptCount val="4"/>
                <c:pt idx="0">
                  <c:v>Gen Z</c:v>
                </c:pt>
                <c:pt idx="1">
                  <c:v>Millenial</c:v>
                </c:pt>
                <c:pt idx="2">
                  <c:v>Gen X</c:v>
                </c:pt>
                <c:pt idx="3">
                  <c:v>Baby Boomer</c:v>
                </c:pt>
              </c:strCache>
            </c:strRef>
          </c:cat>
          <c:val>
            <c:numRef>
              <c:f>'User Segmentation'!$C$90:$C$93</c:f>
              <c:numCache>
                <c:formatCode>0%</c:formatCode>
                <c:ptCount val="4"/>
                <c:pt idx="0">
                  <c:v>5.1841278278248297E-2</c:v>
                </c:pt>
                <c:pt idx="1">
                  <c:v>0.13026069078269628</c:v>
                </c:pt>
                <c:pt idx="2">
                  <c:v>8.5483541666412546E-2</c:v>
                </c:pt>
                <c:pt idx="3">
                  <c:v>3.9641858933258688E-2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0B-0C4C-8856-E11C2FA75B23}"/>
            </c:ext>
          </c:extLst>
        </c:ser>
        <c:ser>
          <c:idx val="2"/>
          <c:order val="2"/>
          <c:tx>
            <c:strRef>
              <c:f>'User Segmentation'!$D$89</c:f>
              <c:strCache>
                <c:ptCount val="1"/>
                <c:pt idx="0">
                  <c:v>&gt;1,00,000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8621880937852185E-17"/>
                  <c:y val="-3.136461997343114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0B-0C4C-8856-E11C2FA75B23}"/>
                </c:ext>
              </c:extLst>
            </c:dLbl>
            <c:dLbl>
              <c:idx val="3"/>
              <c:layout>
                <c:manualLayout>
                  <c:x val="-2.048719848530237E-3"/>
                  <c:y val="-5.405602530209364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0B-0C4C-8856-E11C2FA75B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'User Segmentation'!$A$90:$A$93</c:f>
              <c:strCache>
                <c:ptCount val="4"/>
                <c:pt idx="0">
                  <c:v>Gen Z</c:v>
                </c:pt>
                <c:pt idx="1">
                  <c:v>Millenial</c:v>
                </c:pt>
                <c:pt idx="2">
                  <c:v>Gen X</c:v>
                </c:pt>
                <c:pt idx="3">
                  <c:v>Baby Boomer</c:v>
                </c:pt>
              </c:strCache>
            </c:strRef>
          </c:cat>
          <c:val>
            <c:numRef>
              <c:f>'User Segmentation'!$D$90:$D$93</c:f>
              <c:numCache>
                <c:formatCode>0%</c:formatCode>
                <c:ptCount val="4"/>
                <c:pt idx="0">
                  <c:v>1.2555107148974806E-2</c:v>
                </c:pt>
                <c:pt idx="1">
                  <c:v>9.4641007189193535E-2</c:v>
                </c:pt>
                <c:pt idx="2">
                  <c:v>6.7754328363001354E-2</c:v>
                </c:pt>
                <c:pt idx="3">
                  <c:v>2.3041458992747243E-2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0B-0C4C-8856-E11C2FA75B23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15240223"/>
        <c:axId val="1683871839"/>
      </c:barChart>
      <c:catAx>
        <c:axId val="101524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871839"/>
        <c:crosses val="autoZero"/>
        <c:auto val="1"/>
        <c:lblAlgn val="ctr"/>
        <c:lblOffset val="100"/>
        <c:noMultiLvlLbl val="0"/>
      </c:catAx>
      <c:valAx>
        <c:axId val="16838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24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sz="2400"/>
              <a:t>Loan</a:t>
            </a:r>
            <a:r>
              <a:rPr lang="en-GB" sz="2400" baseline="0"/>
              <a:t> Originations by Credit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33-8F40-989B-50EEED1D01B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33-8F40-989B-50EEED1D01B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33-8F40-989B-50EEED1D01B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33-8F40-989B-50EEED1D01B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C33-8F40-989B-50EEED1D01B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C33-8F40-989B-50EEED1D01B5}"/>
              </c:ext>
            </c:extLst>
          </c:dPt>
          <c:dLbls>
            <c:dLbl>
              <c:idx val="0"/>
              <c:layout>
                <c:manualLayout>
                  <c:x val="1.4996271955203816E-2"/>
                  <c:y val="1.569520664555961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C33-8F40-989B-50EEED1D01B5}"/>
                </c:ext>
              </c:extLst>
            </c:dLbl>
            <c:dLbl>
              <c:idx val="1"/>
              <c:layout>
                <c:manualLayout>
                  <c:x val="-0.20093007997656004"/>
                  <c:y val="-3.47375554302481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C33-8F40-989B-50EEED1D01B5}"/>
                </c:ext>
              </c:extLst>
            </c:dLbl>
            <c:dLbl>
              <c:idx val="2"/>
              <c:layout>
                <c:manualLayout>
                  <c:x val="9.5888185617451493E-2"/>
                  <c:y val="-0.1462040580055033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C33-8F40-989B-50EEED1D01B5}"/>
                </c:ext>
              </c:extLst>
            </c:dLbl>
            <c:dLbl>
              <c:idx val="3"/>
              <c:layout>
                <c:manualLayout>
                  <c:x val="5.5016374952544932E-2"/>
                  <c:y val="-1.759741425749685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C33-8F40-989B-50EEED1D01B5}"/>
                </c:ext>
              </c:extLst>
            </c:dLbl>
            <c:dLbl>
              <c:idx val="4"/>
              <c:layout>
                <c:manualLayout>
                  <c:x val="7.5022329480743083E-2"/>
                  <c:y val="8.217236416047288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C33-8F40-989B-50EEED1D01B5}"/>
                </c:ext>
              </c:extLst>
            </c:dLbl>
            <c:dLbl>
              <c:idx val="5"/>
              <c:layout>
                <c:manualLayout>
                  <c:x val="7.3878977364916443E-2"/>
                  <c:y val="0.1459756385918507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1823003199634033"/>
                      <c:h val="8.532213725317079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6C33-8F40-989B-50EEED1D01B5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'Default Rates'!$I$4:$I$9</c:f>
              <c:strCache>
                <c:ptCount val="6"/>
                <c:pt idx="0">
                  <c:v>No Score</c:v>
                </c:pt>
                <c:pt idx="1">
                  <c:v>Deep Subprime</c:v>
                </c:pt>
                <c:pt idx="2">
                  <c:v>Subprime</c:v>
                </c:pt>
                <c:pt idx="3">
                  <c:v>Near Prime</c:v>
                </c:pt>
                <c:pt idx="4">
                  <c:v>Prime</c:v>
                </c:pt>
                <c:pt idx="5">
                  <c:v>Super Prime</c:v>
                </c:pt>
              </c:strCache>
            </c:strRef>
          </c:cat>
          <c:val>
            <c:numRef>
              <c:f>'Default Rates'!$J$4:$J$9</c:f>
              <c:numCache>
                <c:formatCode>0.0%</c:formatCode>
                <c:ptCount val="6"/>
                <c:pt idx="0">
                  <c:v>3.9E-2</c:v>
                </c:pt>
                <c:pt idx="1">
                  <c:v>0.45</c:v>
                </c:pt>
                <c:pt idx="2">
                  <c:v>0.16</c:v>
                </c:pt>
                <c:pt idx="3">
                  <c:v>0.127</c:v>
                </c:pt>
                <c:pt idx="4">
                  <c:v>0.13200000000000001</c:v>
                </c:pt>
                <c:pt idx="5">
                  <c:v>9.0999999999999998E-2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C33-8F40-989B-50EEED1D01B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11063450381309"/>
          <c:y val="0.16737171980928281"/>
          <c:w val="0.24037741502935991"/>
          <c:h val="0.71685874492961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sz="2400"/>
              <a:t>%</a:t>
            </a:r>
            <a:r>
              <a:rPr lang="en-GB" sz="2400" baseline="0"/>
              <a:t> of Profitable Loans</a:t>
            </a:r>
            <a:endParaRPr lang="en-GB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AA8-5842-A8BC-9490603FC91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AA8-5842-A8BC-9490603FC9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'Contribution Margin'!$A$31:$B$31</c:f>
              <c:strCache>
                <c:ptCount val="2"/>
                <c:pt idx="0">
                  <c:v>%Profitable Loans </c:v>
                </c:pt>
                <c:pt idx="1">
                  <c:v>%Unprofitable Loans</c:v>
                </c:pt>
              </c:strCache>
            </c:strRef>
          </c:cat>
          <c:val>
            <c:numRef>
              <c:f>'Contribution Margin'!$A$32:$B$32</c:f>
              <c:numCache>
                <c:formatCode>0.0%</c:formatCode>
                <c:ptCount val="2"/>
                <c:pt idx="0">
                  <c:v>0.38651060953413835</c:v>
                </c:pt>
                <c:pt idx="1">
                  <c:v>0.61348939046586159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A8-5842-A8BC-9490603FC91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400" b="1" baseline="0">
                <a:solidFill>
                  <a:schemeClr val="tx1"/>
                </a:solidFill>
              </a:rPr>
              <a:t>Contribution Margin vs Change in Ticket Size</a:t>
            </a:r>
          </a:p>
        </c:rich>
      </c:tx>
      <c:layout>
        <c:manualLayout>
          <c:xMode val="edge"/>
          <c:yMode val="edge"/>
          <c:x val="0.22155973967302181"/>
          <c:y val="3.35966910480084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834183818076243E-2"/>
          <c:y val="9.386032129955689E-2"/>
          <c:w val="0.77858134029253701"/>
          <c:h val="0.80478200715416837"/>
        </c:manualLayout>
      </c:layout>
      <c:scatterChart>
        <c:scatterStyle val="lineMarker"/>
        <c:varyColors val="0"/>
        <c:ser>
          <c:idx val="0"/>
          <c:order val="0"/>
          <c:tx>
            <c:strRef>
              <c:f>'Dynamic CM'!$B$8</c:f>
              <c:strCache>
                <c:ptCount val="1"/>
                <c:pt idx="0">
                  <c:v>Gen Z,
&lt;50,000,
Deep Subprime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'Dynamic CM'!$A$9:$A$32</c:f>
              <c:numCache>
                <c:formatCode>0%</c:formatCode>
                <c:ptCount val="24"/>
                <c:pt idx="0">
                  <c:v>-0.75</c:v>
                </c:pt>
                <c:pt idx="1">
                  <c:v>-0.5</c:v>
                </c:pt>
                <c:pt idx="2">
                  <c:v>-0.25</c:v>
                </c:pt>
                <c:pt idx="3">
                  <c:v>0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  <c:pt idx="8">
                  <c:v>1.25</c:v>
                </c:pt>
                <c:pt idx="9">
                  <c:v>1.5</c:v>
                </c:pt>
                <c:pt idx="10">
                  <c:v>1.75</c:v>
                </c:pt>
                <c:pt idx="11">
                  <c:v>2</c:v>
                </c:pt>
                <c:pt idx="12">
                  <c:v>2.25</c:v>
                </c:pt>
                <c:pt idx="13">
                  <c:v>2.5</c:v>
                </c:pt>
                <c:pt idx="14">
                  <c:v>2.75</c:v>
                </c:pt>
                <c:pt idx="15">
                  <c:v>3</c:v>
                </c:pt>
                <c:pt idx="16">
                  <c:v>3.25</c:v>
                </c:pt>
                <c:pt idx="17">
                  <c:v>3.5</c:v>
                </c:pt>
                <c:pt idx="18">
                  <c:v>3.75</c:v>
                </c:pt>
                <c:pt idx="19">
                  <c:v>4</c:v>
                </c:pt>
                <c:pt idx="20">
                  <c:v>4.25</c:v>
                </c:pt>
                <c:pt idx="21">
                  <c:v>4.5</c:v>
                </c:pt>
                <c:pt idx="22">
                  <c:v>4.75</c:v>
                </c:pt>
                <c:pt idx="23">
                  <c:v>5</c:v>
                </c:pt>
              </c:numCache>
            </c:numRef>
          </c:xVal>
          <c:yVal>
            <c:numRef>
              <c:f>'Dynamic CM'!$B$9:$B$32</c:f>
              <c:numCache>
                <c:formatCode>_([$$-409]* #,##0.00_);_([$$-409]* \(#,##0.00\);_([$$-409]* "-"??_);_(@_)</c:formatCode>
                <c:ptCount val="24"/>
                <c:pt idx="0">
                  <c:v>-2.8052599652777777</c:v>
                </c:pt>
                <c:pt idx="1">
                  <c:v>-2.6105199305555558</c:v>
                </c:pt>
                <c:pt idx="2">
                  <c:v>-2.4157798958333334</c:v>
                </c:pt>
                <c:pt idx="3">
                  <c:v>-2.2210398611111115</c:v>
                </c:pt>
                <c:pt idx="4">
                  <c:v>-2.9494372554241353</c:v>
                </c:pt>
                <c:pt idx="5">
                  <c:v>-4.2637890102622329</c:v>
                </c:pt>
                <c:pt idx="6">
                  <c:v>-6.2673937383921867</c:v>
                </c:pt>
                <c:pt idx="7">
                  <c:v>-9.0616543493902668</c:v>
                </c:pt>
                <c:pt idx="8">
                  <c:v>-12.746380951113062</c:v>
                </c:pt>
                <c:pt idx="9">
                  <c:v>-17.420012906563663</c:v>
                </c:pt>
                <c:pt idx="10">
                  <c:v>-23.179788395757878</c:v>
                </c:pt>
                <c:pt idx="11">
                  <c:v>-30.12187798593818</c:v>
                </c:pt>
                <c:pt idx="12">
                  <c:v>-38.341492469242475</c:v>
                </c:pt>
                <c:pt idx="13">
                  <c:v>-47.932971678710103</c:v>
                </c:pt>
                <c:pt idx="14">
                  <c:v>-58.989858855385776</c:v>
                </c:pt>
                <c:pt idx="15">
                  <c:v>-71.604963788513984</c:v>
                </c:pt>
                <c:pt idx="16">
                  <c:v>-85.870417063549596</c:v>
                </c:pt>
                <c:pt idx="17">
                  <c:v>-101.87771715051711</c:v>
                </c:pt>
                <c:pt idx="18">
                  <c:v>-119.71777164497109</c:v>
                </c:pt>
                <c:pt idx="19">
                  <c:v>-139.48093367334951</c:v>
                </c:pt>
                <c:pt idx="20">
                  <c:v>-161.25703425513765</c:v>
                </c:pt>
                <c:pt idx="21">
                  <c:v>-185.13541125111192</c:v>
                </c:pt>
                <c:pt idx="22">
                  <c:v>-211.20493540358089</c:v>
                </c:pt>
                <c:pt idx="23">
                  <c:v>-239.55403387990108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C5-434D-847B-01347B359630}"/>
            </c:ext>
          </c:extLst>
        </c:ser>
        <c:ser>
          <c:idx val="1"/>
          <c:order val="1"/>
          <c:tx>
            <c:strRef>
              <c:f>'Dynamic CM'!$C$8</c:f>
              <c:strCache>
                <c:ptCount val="1"/>
                <c:pt idx="0">
                  <c:v>Millenial,
50,000-1,00,000,
Near Prime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'Dynamic CM'!$A$9:$A$32</c:f>
              <c:numCache>
                <c:formatCode>0%</c:formatCode>
                <c:ptCount val="24"/>
                <c:pt idx="0">
                  <c:v>-0.75</c:v>
                </c:pt>
                <c:pt idx="1">
                  <c:v>-0.5</c:v>
                </c:pt>
                <c:pt idx="2">
                  <c:v>-0.25</c:v>
                </c:pt>
                <c:pt idx="3">
                  <c:v>0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  <c:pt idx="8">
                  <c:v>1.25</c:v>
                </c:pt>
                <c:pt idx="9">
                  <c:v>1.5</c:v>
                </c:pt>
                <c:pt idx="10">
                  <c:v>1.75</c:v>
                </c:pt>
                <c:pt idx="11">
                  <c:v>2</c:v>
                </c:pt>
                <c:pt idx="12">
                  <c:v>2.25</c:v>
                </c:pt>
                <c:pt idx="13">
                  <c:v>2.5</c:v>
                </c:pt>
                <c:pt idx="14">
                  <c:v>2.75</c:v>
                </c:pt>
                <c:pt idx="15">
                  <c:v>3</c:v>
                </c:pt>
                <c:pt idx="16">
                  <c:v>3.25</c:v>
                </c:pt>
                <c:pt idx="17">
                  <c:v>3.5</c:v>
                </c:pt>
                <c:pt idx="18">
                  <c:v>3.75</c:v>
                </c:pt>
                <c:pt idx="19">
                  <c:v>4</c:v>
                </c:pt>
                <c:pt idx="20">
                  <c:v>4.25</c:v>
                </c:pt>
                <c:pt idx="21">
                  <c:v>4.5</c:v>
                </c:pt>
                <c:pt idx="22">
                  <c:v>4.75</c:v>
                </c:pt>
                <c:pt idx="23">
                  <c:v>5</c:v>
                </c:pt>
              </c:numCache>
            </c:numRef>
          </c:xVal>
          <c:yVal>
            <c:numRef>
              <c:f>'Dynamic CM'!$C$9:$C$32</c:f>
              <c:numCache>
                <c:formatCode>_([$$-409]* #,##0.00_);_([$$-409]* \(#,##0.00\);_([$$-409]* "-"??_);_(@_)</c:formatCode>
                <c:ptCount val="24"/>
                <c:pt idx="0">
                  <c:v>-1.4127797327579368</c:v>
                </c:pt>
                <c:pt idx="1">
                  <c:v>0.1744405344841265</c:v>
                </c:pt>
                <c:pt idx="2">
                  <c:v>1.7616608017261908</c:v>
                </c:pt>
                <c:pt idx="3">
                  <c:v>3.3488810689682529</c:v>
                </c:pt>
                <c:pt idx="4">
                  <c:v>4.5900323367980143</c:v>
                </c:pt>
                <c:pt idx="5">
                  <c:v>5.6651480593968335</c:v>
                </c:pt>
                <c:pt idx="6">
                  <c:v>6.5642136403234828</c:v>
                </c:pt>
                <c:pt idx="7">
                  <c:v>7.2783021755654058</c:v>
                </c:pt>
                <c:pt idx="8">
                  <c:v>7.799321443607738</c:v>
                </c:pt>
                <c:pt idx="9">
                  <c:v>8.1198437034799973</c:v>
                </c:pt>
                <c:pt idx="10">
                  <c:v>8.2329850264689401</c:v>
                </c:pt>
                <c:pt idx="11">
                  <c:v>8.1323162581332955</c:v>
                </c:pt>
                <c:pt idx="12">
                  <c:v>7.8117952172413574</c:v>
                </c:pt>
                <c:pt idx="13">
                  <c:v>7.265713732835307</c:v>
                </c:pt>
                <c:pt idx="14">
                  <c:v>6.4886553905605382</c:v>
                </c:pt>
                <c:pt idx="15">
                  <c:v>5.4754612196420602</c:v>
                </c:pt>
                <c:pt idx="16">
                  <c:v>4.2212014034127634</c:v>
                </c:pt>
                <c:pt idx="17">
                  <c:v>2.721151649251599</c:v>
                </c:pt>
                <c:pt idx="18">
                  <c:v>0.9707732242416256</c:v>
                </c:pt>
                <c:pt idx="19">
                  <c:v>-1.0343040821871341</c:v>
                </c:pt>
                <c:pt idx="20">
                  <c:v>-3.2982966277325119</c:v>
                </c:pt>
                <c:pt idx="21">
                  <c:v>-5.8252796487109961</c:v>
                </c:pt>
                <c:pt idx="22">
                  <c:v>-8.61919838881321</c:v>
                </c:pt>
                <c:pt idx="23">
                  <c:v>-11.683877889890589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C5-434D-847B-01347B359630}"/>
            </c:ext>
          </c:extLst>
        </c:ser>
        <c:ser>
          <c:idx val="2"/>
          <c:order val="2"/>
          <c:tx>
            <c:strRef>
              <c:f>'Dynamic CM'!$D$8</c:f>
              <c:strCache>
                <c:ptCount val="1"/>
                <c:pt idx="0">
                  <c:v>Gen X,
&gt;1,00,000,
Super Prime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'Dynamic CM'!$A$9:$A$32</c:f>
              <c:numCache>
                <c:formatCode>0%</c:formatCode>
                <c:ptCount val="24"/>
                <c:pt idx="0">
                  <c:v>-0.75</c:v>
                </c:pt>
                <c:pt idx="1">
                  <c:v>-0.5</c:v>
                </c:pt>
                <c:pt idx="2">
                  <c:v>-0.25</c:v>
                </c:pt>
                <c:pt idx="3">
                  <c:v>0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  <c:pt idx="8">
                  <c:v>1.25</c:v>
                </c:pt>
                <c:pt idx="9">
                  <c:v>1.5</c:v>
                </c:pt>
                <c:pt idx="10">
                  <c:v>1.75</c:v>
                </c:pt>
                <c:pt idx="11">
                  <c:v>2</c:v>
                </c:pt>
                <c:pt idx="12">
                  <c:v>2.25</c:v>
                </c:pt>
                <c:pt idx="13">
                  <c:v>2.5</c:v>
                </c:pt>
                <c:pt idx="14">
                  <c:v>2.75</c:v>
                </c:pt>
                <c:pt idx="15">
                  <c:v>3</c:v>
                </c:pt>
                <c:pt idx="16">
                  <c:v>3.25</c:v>
                </c:pt>
                <c:pt idx="17">
                  <c:v>3.5</c:v>
                </c:pt>
                <c:pt idx="18">
                  <c:v>3.75</c:v>
                </c:pt>
                <c:pt idx="19">
                  <c:v>4</c:v>
                </c:pt>
                <c:pt idx="20">
                  <c:v>4.25</c:v>
                </c:pt>
                <c:pt idx="21">
                  <c:v>4.5</c:v>
                </c:pt>
                <c:pt idx="22">
                  <c:v>4.75</c:v>
                </c:pt>
                <c:pt idx="23">
                  <c:v>5</c:v>
                </c:pt>
              </c:numCache>
            </c:numRef>
          </c:xVal>
          <c:yVal>
            <c:numRef>
              <c:f>'Dynamic CM'!$D$9:$D$32</c:f>
              <c:numCache>
                <c:formatCode>_([$$-409]* #,##0.00_);_([$$-409]* \(#,##0.00\);_([$$-409]* "-"??_);_(@_)</c:formatCode>
                <c:ptCount val="24"/>
                <c:pt idx="0">
                  <c:v>0.93026959325396863</c:v>
                </c:pt>
                <c:pt idx="1">
                  <c:v>4.8605391865079373</c:v>
                </c:pt>
                <c:pt idx="2">
                  <c:v>8.790808779761905</c:v>
                </c:pt>
                <c:pt idx="3">
                  <c:v>12.721078373015875</c:v>
                </c:pt>
                <c:pt idx="4">
                  <c:v>16.1083352700558</c:v>
                </c:pt>
                <c:pt idx="5">
                  <c:v>19.269006837798813</c:v>
                </c:pt>
                <c:pt idx="6">
                  <c:v>22.20012527676564</c:v>
                </c:pt>
                <c:pt idx="7">
                  <c:v>24.899154909394152</c:v>
                </c:pt>
                <c:pt idx="8">
                  <c:v>27.363878698149943</c:v>
                </c:pt>
                <c:pt idx="9">
                  <c:v>29.592324740476251</c:v>
                </c:pt>
                <c:pt idx="10">
                  <c:v>31.582715827919106</c:v>
                </c:pt>
                <c:pt idx="11">
                  <c:v>33.333433279907069</c:v>
                </c:pt>
                <c:pt idx="12">
                  <c:v>34.842990100889793</c:v>
                </c:pt>
                <c:pt idx="13">
                  <c:v>36.110010492603699</c:v>
                </c:pt>
                <c:pt idx="14">
                  <c:v>37.133213851442605</c:v>
                </c:pt>
                <c:pt idx="15">
                  <c:v>37.91140202392414</c:v>
                </c:pt>
                <c:pt idx="16">
                  <c:v>38.443448987369464</c:v>
                </c:pt>
                <c:pt idx="17">
                  <c:v>38.728292373940825</c:v>
                </c:pt>
                <c:pt idx="18">
                  <c:v>38.764926421370546</c:v>
                </c:pt>
                <c:pt idx="19">
                  <c:v>38.552396045525498</c:v>
                </c:pt>
                <c:pt idx="20">
                  <c:v>38.089791807509506</c:v>
                </c:pt>
                <c:pt idx="21">
                  <c:v>37.376245602981975</c:v>
                </c:pt>
                <c:pt idx="22">
                  <c:v>36.410926941090651</c:v>
                </c:pt>
                <c:pt idx="23">
                  <c:v>35.193039709611185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C5-434D-847B-01347B359630}"/>
            </c:ext>
          </c:extLst>
        </c:ser>
        <c:ser>
          <c:idx val="3"/>
          <c:order val="3"/>
          <c:tx>
            <c:strRef>
              <c:f>'Dynamic CM'!$E$8</c:f>
              <c:strCache>
                <c:ptCount val="1"/>
                <c:pt idx="0">
                  <c:v>Gen Z,
50,000-1,00,000,
Near Prime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'Dynamic CM'!$A$9:$A$32</c:f>
              <c:numCache>
                <c:formatCode>0%</c:formatCode>
                <c:ptCount val="24"/>
                <c:pt idx="0">
                  <c:v>-0.75</c:v>
                </c:pt>
                <c:pt idx="1">
                  <c:v>-0.5</c:v>
                </c:pt>
                <c:pt idx="2">
                  <c:v>-0.25</c:v>
                </c:pt>
                <c:pt idx="3">
                  <c:v>0</c:v>
                </c:pt>
                <c:pt idx="4">
                  <c:v>0.25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  <c:pt idx="8">
                  <c:v>1.25</c:v>
                </c:pt>
                <c:pt idx="9">
                  <c:v>1.5</c:v>
                </c:pt>
                <c:pt idx="10">
                  <c:v>1.75</c:v>
                </c:pt>
                <c:pt idx="11">
                  <c:v>2</c:v>
                </c:pt>
                <c:pt idx="12">
                  <c:v>2.25</c:v>
                </c:pt>
                <c:pt idx="13">
                  <c:v>2.5</c:v>
                </c:pt>
                <c:pt idx="14">
                  <c:v>2.75</c:v>
                </c:pt>
                <c:pt idx="15">
                  <c:v>3</c:v>
                </c:pt>
                <c:pt idx="16">
                  <c:v>3.25</c:v>
                </c:pt>
                <c:pt idx="17">
                  <c:v>3.5</c:v>
                </c:pt>
                <c:pt idx="18">
                  <c:v>3.75</c:v>
                </c:pt>
                <c:pt idx="19">
                  <c:v>4</c:v>
                </c:pt>
                <c:pt idx="20">
                  <c:v>4.25</c:v>
                </c:pt>
                <c:pt idx="21">
                  <c:v>4.5</c:v>
                </c:pt>
                <c:pt idx="22">
                  <c:v>4.75</c:v>
                </c:pt>
                <c:pt idx="23">
                  <c:v>5</c:v>
                </c:pt>
              </c:numCache>
            </c:numRef>
          </c:xVal>
          <c:yVal>
            <c:numRef>
              <c:f>'Dynamic CM'!$E$9:$E$32</c:f>
              <c:numCache>
                <c:formatCode>_([$$-409]* #,##0.00_);_([$$-409]* \(#,##0.00\);_([$$-409]* "-"??_);_(@_)</c:formatCode>
                <c:ptCount val="24"/>
                <c:pt idx="0">
                  <c:v>-1.9470667485119046</c:v>
                </c:pt>
                <c:pt idx="1">
                  <c:v>-0.89413349702380951</c:v>
                </c:pt>
                <c:pt idx="2">
                  <c:v>0.1587997544642854</c:v>
                </c:pt>
                <c:pt idx="3">
                  <c:v>1.211733005952381</c:v>
                </c:pt>
                <c:pt idx="4">
                  <c:v>2.0250873704922729</c:v>
                </c:pt>
                <c:pt idx="5">
                  <c:v>2.7234975730649826</c:v>
                </c:pt>
                <c:pt idx="6">
                  <c:v>3.3000306440237179</c:v>
                </c:pt>
                <c:pt idx="7">
                  <c:v>3.7485066084765992</c:v>
                </c:pt>
                <c:pt idx="8">
                  <c:v>4.0633233309339962</c:v>
                </c:pt>
                <c:pt idx="9">
                  <c:v>4.2393386867985967</c:v>
                </c:pt>
                <c:pt idx="10">
                  <c:v>4.2717870253425012</c:v>
                </c:pt>
                <c:pt idx="11">
                  <c:v>4.1562175299144855</c:v>
                </c:pt>
                <c:pt idx="12">
                  <c:v>3.8884472801816479</c:v>
                </c:pt>
                <c:pt idx="13">
                  <c:v>3.4645245866054566</c:v>
                </c:pt>
                <c:pt idx="14">
                  <c:v>2.8806997387971442</c:v>
                </c:pt>
                <c:pt idx="15">
                  <c:v>2.13340125107562</c:v>
                </c:pt>
                <c:pt idx="16">
                  <c:v>1.2192162780488687</c:v>
                </c:pt>
                <c:pt idx="17">
                  <c:v>0.13487425584179036</c:v>
                </c:pt>
                <c:pt idx="18">
                  <c:v>-1.1227669189476543</c:v>
                </c:pt>
                <c:pt idx="19">
                  <c:v>-2.5567326839803499</c:v>
                </c:pt>
                <c:pt idx="20">
                  <c:v>-4.1699419666549957</c:v>
                </c:pt>
                <c:pt idx="21">
                  <c:v>-5.9652159979469346</c:v>
                </c:pt>
                <c:pt idx="22">
                  <c:v>-7.9452860166950927</c:v>
                </c:pt>
                <c:pt idx="23">
                  <c:v>-10.112800047631097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C5-434D-847B-01347B359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833743"/>
        <c:axId val="863835455"/>
      </c:scatterChart>
      <c:valAx>
        <c:axId val="863833743"/>
        <c:scaling>
          <c:orientation val="minMax"/>
          <c:max val="5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aseline="0">
                    <a:solidFill>
                      <a:schemeClr val="tx1"/>
                    </a:solidFill>
                  </a:rPr>
                  <a:t>Delta ATS</a:t>
                </a:r>
              </a:p>
            </c:rich>
          </c:tx>
          <c:layout>
            <c:manualLayout>
              <c:xMode val="edge"/>
              <c:yMode val="edge"/>
              <c:x val="0.46236920120280328"/>
              <c:y val="0.948719932398984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835455"/>
        <c:crosses val="autoZero"/>
        <c:crossBetween val="midCat"/>
        <c:majorUnit val="1"/>
        <c:minorUnit val="0.2"/>
      </c:valAx>
      <c:valAx>
        <c:axId val="86383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 baseline="0">
                    <a:solidFill>
                      <a:schemeClr val="tx1"/>
                    </a:solidFill>
                  </a:rPr>
                  <a:t>Contribution Margin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.00_);\([$$-409]#,##0.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833743"/>
        <c:crossesAt val="0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939060174348713"/>
          <c:y val="0.12891351384061836"/>
          <c:w val="0.12764699293837045"/>
          <c:h val="0.722701522369380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'Stressed Portfolio Metrics'!$B$1</c:f>
              <c:strCache>
                <c:ptCount val="1"/>
                <c:pt idx="0">
                  <c:v>CM Per Loan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3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44C-F84F-BB1D-B7FF9605C75B}"/>
              </c:ext>
            </c:extLst>
          </c:dPt>
          <c:dPt>
            <c:idx val="2"/>
            <c:invertIfNegative val="0"/>
            <c:bubble3D val="0"/>
            <c:spPr>
              <a:solidFill>
                <a:srgbClr val="8B050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44C-F84F-BB1D-B7FF9605C75B}"/>
              </c:ext>
            </c:extLst>
          </c:dPt>
          <c:dLbls>
            <c:numFmt formatCode="[$$-40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'Stressed Portfolio Metrics'!$A$2:$A$4</c:f>
              <c:strCache>
                <c:ptCount val="3"/>
                <c:pt idx="0">
                  <c:v>Base</c:v>
                </c:pt>
                <c:pt idx="1">
                  <c:v>Adverse</c:v>
                </c:pt>
                <c:pt idx="2">
                  <c:v>Severely Adverse</c:v>
                </c:pt>
              </c:strCache>
            </c:strRef>
          </c:cat>
          <c:val>
            <c:numRef>
              <c:f>'Stressed Portfolio Metrics'!$B$2:$B$4</c:f>
              <c:numCache>
                <c:formatCode>_([$$-409]* #,##0.00_);_([$$-409]* \(#,##0.00\);_([$$-409]* "-"??_);_(@_)</c:formatCode>
                <c:ptCount val="3"/>
                <c:pt idx="0">
                  <c:v>1.233130895802097</c:v>
                </c:pt>
                <c:pt idx="1">
                  <c:v>-0.40094034331773232</c:v>
                </c:pt>
                <c:pt idx="2">
                  <c:v>-1.9100528728195334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4C-F84F-BB1D-B7FF9605C7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52652848"/>
        <c:axId val="1852614864"/>
      </c:barChart>
      <c:catAx>
        <c:axId val="185265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614864"/>
        <c:crosses val="autoZero"/>
        <c:auto val="1"/>
        <c:lblAlgn val="ctr"/>
        <c:lblOffset val="100"/>
        <c:noMultiLvlLbl val="0"/>
      </c:catAx>
      <c:valAx>
        <c:axId val="1852614864"/>
        <c:scaling>
          <c:orientation val="minMax"/>
        </c:scaling>
        <c:delete val="1"/>
        <c:axPos val="l"/>
        <c:numFmt formatCode="_([$$-409]* #,##0.00_);_([$$-409]* \(#,##0.00\);_([$$-409]* &quot;-&quot;??_);_(@_)" sourceLinked="1"/>
        <c:majorTickMark val="none"/>
        <c:minorTickMark val="none"/>
        <c:tickLblPos val="nextTo"/>
        <c:crossAx val="185265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800" b="1"/>
              <a:t>Loan</a:t>
            </a:r>
            <a:r>
              <a:rPr lang="en-GB" sz="2800" b="1" baseline="0"/>
              <a:t> Count</a:t>
            </a:r>
            <a:endParaRPr lang="en-GB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D4B9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0F3-6446-AA4F-927A335E296F}"/>
              </c:ext>
            </c:extLst>
          </c:dPt>
          <c:dPt>
            <c:idx val="2"/>
            <c:invertIfNegative val="0"/>
            <c:bubble3D val="0"/>
            <c:spPr>
              <a:solidFill>
                <a:srgbClr val="D99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0F3-6446-AA4F-927A335E29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'Stressed Portfolio Metrics'!$A$2:$A$4</c:f>
              <c:strCache>
                <c:ptCount val="3"/>
                <c:pt idx="0">
                  <c:v>Base</c:v>
                </c:pt>
                <c:pt idx="1">
                  <c:v>Adverse</c:v>
                </c:pt>
                <c:pt idx="2">
                  <c:v>Severely Adverse</c:v>
                </c:pt>
              </c:strCache>
            </c:strRef>
          </c:cat>
          <c:val>
            <c:numRef>
              <c:f>'Stressed Portfolio Metrics'!$K$2:$K$4</c:f>
              <c:numCache>
                <c:formatCode>0</c:formatCode>
                <c:ptCount val="3"/>
                <c:pt idx="0">
                  <c:v>335.92967271562156</c:v>
                </c:pt>
                <c:pt idx="1">
                  <c:v>282.03535091996446</c:v>
                </c:pt>
                <c:pt idx="2">
                  <c:v>248.96160016501702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F3-6446-AA4F-927A335E2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925712"/>
        <c:axId val="598050112"/>
      </c:barChart>
      <c:catAx>
        <c:axId val="65492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50112"/>
        <c:crosses val="autoZero"/>
        <c:auto val="1"/>
        <c:lblAlgn val="ctr"/>
        <c:lblOffset val="100"/>
        <c:noMultiLvlLbl val="0"/>
      </c:catAx>
      <c:valAx>
        <c:axId val="59805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92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Number of Profitable Segments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800" b="1"/>
          </a:pPr>
          <a:r>
            <a:rPr lang="en-GB" sz="28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Number of Profitable Segments</a:t>
          </a:r>
        </a:p>
      </cx:txPr>
    </cx:title>
    <cx:plotArea>
      <cx:plotAreaRegion>
        <cx:plotSurface>
          <cx:spPr>
            <a:ln>
              <a:solidFill>
                <a:schemeClr val="tx1">
                  <a:lumMod val="15000"/>
                  <a:lumOff val="85000"/>
                  <a:alpha val="0"/>
                </a:schemeClr>
              </a:solidFill>
            </a:ln>
          </cx:spPr>
        </cx:plotSurface>
        <cx:series layoutId="funnel" uniqueId="{DBF81E1A-B327-544C-9E55-610ED2ADD9E5}">
          <cx:tx>
            <cx:txData>
              <cx:f>_xlchart.v2.1</cx:f>
              <cx:v>Profitable Segments</cx:v>
            </cx:txData>
          </cx:tx>
          <cx:spPr>
            <a:solidFill>
              <a:schemeClr val="accent6"/>
            </a:solidFill>
            <a:ln w="63500">
              <a:solidFill>
                <a:schemeClr val="bg1"/>
              </a:solidFill>
            </a:ln>
          </cx:spPr>
          <cx:dataPt idx="0">
            <cx:spPr>
              <a:solidFill>
                <a:srgbClr val="4EA72E"/>
              </a:solidFill>
            </cx:spPr>
          </cx:dataPt>
          <cx:dataPt idx="1">
            <cx:spPr>
              <a:solidFill>
                <a:srgbClr val="FFC000"/>
              </a:solidFill>
            </cx:spPr>
          </cx:dataPt>
          <cx:dataPt idx="2">
            <cx:spPr>
              <a:solidFill>
                <a:srgbClr val="C00000"/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3600" b="1">
                    <a:solidFill>
                      <a:schemeClr val="bg1"/>
                    </a:solidFill>
                  </a:defRPr>
                </a:pPr>
                <a:endParaRPr lang="en-GB" sz="3600" b="1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2400" b="1"/>
            </a:pPr>
            <a:endParaRPr lang="en-GB" sz="2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microsoft.com/office/2014/relationships/chartEx" Target="../charts/chartEx1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810638</xdr:colOff>
      <xdr:row>58</xdr:row>
      <xdr:rowOff>57501</xdr:rowOff>
    </xdr:from>
    <xdr:to>
      <xdr:col>8</xdr:col>
      <xdr:colOff>385972</xdr:colOff>
      <xdr:row>93</xdr:row>
      <xdr:rowOff>54043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B5B6875-1376-2536-17C1-C14022F6E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520700</xdr:colOff>
      <xdr:row>9</xdr:row>
      <xdr:rowOff>0</xdr:rowOff>
    </xdr:from>
    <xdr:to>
      <xdr:col>16</xdr:col>
      <xdr:colOff>137160</xdr:colOff>
      <xdr:row>21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251291-9F3F-35EF-97F1-AEE9E175D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85618</xdr:colOff>
      <xdr:row>4</xdr:row>
      <xdr:rowOff>126716</xdr:rowOff>
    </xdr:from>
    <xdr:to>
      <xdr:col>20</xdr:col>
      <xdr:colOff>527978</xdr:colOff>
      <xdr:row>26</xdr:row>
      <xdr:rowOff>14270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552EFE-D307-FCF2-5C60-91F7DF306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88604</xdr:rowOff>
    </xdr:from>
    <xdr:to>
      <xdr:col>6</xdr:col>
      <xdr:colOff>317634</xdr:colOff>
      <xdr:row>67</xdr:row>
      <xdr:rowOff>121052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8D23F0-966E-3445-BF9D-671891CAA2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39687</xdr:colOff>
      <xdr:row>0</xdr:row>
      <xdr:rowOff>39687</xdr:rowOff>
    </xdr:from>
    <xdr:to>
      <xdr:col>26</xdr:col>
      <xdr:colOff>197556</xdr:colOff>
      <xdr:row>8</xdr:row>
      <xdr:rowOff>145520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E72D8AF-6A1A-3B53-5216-D123A33EB275}"/>
            </a:ext>
          </a:extLst>
        </xdr:cNvPr>
        <xdr:cNvSpPr/>
      </xdr:nvSpPr>
      <xdr:spPr>
        <a:xfrm>
          <a:off x="39687" y="39687"/>
          <a:ext cx="22904980" cy="1686277"/>
        </a:xfrm>
        <a:prstGeom prst="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8800" b="1">
              <a:latin typeface="Helvetica" pitchFamily="2" charset="0"/>
            </a:rPr>
            <a:t>BNPL</a:t>
          </a:r>
          <a:r>
            <a:rPr lang="en-GB" sz="8800" b="1" baseline="0">
              <a:latin typeface="Helvetica" pitchFamily="2" charset="0"/>
            </a:rPr>
            <a:t> UNIT ECONOMICS</a:t>
          </a:r>
          <a:endParaRPr lang="en-GB" sz="8800" b="1">
            <a:latin typeface="Helvetica" pitchFamily="2" charset="0"/>
          </a:endParaRPr>
        </a:p>
        <a:p>
          <a:pPr algn="ctr"/>
          <a:endParaRPr lang="en-GB" sz="8800" b="1"/>
        </a:p>
      </xdr:txBody>
    </xdr:sp>
    <xdr:clientData/>
  </xdr:twoCellAnchor>
  <xdr:twoCellAnchor>
    <xdr:from>
      <xdr:col>21</xdr:col>
      <xdr:colOff>248356</xdr:colOff>
      <xdr:row>9</xdr:row>
      <xdr:rowOff>104763</xdr:rowOff>
    </xdr:from>
    <xdr:to>
      <xdr:col>26</xdr:col>
      <xdr:colOff>197557</xdr:colOff>
      <xdr:row>38</xdr:row>
      <xdr:rowOff>366889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98AED53-C6D4-8E4F-91E1-723342ABB9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23475</xdr:colOff>
      <xdr:row>9</xdr:row>
      <xdr:rowOff>23873</xdr:rowOff>
    </xdr:from>
    <xdr:to>
      <xdr:col>5</xdr:col>
      <xdr:colOff>660400</xdr:colOff>
      <xdr:row>36</xdr:row>
      <xdr:rowOff>127000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8EFA125-9D1D-954D-AD5B-302E8574F5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31750</xdr:colOff>
      <xdr:row>45</xdr:row>
      <xdr:rowOff>133350</xdr:rowOff>
    </xdr:from>
    <xdr:to>
      <xdr:col>5</xdr:col>
      <xdr:colOff>431800</xdr:colOff>
      <xdr:row>67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9B0BED7-E639-264A-BB60-C49D924487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409222</xdr:colOff>
      <xdr:row>27</xdr:row>
      <xdr:rowOff>101600</xdr:rowOff>
    </xdr:from>
    <xdr:to>
      <xdr:col>20</xdr:col>
      <xdr:colOff>42333</xdr:colOff>
      <xdr:row>58</xdr:row>
      <xdr:rowOff>81846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4A26354-740A-4640-9DD8-4862D4D9E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404135</xdr:colOff>
      <xdr:row>6</xdr:row>
      <xdr:rowOff>14299</xdr:rowOff>
    </xdr:from>
    <xdr:ext cx="184731" cy="3114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4EB1871-24C3-081B-C130-E1C3AC1550C7}"/>
            </a:ext>
          </a:extLst>
        </xdr:cNvPr>
        <xdr:cNvSpPr txBox="1"/>
      </xdr:nvSpPr>
      <xdr:spPr>
        <a:xfrm>
          <a:off x="7632326" y="1230256"/>
          <a:ext cx="184731" cy="311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4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27</xdr:row>
      <xdr:rowOff>254000</xdr:rowOff>
    </xdr:from>
    <xdr:to>
      <xdr:col>4</xdr:col>
      <xdr:colOff>815079</xdr:colOff>
      <xdr:row>47</xdr:row>
      <xdr:rowOff>203200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5E8C1F-B800-0A41-B95C-AB2672E75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27610</xdr:colOff>
      <xdr:row>32</xdr:row>
      <xdr:rowOff>219026</xdr:rowOff>
    </xdr:from>
    <xdr:to>
      <xdr:col>10</xdr:col>
      <xdr:colOff>25399</xdr:colOff>
      <xdr:row>47</xdr:row>
      <xdr:rowOff>203199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97CCCD0-9B29-0945-B9AB-77CDE07B6D1D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57010" y="9642426"/>
              <a:ext cx="9332289" cy="51276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279401</xdr:colOff>
      <xdr:row>32</xdr:row>
      <xdr:rowOff>218830</xdr:rowOff>
    </xdr:from>
    <xdr:to>
      <xdr:col>18</xdr:col>
      <xdr:colOff>152400</xdr:colOff>
      <xdr:row>47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F8DC68-E9BA-5542-BF01-9FEC241277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6CEFBD-81E8-924F-9BC3-9F7A8ABB38E2}" name="Table1" displayName="Table1" ref="A1:E5" totalsRowShown="0" headerRowDxfId="323" dataDxfId="322">
  <autoFilter ref="A1:E5" xr:uid="{0B6CEFBD-81E8-924F-9BC3-9F7A8ABB38E2}"/>
  <tableColumns count="5">
    <tableColumn id="1" xr3:uid="{36DBCDB0-1AA6-FC47-B49B-A70A894238D6}" name="Generation" dataDxfId="321"/>
    <tableColumn id="2" xr3:uid="{09D252C7-D2CF-054F-9357-1B0E8BEC06F3}" name="Adoption Rate (U.S. 2024-25)" dataDxfId="320"/>
    <tableColumn id="3" xr3:uid="{96D00993-4575-2F4E-A427-42BFF016795A}" name="Usage Frequency (Weekly+)" dataDxfId="319"/>
    <tableColumn id="4" xr3:uid="{42623925-8FCA-A548-B9FE-6DDBEAAF575D}" name="Late Payment Incidence" dataDxfId="318"/>
    <tableColumn id="5" xr3:uid="{AC13235E-52E1-AD4A-B5E7-3C7310C1E263}" name="Regret After Use" dataDxfId="3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91FDFA-53BA-7546-8E1B-CD65750653EB}" name="Table2" displayName="Table2" ref="J1:K5" totalsRowShown="0" headerRowDxfId="316" dataDxfId="315">
  <autoFilter ref="J1:K5" xr:uid="{AE91FDFA-53BA-7546-8E1B-CD65750653EB}"/>
  <tableColumns count="2">
    <tableColumn id="1" xr3:uid="{370EC5D7-DE91-4247-B192-94EDA3EECEE5}" name="Revenue Source" dataDxfId="314"/>
    <tableColumn id="2" xr3:uid="{AAC0BD8C-D5C7-EB40-A600-48CEF9D98D1E}" name="Typical Share" dataDxfId="3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EAD16B-91FC-484A-A2FB-D4B10F5D31E0}" name="Table4" displayName="Table4" ref="A15:B19" totalsRowShown="0" headerRowDxfId="312" dataDxfId="311">
  <autoFilter ref="A15:B19" xr:uid="{09EAD16B-91FC-484A-A2FB-D4B10F5D31E0}"/>
  <tableColumns count="2">
    <tableColumn id="1" xr3:uid="{31C2DA3C-05BB-FA4E-932F-D50430F0EE8B}" name="Generation" dataDxfId="310"/>
    <tableColumn id="2" xr3:uid="{E723BBB9-AD52-B640-9C4D-E713715D1757}" name="% BNPL Users" dataDxfId="30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CC3D48-A00E-0943-876E-26DDE9236D52}" name="Table5" displayName="Table5" ref="A21:B24" totalsRowShown="0" headerRowDxfId="308" dataDxfId="307">
  <autoFilter ref="A21:B24" xr:uid="{59CC3D48-A00E-0943-876E-26DDE9236D52}"/>
  <tableColumns count="2">
    <tableColumn id="1" xr3:uid="{C5A7213A-D6DA-3B4D-AD8F-000F3E3EC5D5}" name="Income Bracket" dataDxfId="306"/>
    <tableColumn id="2" xr3:uid="{2896389C-D755-0141-9F03-86A3DC8837BE}" name="% BNPL Users" dataDxfId="30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BF37EB-CF09-BA4B-B50B-EE8BE232B99C}" name="Table8" displayName="Table8" ref="A27:D31" totalsRowShown="0" headerRowDxfId="304" dataDxfId="303">
  <autoFilter ref="A27:D31" xr:uid="{D2BF37EB-CF09-BA4B-B50B-EE8BE232B99C}"/>
  <tableColumns count="4">
    <tableColumn id="1" xr3:uid="{2E32C3F0-6007-3E49-9252-BE1BB5FB1437}" name="Generation" dataDxfId="302"/>
    <tableColumn id="2" xr3:uid="{CC9F5147-AFE4-1248-A36F-5E8B219489F1}" name="&lt;50,000" dataDxfId="301"/>
    <tableColumn id="3" xr3:uid="{77717B4C-38D0-8940-85D2-8536FC637202}" name="50,000-1,00,000" dataDxfId="300"/>
    <tableColumn id="4" xr3:uid="{2BA5208A-D796-B045-8471-F1C166682870}" name="&gt;1,00,000" dataDxfId="29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82E6925-EFF3-D04C-B653-D4A480A60DAF}" name="Table11" displayName="Table11" ref="A33:B37" totalsRowShown="0" headerRowDxfId="298" dataDxfId="297">
  <autoFilter ref="A33:B37" xr:uid="{182E6925-EFF3-D04C-B653-D4A480A60DAF}"/>
  <tableColumns count="2">
    <tableColumn id="1" xr3:uid="{A1417CC9-B0C1-BD49-B4EC-D6FF905366BF}" name="Generation" dataDxfId="296"/>
    <tableColumn id="2" xr3:uid="{98C781C6-EFBA-8F4F-9BEA-CC95921DE9E0}" name="Adjustment Factor" dataDxfId="29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623B19A-AEF1-C648-B36F-C8ECCDED215D}" name="Table12" displayName="Table12" ref="A39:D40" totalsRowShown="0" headerRowDxfId="294" dataDxfId="293">
  <autoFilter ref="A39:D40" xr:uid="{2623B19A-AEF1-C648-B36F-C8ECCDED215D}"/>
  <tableColumns count="4">
    <tableColumn id="1" xr3:uid="{236E04C3-8C9E-B649-B96B-83BCAAAC4862}" name="Income Bracket" dataDxfId="292"/>
    <tableColumn id="2" xr3:uid="{96F567B8-7555-2A4F-B4AC-0EC94A9C23A0}" name="&lt;50,000" dataDxfId="291"/>
    <tableColumn id="3" xr3:uid="{BEEB3F52-BDB3-CD45-AC07-71600B7854A5}" name="50,000-1,00,000" dataDxfId="290"/>
    <tableColumn id="4" xr3:uid="{AE6D3677-26FB-D543-B5FB-14F96BB28007}" name="&gt;1,00,000" dataDxfId="28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3AAE11A-569E-0E40-8FC6-2C0FC6B91B0F}" name="GenSegment" displayName="GenSegment" ref="A44:F48" totalsRowShown="0" tableBorderDxfId="288">
  <autoFilter ref="A44:F48" xr:uid="{53AAE11A-569E-0E40-8FC6-2C0FC6B91B0F}"/>
  <tableColumns count="6">
    <tableColumn id="1" xr3:uid="{EFC326FA-11AD-8049-B139-082961387047}" name="Generation"/>
    <tableColumn id="6" xr3:uid="{DDC1D445-24C3-2341-B8D3-F760AB388013}" name="# Population (in M)"/>
    <tableColumn id="2" xr3:uid="{120CBCC9-E1ED-4541-ADA6-335ED1D700DC}" name="Adoption Rate " dataDxfId="287"/>
    <tableColumn id="7" xr3:uid="{CCFADA93-6037-8148-8245-08D7327BE314}" name="Weight" dataDxfId="286">
      <calculatedColumnFormula>GenSegment[[#This Row],[Adoption Rate ]]*GenSegment[[#This Row],['# Population (in M)]]/SUM(GenSegment['# Population (in M)])</calculatedColumnFormula>
    </tableColumn>
    <tableColumn id="3" xr3:uid="{884E80E6-EEF2-4B4B-A800-A939844F85D8}" name="Portfoliio Comp" dataDxfId="285" dataCellStyle="Per cent">
      <calculatedColumnFormula>GenSegment[[#This Row],[Weight]]/SUM(GenSegment[Weight])</calculatedColumnFormula>
    </tableColumn>
    <tableColumn id="4" xr3:uid="{2136A3FD-AE31-9146-B8B7-35744296D49E}" name="# of BNPL Users (in M)" dataDxfId="284">
      <calculatedColumnFormula>$I$46*GenSegment[[#This Row],[Portfoliio Comp]]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48D30D7-8421-3E4A-A85B-32EF3EA8457C}" name="IncomeSegment" displayName="IncomeSegment" ref="A53:G56" totalsRowShown="0" tableBorderDxfId="283">
  <autoFilter ref="A53:G56" xr:uid="{848D30D7-8421-3E4A-A85B-32EF3EA8457C}"/>
  <tableColumns count="7">
    <tableColumn id="1" xr3:uid="{3CDD15B8-6F52-3043-98D6-194094CEF7FF}" name="Income Bracket"/>
    <tableColumn id="7" xr3:uid="{4502DEE6-0372-0544-8936-AE672F9304F4}" name="Percentage of Population" dataCellStyle="Per cent"/>
    <tableColumn id="5" xr3:uid="{C4F95827-4EF6-4442-BD3E-865CC69641C9}" name="# Population (in M)" dataDxfId="282">
      <calculatedColumnFormula>239.1*IncomeSegment[[#This Row],[Percentage of Population]]</calculatedColumnFormula>
    </tableColumn>
    <tableColumn id="2" xr3:uid="{E850AE82-2B6B-B346-B929-D9B9F539A204}" name="Adoption Rate" dataCellStyle="Per cent"/>
    <tableColumn id="6" xr3:uid="{2BCDBBBC-0C42-CC4F-9583-B36A5893B2C0}" name="Weight" dataDxfId="281">
      <calculatedColumnFormula>IncomeSegment[[#This Row],[Adoption Rate]]*IncomeSegment[[#This Row],[Percentage of Population]]</calculatedColumnFormula>
    </tableColumn>
    <tableColumn id="3" xr3:uid="{5F42BD65-6C42-E442-9396-65BD4C3AEA44}" name="Portfolio Comp" dataDxfId="280">
      <calculatedColumnFormula>IncomeSegment[[#This Row],[Weight]]/SUM(IncomeSegment[Weight])</calculatedColumnFormula>
    </tableColumn>
    <tableColumn id="4" xr3:uid="{9444E0F7-6703-5A49-B3EB-5194AC5AB52F}" name="# of BNPL Users (in M)" dataDxfId="279">
      <calculatedColumnFormula>$I$46*IncomeSegment[[#This Row],[Portfolio Comp]]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4090BA0-0273-6849-884C-621ACEFB4858}" name="GenxIncome_Perc" displayName="GenxIncome_Perc" ref="A59:D63" totalsRowShown="0" headerRowDxfId="278" dataDxfId="277">
  <autoFilter ref="A59:D63" xr:uid="{74090BA0-0273-6849-884C-621ACEFB4858}"/>
  <tableColumns count="4">
    <tableColumn id="1" xr3:uid="{DEF031C4-5FE4-DD4A-90F1-3D352FD6FA4A}" name="Generation" dataDxfId="276"/>
    <tableColumn id="2" xr3:uid="{39AF08E8-7241-3840-8FEB-CC8BFE815E86}" name="&lt;50,000" dataDxfId="275"/>
    <tableColumn id="3" xr3:uid="{2857BA6E-D3B2-BA49-A56E-F6E7F546903E}" name="50,000-1,00,000" dataDxfId="274"/>
    <tableColumn id="4" xr3:uid="{8B956C8E-1B3F-E144-ADF0-70607F54D5D6}" name="&gt;1,00,000" dataDxfId="27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9601D6D-CBF7-D84D-B091-F6446A623FC6}" name="Table21" displayName="Table21" ref="H43:I51" totalsRowShown="0" headerRowDxfId="272">
  <autoFilter ref="H43:I51" xr:uid="{89601D6D-CBF7-D84D-B091-F6446A623FC6}"/>
  <tableColumns count="2">
    <tableColumn id="1" xr3:uid="{1C74FFC3-AA98-C34C-A3E5-AA50573E6FCD}" name="Column1" dataDxfId="271"/>
    <tableColumn id="2" xr3:uid="{C2CD8D35-333F-4A47-BEDB-ABE3F3860301}" name="Column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D2A7B3D-C422-3048-B18F-5B2309E7C967}" name="Table1723" displayName="Table1723" ref="A66:D70" totalsRowShown="0" headerRowDxfId="270" dataDxfId="269">
  <autoFilter ref="A66:D70" xr:uid="{6D2A7B3D-C422-3048-B18F-5B2309E7C967}"/>
  <tableColumns count="4">
    <tableColumn id="1" xr3:uid="{92D2C2D7-1999-3C47-AAA1-CDB960B54B01}" name="Generation" dataDxfId="268"/>
    <tableColumn id="2" xr3:uid="{ECB219C1-B18F-3A4E-B0CB-4C04A9151E7E}" name="&lt;50,000" dataDxfId="267">
      <calculatedColumnFormula>$F45*B60</calculatedColumnFormula>
    </tableColumn>
    <tableColumn id="3" xr3:uid="{2A7BAA9C-3B8D-D745-8F07-8DA4BCDEA95F}" name="50,000-1,00,000" dataDxfId="266">
      <calculatedColumnFormula>$F45*C60</calculatedColumnFormula>
    </tableColumn>
    <tableColumn id="4" xr3:uid="{D4AC1C77-B6C7-F041-8509-C247F445AE08}" name="&gt;1,00,000" dataDxfId="265">
      <calculatedColumnFormula>$F45*D60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AFD191A-2F37-7F42-AA75-378DB25F8F7D}" name="GenxIncome_Num" displayName="GenxIncome_Num" ref="A82:D86" totalsRowShown="0" headerRowDxfId="264" dataDxfId="263">
  <autoFilter ref="A82:D86" xr:uid="{7AFD191A-2F37-7F42-AA75-378DB25F8F7D}"/>
  <tableColumns count="4">
    <tableColumn id="1" xr3:uid="{34A1F047-C0DF-EB4F-AA6B-A51A3424EA8C}" name="Generation" dataDxfId="262"/>
    <tableColumn id="2" xr3:uid="{BF932974-99FA-6447-A399-29E3A012214F}" name="&lt;50,000" dataDxfId="261">
      <calculatedColumnFormula>B74*($F45/SUM($B74:$D74))</calculatedColumnFormula>
    </tableColumn>
    <tableColumn id="3" xr3:uid="{76AB8306-2A5D-AE4A-8BEC-A71D0380408A}" name="50,000-1,00,000" dataDxfId="260">
      <calculatedColumnFormula>C74*($F45/SUM($B74:$D74))</calculatedColumnFormula>
    </tableColumn>
    <tableColumn id="4" xr3:uid="{DC0CCA2D-C2C9-014D-8616-260681C1DC36}" name="&gt;1,00,000" dataDxfId="259">
      <calculatedColumnFormula>D74*($F45/SUM($B74:$D74))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EB08374-266E-0A49-8BA3-5F188623904C}" name="GenxIncome_Comp" displayName="GenxIncome_Comp" ref="A89:D93" totalsRowShown="0" headerRowDxfId="258" dataDxfId="256" headerRowBorderDxfId="257" tableBorderDxfId="255" totalsRowBorderDxfId="254" dataCellStyle="Per cent">
  <autoFilter ref="A89:D93" xr:uid="{FEB08374-266E-0A49-8BA3-5F188623904C}"/>
  <tableColumns count="4">
    <tableColumn id="1" xr3:uid="{03192776-6993-B445-B247-51BA978AA6AE}" name="Generation"/>
    <tableColumn id="2" xr3:uid="{22130AC5-FE6A-EB4E-BE88-DDCAED3064EB}" name="&lt;50,000" dataDxfId="253" dataCellStyle="Per cent">
      <calculatedColumnFormula>B83/SUM(GenxIncome_Num[[&lt;50,000]:[&gt;1,00,000]])</calculatedColumnFormula>
    </tableColumn>
    <tableColumn id="3" xr3:uid="{C4A18B38-FF59-814A-B0CF-F4B3B4CAEB33}" name="50,000-1,00,000" dataDxfId="252" dataCellStyle="Per cent">
      <calculatedColumnFormula>C83/SUM(GenxIncome_Num[[&lt;50,000]:[&gt;1,00,000]])</calculatedColumnFormula>
    </tableColumn>
    <tableColumn id="4" xr3:uid="{1949D44D-A4DD-2A47-A17B-2796C1030731}" name="&gt;1,00,000" dataDxfId="251" dataCellStyle="Per cent">
      <calculatedColumnFormula>D83/SUM(GenxIncome_Num[[&lt;50,000]:[&gt;1,00,000]])</calculatedColumnFormula>
    </tableColumn>
  </tableColumns>
  <tableStyleInfo name="TableStyleMedium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DBBEF25-CCF1-144B-A008-DEC1FD283A2D}" name="CreditRange" displayName="CreditRange" ref="A1:B6" totalsRowShown="0">
  <autoFilter ref="A1:B6" xr:uid="{BDBBEF25-CCF1-144B-A008-DEC1FD283A2D}"/>
  <tableColumns count="2">
    <tableColumn id="1" xr3:uid="{B9F450CC-16C6-B049-BF1A-9B11DB9D82A6}" name="Credit Category"/>
    <tableColumn id="2" xr3:uid="{73F615D0-7B64-1548-A061-125E9B7675C1}" name="Credit Sco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F5C4B89-B7A9-5C40-BB21-06C77AF8117D}" name="CreditDataTable" displayName="CreditDataTable" ref="A9:D15" totalsRowShown="0" headerRowDxfId="250">
  <autoFilter ref="A9:D15" xr:uid="{3F5C4B89-B7A9-5C40-BB21-06C77AF8117D}"/>
  <tableColumns count="4">
    <tableColumn id="1" xr3:uid="{FFC7A182-2554-F148-B5F1-31B19DC0556E}" name="Credit Category" dataDxfId="249"/>
    <tableColumn id="4" xr3:uid="{6247D1A5-71E3-BE47-A48E-DFB5264756A0}" name="# BNPL User Count" dataDxfId="248"/>
    <tableColumn id="2" xr3:uid="{AF343AFC-3E42-0841-B3B9-5BA4116683B0}" name="BNPL Loan Originations" dataDxfId="247"/>
    <tableColumn id="3" xr3:uid="{1ABDA881-DF2F-854A-ADAC-A33A164DB2CE}" name="BNPL Default Rates" dataDxfId="246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68486F5-7B60-1C49-ABC3-FE73FC5ECC97}" name="IncomexCredit_Perc" displayName="IncomexCredit_Perc" ref="A18:F21" totalsRowShown="0">
  <autoFilter ref="A18:F21" xr:uid="{968486F5-7B60-1C49-ABC3-FE73FC5ECC97}"/>
  <tableColumns count="6">
    <tableColumn id="1" xr3:uid="{8CF9BC96-FDBB-834B-8CA8-A7DB75B1F791}" name="Income Bracket"/>
    <tableColumn id="2" xr3:uid="{712E5315-5C8F-AA49-99CE-EDDCAF315BBF}" name="Deep Subprime" dataDxfId="245"/>
    <tableColumn id="3" xr3:uid="{5A94BFF4-8329-D64C-924C-61FE44FB91CA}" name="Subprime" dataDxfId="244"/>
    <tableColumn id="4" xr3:uid="{60906D79-BF8D-0748-999C-7120DEE875A3}" name="Near Prime" dataDxfId="243"/>
    <tableColumn id="5" xr3:uid="{7266496E-69A3-314A-9A34-6DD169478A3C}" name="Prime" dataDxfId="242"/>
    <tableColumn id="6" xr3:uid="{BCA70B61-DEBB-9643-A8F6-ACBE0B5FA445}" name="Super Prime" dataDxfId="241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1298921-1FB2-4A44-B20D-20021AF66D9F}" name="Table30" displayName="Table30" ref="A29:B31" totalsRowShown="0">
  <autoFilter ref="A29:B31" xr:uid="{51298921-1FB2-4A44-B20D-20021AF66D9F}"/>
  <tableColumns count="2">
    <tableColumn id="1" xr3:uid="{A2B83B3C-3EAF-8742-B95C-76088E6DE258}" name="Income Bracket "/>
    <tableColumn id="2" xr3:uid="{8F922337-CFD1-7145-B7E1-D209B8864A44}" name="Default Rate" dataDxfId="240">
      <calculatedColumnFormula>$B19*$D$11+$C19*$D$12+$D19*$D$13+$E19*$D$14+$F19*$D$15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742B03A-DF9F-7D4A-BF47-A0BB9A3C2535}" name="Table31" displayName="Table31" ref="A35:F39" totalsRowShown="0">
  <autoFilter ref="A35:F39" xr:uid="{0742B03A-DF9F-7D4A-BF47-A0BB9A3C2535}"/>
  <tableColumns count="6">
    <tableColumn id="1" xr3:uid="{FB906B7C-6720-4C44-A7A9-944D5CE8D6E8}" name="Generation" dataDxfId="239"/>
    <tableColumn id="2" xr3:uid="{8563DD83-5F49-B54E-9CE0-4D9C31109411}" name="Deep Subprime" dataDxfId="238">
      <calculatedColumnFormula>'User Segmentation'!$B60*'Default Rates'!B$19+'User Segmentation'!$C60*'Default Rates'!B$20+'User Segmentation'!$D60*'Default Rates'!B$21</calculatedColumnFormula>
    </tableColumn>
    <tableColumn id="3" xr3:uid="{E3758252-909B-924F-AF23-5394A8B739A9}" name="Subprime" dataDxfId="237">
      <calculatedColumnFormula>'User Segmentation'!$B60*'Default Rates'!C$19+'User Segmentation'!$C60*'Default Rates'!C$20+'User Segmentation'!$D60*'Default Rates'!C$21+0.0292</calculatedColumnFormula>
    </tableColumn>
    <tableColumn id="4" xr3:uid="{187F7B26-8325-3F48-8A62-B587481BDC9B}" name="Near Prime" dataDxfId="236">
      <calculatedColumnFormula>'User Segmentation'!$B60*'Default Rates'!D$19+'User Segmentation'!$C60*'Default Rates'!D$20+'User Segmentation'!$D60*'Default Rates'!D$21+0.05</calculatedColumnFormula>
    </tableColumn>
    <tableColumn id="5" xr3:uid="{DBF6861C-46F5-744F-92C8-F7B41D5FBA20}" name="Prime" dataDxfId="235">
      <calculatedColumnFormula>('User Segmentation'!$B60*'Default Rates'!E$19+'User Segmentation'!$C60*'Default Rates'!E$20+'User Segmentation'!$D60*'Default Rates'!E$21)*0.75</calculatedColumnFormula>
    </tableColumn>
    <tableColumn id="6" xr3:uid="{86E9A211-4CC9-604D-8493-80823BCB4D2C}" name="Super Prime" dataDxfId="234">
      <calculatedColumnFormula>'User Segmentation'!$B60*'Default Rates'!F$19+'User Segmentation'!$C60*'Default Rates'!F$20+'User Segmentation'!$D60*'Default Rates'!F$21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823750A6-9EE8-0846-986F-1F40807C7D04}" name="Table33" displayName="Table33" ref="A43:B47" totalsRowShown="0">
  <autoFilter ref="A43:B47" xr:uid="{823750A6-9EE8-0846-986F-1F40807C7D04}"/>
  <tableColumns count="2">
    <tableColumn id="1" xr3:uid="{3B89CBA8-7123-6D44-80EE-4756B27BB2EE}" name="Generation"/>
    <tableColumn id="2" xr3:uid="{57FDFC47-27F3-324F-A1EC-A1138D0DC36C}" name="Default Rates" dataDxfId="233">
      <calculatedColumnFormula>'User Segmentation'!B60*'Default Rates'!B58+'User Segmentation'!C60*'Default Rates'!C58+'User Segmentation'!D60*'Default Rates'!D58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8F4465B4-F490-C845-82A9-21E87DAD50FE}" name="Table34" displayName="Table34" ref="A50:D54" totalsRowShown="0">
  <autoFilter ref="A50:D54" xr:uid="{8F4465B4-F490-C845-82A9-21E87DAD50FE}"/>
  <tableColumns count="4">
    <tableColumn id="1" xr3:uid="{DAC27248-0798-EE40-A872-5229453889CA}" name="Generation"/>
    <tableColumn id="2" xr3:uid="{9573F112-2F53-4F4F-8847-E625011F3A17}" name="&lt;50,000"/>
    <tableColumn id="3" xr3:uid="{0C7C24D7-F5D6-ED4A-93F5-200291858B50}" name="50,000-1,00,000"/>
    <tableColumn id="4" xr3:uid="{373C743E-79FF-8E47-A088-881A44B7634B}" name="&gt;1,00,000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B97CE6D5-613E-964F-877E-607599720A35}" name="Table3436" displayName="Table3436" ref="A57:D61" totalsRowShown="0">
  <autoFilter ref="A57:D61" xr:uid="{B97CE6D5-613E-964F-877E-607599720A35}"/>
  <tableColumns count="4">
    <tableColumn id="1" xr3:uid="{B6FD4500-45C3-174A-BB81-1A152E3EA053}" name="Generation"/>
    <tableColumn id="2" xr3:uid="{B0716422-C56B-374A-8704-4C9A1C2BCD48}" name="&lt;50,000" dataDxfId="232">
      <calculatedColumnFormula>$B$30*B51</calculatedColumnFormula>
    </tableColumn>
    <tableColumn id="3" xr3:uid="{65439561-A3B9-F24F-8DAD-6DD047C5E147}" name="50,000-1,00,000" dataDxfId="231">
      <calculatedColumnFormula>$B$31*C51</calculatedColumnFormula>
    </tableColumn>
    <tableColumn id="4" xr3:uid="{62829A76-F0D8-C946-A908-E1A40059B58B}" name="&gt;1,00,000" dataDxfId="230">
      <calculatedColumnFormula>$B$32*D51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F2409746-303D-FD4D-BB1A-B67DC905EFAF}" name="IncomexCredit_Num" displayName="IncomexCredit_Num" ref="A23:F26" totalsRowShown="0" headerRowDxfId="229" dataDxfId="227" headerRowBorderDxfId="228" tableBorderDxfId="226" totalsRowBorderDxfId="225">
  <autoFilter ref="A23:F26" xr:uid="{F2409746-303D-FD4D-BB1A-B67DC905EFAF}"/>
  <tableColumns count="6">
    <tableColumn id="1" xr3:uid="{7A373984-AC60-A845-AF52-FB33ACFF2756}" name="Income Bracket"/>
    <tableColumn id="2" xr3:uid="{91482F82-E749-6D4D-AC4F-192693D3B44E}" name="Deep Subprime" dataDxfId="224">
      <calculatedColumnFormula>B19*$J19</calculatedColumnFormula>
    </tableColumn>
    <tableColumn id="3" xr3:uid="{012D2F32-C95A-F948-A34D-002BB529F81A}" name="Subprime" dataDxfId="223">
      <calculatedColumnFormula>C19*$J19</calculatedColumnFormula>
    </tableColumn>
    <tableColumn id="4" xr3:uid="{9ABFE0B7-5486-DC44-A346-20E2395B8537}" name="Near Prime" dataDxfId="222">
      <calculatedColumnFormula>D19*$J19</calculatedColumnFormula>
    </tableColumn>
    <tableColumn id="5" xr3:uid="{EB9F052B-C48E-BB4B-8349-F5C7404A2CA1}" name="Prime" dataDxfId="221">
      <calculatedColumnFormula>E19*$J19</calculatedColumnFormula>
    </tableColumn>
    <tableColumn id="6" xr3:uid="{FEF25C1C-DB7C-A546-BA0B-F6B8EF345C31}" name="Super Prime" dataDxfId="220">
      <calculatedColumnFormula>F19*$J19</calculatedColumnFormula>
    </tableColumn>
  </tableColumns>
  <tableStyleInfo name="TableStyleLight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32B0FD5-6C7C-4244-A873-B6E252A28DEB}" name="Table36" displayName="Table36" ref="A1:G13" totalsRowShown="0">
  <autoFilter ref="A1:G13" xr:uid="{932B0FD5-6C7C-4244-A873-B6E252A28DEB}"/>
  <tableColumns count="7">
    <tableColumn id="1" xr3:uid="{29954296-C32D-8345-843A-5D33CA8044D7}" name="Generation"/>
    <tableColumn id="2" xr3:uid="{BD156A6F-7CE4-3C4D-8135-C065CCCCACD4}" name="Income Bracket" dataDxfId="219"/>
    <tableColumn id="3" xr3:uid="{3D3E5270-F1BF-F744-B9FB-AAB55DB1B50D}" name="Deep Subprime" dataDxfId="218"/>
    <tableColumn id="4" xr3:uid="{F36331A6-E301-1F4A-8CDF-B06E5FB54625}" name="Sub Prime" dataDxfId="217"/>
    <tableColumn id="5" xr3:uid="{9150B2BE-AA9B-4648-8704-758552E22EDC}" name="Near Prime" dataDxfId="216"/>
    <tableColumn id="6" xr3:uid="{FE97B692-AD72-F543-8093-DB43106EE425}" name="Prime" dataDxfId="215"/>
    <tableColumn id="7" xr3:uid="{9128C9C9-F756-F347-BC87-2321DF949046}" name="Super Prime" dataDxfId="214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625FCE9E-6379-AD49-8A15-26D85CA63A6E}" name="Table40" displayName="Table40" ref="A16:G28" totalsRowShown="0">
  <autoFilter ref="A16:G28" xr:uid="{625FCE9E-6379-AD49-8A15-26D85CA63A6E}"/>
  <tableColumns count="7">
    <tableColumn id="1" xr3:uid="{D2354ED9-0838-F34C-BF45-65D5B6DE7951}" name="Generation"/>
    <tableColumn id="2" xr3:uid="{A6D3B1AE-DE8B-234A-8E10-923680DD4489}" name="Income Bracket"/>
    <tableColumn id="3" xr3:uid="{13E9AFB6-586A-B14F-AEB4-BE91EC84DFFF}" name="Deep Subprime" dataDxfId="213"/>
    <tableColumn id="4" xr3:uid="{9BFBF956-D036-EF4A-A964-93BA493817C3}" name="Sub Prime" dataDxfId="212"/>
    <tableColumn id="5" xr3:uid="{AC4E11AB-70F5-7541-8286-093B52E1C102}" name="Near Prime" dataDxfId="211"/>
    <tableColumn id="6" xr3:uid="{40E9FEFF-F81E-5E4C-B1B8-465BC79DDAF8}" name="Prime" dataDxfId="210"/>
    <tableColumn id="7" xr3:uid="{FB967C6B-C929-ED41-9C5F-A5A95FA1DB69}" name="Super Prime" dataDxfId="209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46C57C68-045B-9743-A6F4-CD2BED8AD60F}" name="Portfolio_Perc" displayName="Portfolio_Perc" ref="A78:G90" totalsRowShown="0" dataDxfId="208" dataCellStyle="Per cent">
  <autoFilter ref="A78:G90" xr:uid="{46C57C68-045B-9743-A6F4-CD2BED8AD60F}"/>
  <tableColumns count="7">
    <tableColumn id="1" xr3:uid="{D205AFFB-50B6-E642-9DBF-EF1B169DB6BB}" name="Generation"/>
    <tableColumn id="2" xr3:uid="{10E47263-88F6-5B48-A4D9-99FA5F8C5788}" name="Income Bracket"/>
    <tableColumn id="3" xr3:uid="{B4E2C88D-88D9-9343-9237-FA50E90B6D3A}" name="Deep Subprime" dataDxfId="207" dataCellStyle="Per cent">
      <calculatedColumnFormula>C64/SUM(Portfolio_Num[[Deep Subprime]:[Super Prime]])</calculatedColumnFormula>
    </tableColumn>
    <tableColumn id="4" xr3:uid="{B8DA3415-FB83-A343-BC54-3FEE3C1CB682}" name="Sub Prime" dataDxfId="206" dataCellStyle="Per cent">
      <calculatedColumnFormula>D64/SUM(Portfolio_Num[[Deep Subprime]:[Super Prime]])</calculatedColumnFormula>
    </tableColumn>
    <tableColumn id="5" xr3:uid="{C0524D98-18A0-2D41-A909-48E961554118}" name="Near Prime" dataDxfId="205" dataCellStyle="Per cent">
      <calculatedColumnFormula>E64/SUM(Portfolio_Num[[Deep Subprime]:[Super Prime]])</calculatedColumnFormula>
    </tableColumn>
    <tableColumn id="6" xr3:uid="{745D5B86-998A-0745-B545-159A726CB6AA}" name="Prime" dataDxfId="204" dataCellStyle="Per cent">
      <calculatedColumnFormula>F64/SUM(Portfolio_Num[[Deep Subprime]:[Super Prime]])</calculatedColumnFormula>
    </tableColumn>
    <tableColumn id="7" xr3:uid="{CD1FE0D8-9B26-CE4B-ACF8-49072FB98441}" name="Super Prime" dataDxfId="203" dataCellStyle="Per cent">
      <calculatedColumnFormula>G64/SUM(Portfolio_Num[[Deep Subprime]:[Super Prime]])</calculatedColumnFormula>
    </tableColumn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2335188-FBF6-BD40-A2B3-1DBF8E743EE9}" name="Table42" displayName="Table42" ref="A47:G59" totalsRowShown="0">
  <autoFilter ref="A47:G59" xr:uid="{22335188-FBF6-BD40-A2B3-1DBF8E743EE9}"/>
  <tableColumns count="7">
    <tableColumn id="1" xr3:uid="{88B34142-BE5A-4646-89F2-B1598507B32E}" name="Generation"/>
    <tableColumn id="2" xr3:uid="{3516D6FF-CCD7-4049-8956-8CAFA2417460}" name="Income Bracket"/>
    <tableColumn id="3" xr3:uid="{EA5884B8-2AEB-5645-96EB-B4C7566AA76A}" name="Deep Subprime" dataDxfId="202"/>
    <tableColumn id="4" xr3:uid="{A470A14D-7FAA-6A43-A89D-4E6730FE8190}" name="Sub Prime" dataDxfId="201"/>
    <tableColumn id="5" xr3:uid="{ABE86512-D35F-374A-A549-35C243D829B3}" name="Near Prime" dataDxfId="200"/>
    <tableColumn id="6" xr3:uid="{3D4E3E60-790B-C141-81FC-AD16F6D33026}" name="Prime" dataDxfId="199"/>
    <tableColumn id="7" xr3:uid="{D4F7550A-99EE-874E-8C9E-8A95D7924A91}" name="Super Prime" dataDxfId="198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EADCF42E-0058-8A43-8891-B2A7E4EDE611}" name="Portfolio_Default" displayName="Portfolio_Default" ref="A93:G105" totalsRowShown="0">
  <autoFilter ref="A93:G105" xr:uid="{EADCF42E-0058-8A43-8891-B2A7E4EDE611}"/>
  <tableColumns count="7">
    <tableColumn id="1" xr3:uid="{2A5F496E-010B-F64B-87B4-8DA530D531A0}" name="Generation"/>
    <tableColumn id="2" xr3:uid="{044345CA-A50B-2C4E-B844-A19F3847EAB1}" name="Income Bracket"/>
    <tableColumn id="3" xr3:uid="{1B7BF3CB-B2CB-024E-B3EA-25AA31E713D8}" name="Deep Subprime" dataDxfId="197">
      <calculatedColumnFormula>'Default Rates'!$D$11 * INDEX($K$94:$M$97,
             MATCH($A94,$J$94:$J$97,0),
             MATCH($B94,$K$93:$M$93,0))</calculatedColumnFormula>
    </tableColumn>
    <tableColumn id="4" xr3:uid="{19ED3C39-DFFB-F646-A146-E860BAB37E14}" name="Sub Prime" dataDxfId="196">
      <calculatedColumnFormula>'Default Rates'!$D$12 * INDEX($K$94:$M$97,
             MATCH($A94,$J$94:$J$97,0),
             MATCH($B94,$K$93:$M$93,0))</calculatedColumnFormula>
    </tableColumn>
    <tableColumn id="5" xr3:uid="{24D1DA0C-15F4-E545-9EF3-163DBB6C064E}" name="Near Prime" dataDxfId="195">
      <calculatedColumnFormula>'Default Rates'!$D$13 * INDEX($K$94:$M$97,
             MATCH($A94,$J$94:$J$97,0),
             MATCH($B94,$K$93:$M$93,0))</calculatedColumnFormula>
    </tableColumn>
    <tableColumn id="6" xr3:uid="{5A0B8159-5EE6-8B45-9B21-956E2B503424}" name="Prime" dataDxfId="194">
      <calculatedColumnFormula>'Default Rates'!$D$14 * INDEX($K$94:$M$97,
             MATCH($A94,$J$94:$J$97,0),
             MATCH($B94,$K$93:$M$93,0))</calculatedColumnFormula>
    </tableColumn>
    <tableColumn id="7" xr3:uid="{B0113B2C-2781-D840-883B-56168E891CCE}" name="Super Prime" dataDxfId="193">
      <calculatedColumnFormula>'Default Rates'!$D$15 * INDEX($K$94:$M$97,
             MATCH($A94,$J$94:$J$97,0),
             MATCH($B94,$K$93:$M$93,0))</calculatedColumnFormula>
    </tableColumn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C2413953-D858-254B-9BC7-DDF0426A3F4A}" name="DefaultMultiplier" displayName="DefaultMultiplier" ref="J93:M97" totalsRowShown="0">
  <autoFilter ref="J93:M97" xr:uid="{C2413953-D858-254B-9BC7-DDF0426A3F4A}"/>
  <tableColumns count="4">
    <tableColumn id="1" xr3:uid="{24A30BBF-D8ED-2545-BA15-38669FB640B5}" name="Generation"/>
    <tableColumn id="2" xr3:uid="{6C9D65B6-1B6F-404F-8474-9B4CF13BA706}" name="&lt;50,000"/>
    <tableColumn id="3" xr3:uid="{EC38517B-DED2-E642-97F5-9677854606DE}" name="50,000-1,00,000"/>
    <tableColumn id="4" xr3:uid="{ECE5E312-B847-3443-9E05-3D1846ECF682}" name="&gt;1,00,000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D418B33-19D0-F448-8F8C-B785D20B3D19}" name="Table48" displayName="Table48" ref="A108:A109" totalsRowShown="0" headerRowDxfId="192" dataDxfId="191" headerRowCellStyle="Per cent" dataCellStyle="Per cent">
  <autoFilter ref="A108:A109" xr:uid="{0D418B33-19D0-F448-8F8C-B785D20B3D19}"/>
  <tableColumns count="1">
    <tableColumn id="1" xr3:uid="{EF86411F-CDAB-AE49-80CC-2CCFD1EE0F0E}" name="Portfolio Default Rate" dataDxfId="190" dataCellStyle="Per cent">
      <calculatedColumnFormula>SUMPRODUCT(C94:G105,Portfolio_Perc[[Deep Subprime]:[Super Prime]])</calculatedColumnFormula>
    </tableColumn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906A7484-1E6D-7841-ADE0-4B96ABE4165E}" name="Table51" displayName="Table51" ref="J47:K50" totalsRowShown="0">
  <autoFilter ref="J47:K50" xr:uid="{906A7484-1E6D-7841-ADE0-4B96ABE4165E}"/>
  <tableColumns count="2">
    <tableColumn id="1" xr3:uid="{68880F41-78D8-FE4B-A749-7DC8BA0964A5}" name="Income Bracket"/>
    <tableColumn id="2" xr3:uid="{EA69346D-F475-C741-955E-8B9207681E60}" name="# of BNPL Users (in M)">
      <calculatedColumnFormula>P31</calculatedColumnFormula>
    </tableColumn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CA6C2ACC-5823-2745-99F5-2AB7C16B0A47}" name="Portfolio_Num" displayName="Portfolio_Num" ref="A63:G75" totalsRowShown="0">
  <autoFilter ref="A63:G75" xr:uid="{CA6C2ACC-5823-2745-99F5-2AB7C16B0A47}"/>
  <tableColumns count="7">
    <tableColumn id="1" xr3:uid="{C5DD0E9F-8F2C-4346-809C-DA1AB65521BC}" name="Generation"/>
    <tableColumn id="2" xr3:uid="{10932E30-6DF1-7646-9ED9-A67DA5A8F7FF}" name="Income Bracket"/>
    <tableColumn id="3" xr3:uid="{7B370D97-6C61-5D4B-A961-98347858626C}" name="Deep Subprime" dataDxfId="189">
      <calculatedColumnFormula>C48*$K$55/C$61</calculatedColumnFormula>
    </tableColumn>
    <tableColumn id="4" xr3:uid="{542ACE23-03E2-4B4B-987F-E56EFB75602F}" name="Sub Prime" dataDxfId="188">
      <calculatedColumnFormula>D48*$K$56/D$61</calculatedColumnFormula>
    </tableColumn>
    <tableColumn id="5" xr3:uid="{030BA92F-B960-0349-AE7C-7A3B16DEFEEB}" name="Near Prime" dataDxfId="187">
      <calculatedColumnFormula>E48*$K$57/E$61</calculatedColumnFormula>
    </tableColumn>
    <tableColumn id="6" xr3:uid="{A1E062B4-AFA8-1A45-8D72-4580BA0F9BAA}" name="Prime" dataDxfId="186">
      <calculatedColumnFormula>F48*$K$58/F$61</calculatedColumnFormula>
    </tableColumn>
    <tableColumn id="7" xr3:uid="{AE09CF48-3AB1-F042-92CD-7F926EBF787D}" name="Super Prime" dataDxfId="185">
      <calculatedColumnFormula>G48*$K$59/G$61</calculatedColumnFormula>
    </tableColumn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E6C7BAC-7072-AA47-822A-0B819F122E82}" name="Table54" displayName="Table54" ref="J106:M112" totalsRowShown="0">
  <autoFilter ref="J106:M112" xr:uid="{DE6C7BAC-7072-AA47-822A-0B819F122E82}"/>
  <tableColumns count="4">
    <tableColumn id="1" xr3:uid="{2BEBF28F-A153-5A4D-8C0C-B8946CCC790F}" name="Credit Category"/>
    <tableColumn id="2" xr3:uid="{D7B03DCC-FF4F-E348-ACD2-94D8DDE5400D}" name="Loan Originations" dataDxfId="184"/>
    <tableColumn id="3" xr3:uid="{F0F0C8C7-A6CD-6A48-AAEF-2DB5FCE2D759}" name="Loan Count (in M)" dataDxfId="183">
      <calculatedColumnFormula>Table54[[#This Row],[Loan Originations]]*'User Segmentation'!$I$47</calculatedColumnFormula>
    </tableColumn>
    <tableColumn id="4" xr3:uid="{6CDE11E4-9B1F-7E4B-8E43-F8561FF57D09}" name="Average Loans " dataDxfId="18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EB507F71-1B7A-4D40-AB7F-A86E59D63C91}" name="Portfolio_Loans" displayName="Portfolio_Loans" ref="A131:G143" totalsRowShown="0" headerRowDxfId="181" dataDxfId="179" headerRowBorderDxfId="180" tableBorderDxfId="178">
  <autoFilter ref="A131:G143" xr:uid="{EB507F71-1B7A-4D40-AB7F-A86E59D63C91}"/>
  <tableColumns count="7">
    <tableColumn id="1" xr3:uid="{C5DD8D7B-1263-2641-9BE0-34391782F1E0}" name="Generation"/>
    <tableColumn id="2" xr3:uid="{9AF0E465-AF1A-974D-B4A3-068ECD6A2BDA}" name="Income Bracket" dataDxfId="177"/>
    <tableColumn id="3" xr3:uid="{BDBE18A6-9854-B14C-AE0C-48D2AEBD08BD}" name="Deep Subprime" dataDxfId="176">
      <calculatedColumnFormula>C64*B$146</calculatedColumnFormula>
    </tableColumn>
    <tableColumn id="4" xr3:uid="{0AD0EB46-0D04-4943-B597-2D4BF50C4C4B}" name="Sub Prime" dataDxfId="175">
      <calculatedColumnFormula>D64*C$146</calculatedColumnFormula>
    </tableColumn>
    <tableColumn id="5" xr3:uid="{93C434E8-C694-5349-8B65-023C5E2DB371}" name="Near Prime" dataDxfId="174">
      <calculatedColumnFormula>E64*D$146</calculatedColumnFormula>
    </tableColumn>
    <tableColumn id="6" xr3:uid="{6908B149-7A48-6740-8E9B-61EC35CAA2B6}" name="Prime" dataDxfId="173">
      <calculatedColumnFormula>F64*E$146</calculatedColumnFormula>
    </tableColumn>
    <tableColumn id="7" xr3:uid="{1193A69C-742F-DB4F-B311-47B24E2B956A}" name="Super Prime" dataDxfId="172">
      <calculatedColumnFormula>G64*F$146</calculatedColumnFormula>
    </tableColumn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2D98FCC9-574B-204D-AC33-EE5477B72F39}" name="ATS_Table" displayName="ATS_Table" ref="A17:G29" totalsRowShown="0" headerRowDxfId="171" dataDxfId="170">
  <autoFilter ref="A17:G29" xr:uid="{2D98FCC9-574B-204D-AC33-EE5477B72F39}"/>
  <tableColumns count="7">
    <tableColumn id="1" xr3:uid="{09FFD9A4-4DBA-E348-98E7-18F4F2CF4BA6}" name="Generation"/>
    <tableColumn id="7" xr3:uid="{825F08F9-9923-8C43-83EB-A4F422AAA12E}" name="Income Bracket"/>
    <tableColumn id="2" xr3:uid="{FE039684-1A06-6E47-B529-D08CF107363A}" name="Deep Subprime" dataDxfId="169">
      <calculatedColumnFormula>C3*$I$2</calculatedColumnFormula>
    </tableColumn>
    <tableColumn id="3" xr3:uid="{35C60B3D-C7E6-2948-B312-5C2440E91E32}" name="Sub Prime" dataDxfId="168">
      <calculatedColumnFormula>D3*$I$2</calculatedColumnFormula>
    </tableColumn>
    <tableColumn id="4" xr3:uid="{DA16EE14-C94D-8940-8678-E4518B9D7981}" name="Near Prime" dataDxfId="167">
      <calculatedColumnFormula>E3*$I$2</calculatedColumnFormula>
    </tableColumn>
    <tableColumn id="5" xr3:uid="{13616484-023E-C54B-9169-EA4763582AB7}" name="Prime" dataDxfId="166">
      <calculatedColumnFormula>F3*$I$2</calculatedColumnFormula>
    </tableColumn>
    <tableColumn id="6" xr3:uid="{0340187F-74EF-984A-AC98-8F79E716D6F4}" name="Super Prime" dataDxfId="165">
      <calculatedColumnFormula>G3*$I$2</calculatedColumnFormula>
    </tableColumn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C3026E8C-A249-E741-8951-07E8B0A95D7F}" name="ARPU_Table" displayName="ARPU_Table" ref="A32:G44" totalsRowShown="0" headerRowCellStyle="Normal" dataCellStyle="Normal">
  <autoFilter ref="A32:G44" xr:uid="{C3026E8C-A249-E741-8951-07E8B0A95D7F}"/>
  <tableColumns count="7">
    <tableColumn id="1" xr3:uid="{87D4895C-0EA3-EB4B-A321-87EED4FBBC39}" name="Generation" dataCellStyle="Normal"/>
    <tableColumn id="7" xr3:uid="{6CB70145-BA72-FC4E-A9E1-AB30AB04D11B}" name="Column1" dataDxfId="164"/>
    <tableColumn id="2" xr3:uid="{9DCCFF95-1EBB-BE49-83B6-C28D7F24E72B}" name="Deep Subprime" dataDxfId="163" dataCellStyle="Currency">
      <calculatedColumnFormula>C18*'Portfolio x PD x Loan Count'!C132*'User Segmentation'!$I$49/'Portfolio x PD x Loan Count'!C64</calculatedColumnFormula>
    </tableColumn>
    <tableColumn id="3" xr3:uid="{16091AF0-28A7-C34D-BEA0-60002AFBF2BA}" name="Sub Prime" dataDxfId="162" dataCellStyle="Currency">
      <calculatedColumnFormula>D18*'Portfolio x PD x Loan Count'!D132*'User Segmentation'!$I$49/'Portfolio x PD x Loan Count'!D64</calculatedColumnFormula>
    </tableColumn>
    <tableColumn id="4" xr3:uid="{EFA28897-3500-A941-A582-DE38910A514B}" name="Near Prime" dataDxfId="161" dataCellStyle="Currency">
      <calculatedColumnFormula>E18*'Portfolio x PD x Loan Count'!E132*'User Segmentation'!$I$49/'Portfolio x PD x Loan Count'!E64</calculatedColumnFormula>
    </tableColumn>
    <tableColumn id="5" xr3:uid="{9BE87F57-D8EC-E64F-BE4B-3BA923DA5C0E}" name="Prime" dataDxfId="160" dataCellStyle="Currency">
      <calculatedColumnFormula>F18*'Portfolio x PD x Loan Count'!F132*'User Segmentation'!$I$49/'Portfolio x PD x Loan Count'!F64</calculatedColumnFormula>
    </tableColumn>
    <tableColumn id="6" xr3:uid="{96D0FC67-BC71-1947-8AD9-4FF5B7049F03}" name="Super Prime" dataDxfId="159" dataCellStyle="Currency">
      <calculatedColumnFormula>G18*'Portfolio x PD x Loan Count'!G132*'User Segmentation'!$I$49/'Portfolio x PD x Loan Count'!G64</calculatedColumnFormula>
    </tableColumn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D121DABD-9C64-3E4F-B600-2C9EBEA0A4B4}" name="RevPerSegment" displayName="RevPerSegment" ref="A47:G59" totalsRowShown="0">
  <autoFilter ref="A47:G59" xr:uid="{D121DABD-9C64-3E4F-B600-2C9EBEA0A4B4}"/>
  <tableColumns count="7">
    <tableColumn id="1" xr3:uid="{960AB964-53F8-6944-977D-0C7FBC1351C8}" name="Generation"/>
    <tableColumn id="8" xr3:uid="{3B1D92B6-E1BE-FE41-908C-3CDF59724650}" name="Column1" dataDxfId="158"/>
    <tableColumn id="2" xr3:uid="{DB4F5BB5-6371-2F40-A2DF-84419DEC1035}" name="Deep Subprime" dataDxfId="157">
      <calculatedColumnFormula>C33*'Portfolio x PD x Loan Count'!C64</calculatedColumnFormula>
    </tableColumn>
    <tableColumn id="3" xr3:uid="{7EAEA1FF-9A04-5248-9590-DBD9CE493775}" name="Sub Prime" dataDxfId="156">
      <calculatedColumnFormula>D33*'Portfolio x PD x Loan Count'!D64</calculatedColumnFormula>
    </tableColumn>
    <tableColumn id="4" xr3:uid="{4966F406-149A-7244-B2A5-BBD2A59C5700}" name="Near Prime" dataDxfId="155">
      <calculatedColumnFormula>E33*'Portfolio x PD x Loan Count'!E64</calculatedColumnFormula>
    </tableColumn>
    <tableColumn id="5" xr3:uid="{D9710B82-3C22-974D-B116-5E91E73A7143}" name="Prime" dataDxfId="154">
      <calculatedColumnFormula>F33*'Portfolio x PD x Loan Count'!F64</calculatedColumnFormula>
    </tableColumn>
    <tableColumn id="6" xr3:uid="{F1EA737D-695F-F64E-9ADA-522EB68E7BD2}" name="Super Prime" dataDxfId="153">
      <calculatedColumnFormula>G33*'Portfolio x PD x Loan Count'!G64</calculatedColumnFormula>
    </tableColumn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A5CF9A7F-4C23-7E4B-9CBB-E89F980E9309}" name="ECL_Table" displayName="ECL_Table" ref="I17:O29" totalsRowShown="0" headerRowDxfId="152" dataDxfId="151">
  <autoFilter ref="I17:O29" xr:uid="{A5CF9A7F-4C23-7E4B-9CBB-E89F980E9309}"/>
  <tableColumns count="7">
    <tableColumn id="1" xr3:uid="{C225CC1A-78FC-5442-902A-A51CC37B167C}" name="Generation"/>
    <tableColumn id="7" xr3:uid="{64D9D0B0-58F3-384D-B737-56498DBF7082}" name="Income Bracket"/>
    <tableColumn id="2" xr3:uid="{1C497AB3-9350-4642-BE94-EC507AA3BC7A}" name="Deep Subprime" dataDxfId="150" dataCellStyle="Currency">
      <calculatedColumnFormula>ATS_Table[[#This Row],[Deep Subprime]]*'Dynamic PD'!N3*'EAD Estimate'!$E$2*'EAD Estimate'!$F$2</calculatedColumnFormula>
    </tableColumn>
    <tableColumn id="3" xr3:uid="{B7723376-4B19-BD41-9774-9466CC79FF97}" name="Sub Prime" dataDxfId="149" dataCellStyle="Currency">
      <calculatedColumnFormula>ATS_Table[[#This Row],[Sub Prime]]*'Dynamic PD'!O3*'EAD Estimate'!$E$3*'EAD Estimate'!$F$3</calculatedColumnFormula>
    </tableColumn>
    <tableColumn id="4" xr3:uid="{08E03395-60E6-2E43-B253-93B1CC91AC17}" name="Near Prime" dataDxfId="148" dataCellStyle="Currency">
      <calculatedColumnFormula>ATS_Table[[#This Row],[Near Prime]]*'Dynamic PD'!P3*'EAD Estimate'!$E$4*'EAD Estimate'!$F$4</calculatedColumnFormula>
    </tableColumn>
    <tableColumn id="5" xr3:uid="{9E3F0526-DFD1-6442-BDBF-9149FA0156B2}" name="Prime" dataDxfId="147" dataCellStyle="Currency">
      <calculatedColumnFormula>ATS_Table[[#This Row],[Prime]]*'Dynamic PD'!Q3*'EAD Estimate'!$E$5*'EAD Estimate'!$F$5</calculatedColumnFormula>
    </tableColumn>
    <tableColumn id="6" xr3:uid="{BC7116E2-C735-C84B-A5ED-69E1F15E542E}" name="Super Prime" dataDxfId="146" dataCellStyle="Currency">
      <calculatedColumnFormula>ATS_Table[[#This Row],[Super Prime]]*'Dynamic PD'!R3*'EAD Estimate'!$E$6*'EAD Estimate'!$F$6</calculatedColumnFormula>
    </tableColumn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6561C4F2-5539-804C-BE8F-507BD1F5BCDC}" name="FC_Table" displayName="FC_Table" ref="I32:O44" totalsRowShown="0" headerRowDxfId="145" dataDxfId="144">
  <autoFilter ref="I32:O44" xr:uid="{6561C4F2-5539-804C-BE8F-507BD1F5BCDC}"/>
  <tableColumns count="7">
    <tableColumn id="1" xr3:uid="{2B4DBB45-62E8-924E-B9F2-44AE4800CF04}" name="Generation"/>
    <tableColumn id="7" xr3:uid="{8A9C184A-204F-6A4C-8FFC-1E3F4C78C962}" name="Income Bracket"/>
    <tableColumn id="2" xr3:uid="{B9A979E2-091A-4148-9512-04705C8FC499}" name="Deep Subprime" dataDxfId="143" dataCellStyle="Currency">
      <calculatedColumnFormula array="1">C18*Dynamic_Row_Table[[Funding Rate]:[Funding Rate]]*Dynamic_Row_Table[[Tenure (in months)]:[Tenure (in months)]]/12</calculatedColumnFormula>
    </tableColumn>
    <tableColumn id="3" xr3:uid="{CA0EFD4D-23B0-3846-8ADC-B2C916282217}" name="Sub Prime" dataDxfId="142" dataCellStyle="Currency">
      <calculatedColumnFormula array="1">D18*Dynamic_Row_Table[[Funding Rate]:[Funding Rate]]*Dynamic_Row_Table[[Tenure (in months)]:[Tenure (in months)]]/12</calculatedColumnFormula>
    </tableColumn>
    <tableColumn id="4" xr3:uid="{7630C088-B086-044A-B842-032CFCA92B2F}" name="Near Prime" dataDxfId="141" dataCellStyle="Currency">
      <calculatedColumnFormula array="1">E18*Dynamic_Row_Table[[Funding Rate]:[Funding Rate]]*Dynamic_Row_Table[[Tenure (in months)]:[Tenure (in months)]]/12</calculatedColumnFormula>
    </tableColumn>
    <tableColumn id="5" xr3:uid="{EC23E89C-B80B-E24E-BACC-0DF09B932887}" name="Prime" dataDxfId="140" dataCellStyle="Currency">
      <calculatedColumnFormula array="1">F18*Dynamic_Row_Table[[Funding Rate]:[Funding Rate]]*Dynamic_Row_Table[[Tenure (in months)]:[Tenure (in months)]]/12</calculatedColumnFormula>
    </tableColumn>
    <tableColumn id="6" xr3:uid="{128420CA-BAC6-E240-BA02-657826EE6013}" name="Super Prime" dataDxfId="139" dataCellStyle="Currency">
      <calculatedColumnFormula array="1">G18*Dynamic_Row_Table[[Funding Rate]:[Funding Rate]]*Dynamic_Row_Table[[Tenure (in months)]:[Tenure (in months)]]/12</calculatedColumnFormula>
    </tableColumn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3A4C61CB-59F5-734A-AE4F-5B96B21A2D45}" name="RevPerLoan" displayName="RevPerLoan" ref="I47:O59" totalsRowShown="0" headerRowDxfId="138" dataDxfId="136" headerRowBorderDxfId="137" tableBorderDxfId="135" totalsRowBorderDxfId="134">
  <autoFilter ref="I47:O59" xr:uid="{3A4C61CB-59F5-734A-AE4F-5B96B21A2D45}"/>
  <tableColumns count="7">
    <tableColumn id="1" xr3:uid="{7CE0A177-DF12-8641-8A5F-014CC04D535A}" name="Generation"/>
    <tableColumn id="2" xr3:uid="{96E72501-426C-794D-B391-E62E0E6A80B3}" name="Income Bracket" dataDxfId="133"/>
    <tableColumn id="3" xr3:uid="{6510427A-50EC-014F-A102-092437D9A380}" name="Deep Subprime" dataDxfId="132">
      <calculatedColumnFormula>C18*'User Segmentation'!$I$49</calculatedColumnFormula>
    </tableColumn>
    <tableColumn id="4" xr3:uid="{E80876F0-1C3A-3D4F-B990-2192DEC39703}" name="Sub Prime" dataDxfId="131">
      <calculatedColumnFormula>D18*'User Segmentation'!$I$49</calculatedColumnFormula>
    </tableColumn>
    <tableColumn id="5" xr3:uid="{855C97B3-E455-2B4B-8748-EA98AC1282EE}" name="Near Prime" dataDxfId="130">
      <calculatedColumnFormula>E18*'User Segmentation'!$I$49</calculatedColumnFormula>
    </tableColumn>
    <tableColumn id="6" xr3:uid="{807BCA03-1AD5-F243-8D97-72A026EF1190}" name="Prime" dataDxfId="129">
      <calculatedColumnFormula>F18*'User Segmentation'!$I$49</calculatedColumnFormula>
    </tableColumn>
    <tableColumn id="7" xr3:uid="{C81B29D6-DB90-7A40-9C2B-6FB4B71D8135}" name="Super Prime" dataDxfId="128">
      <calculatedColumnFormula>G18*'User Segmentation'!$I$49</calculatedColumnFormula>
    </tableColumn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0CC05B-0DEE-AC42-BF87-F8A2500CFBD7}" name="EAD_Table" displayName="EAD_Table" ref="A1:F6" totalsRowShown="0" dataDxfId="127" dataCellStyle="Per cent">
  <autoFilter ref="A1:F6" xr:uid="{450CC05B-0DEE-AC42-BF87-F8A2500CFBD7}"/>
  <tableColumns count="6">
    <tableColumn id="1" xr3:uid="{5201C508-0DB8-1E47-8D2E-1AA1004FA1D0}" name="Credit Category"/>
    <tableColumn id="2" xr3:uid="{C003BCDF-A9BD-9447-8467-713EB4D45EA7}" name="P(0.75)" dataDxfId="126" dataCellStyle="Per cent"/>
    <tableColumn id="3" xr3:uid="{430EE6D2-D78F-CA43-9C86-878C44977B41}" name="P(0.5)" dataDxfId="125" dataCellStyle="Per cent"/>
    <tableColumn id="4" xr3:uid="{B19FF4A2-38B1-FC46-AEA1-5BB334213939}" name="P(0.25)" dataDxfId="124" dataCellStyle="Per cent"/>
    <tableColumn id="5" xr3:uid="{0FFAFF52-8E14-DC45-9CD4-C9786E8C5FA2}" name="EAD" dataDxfId="123" dataCellStyle="Per cent">
      <calculatedColumnFormula>B2*0.75+C2*0.5+D2*0.25</calculatedColumnFormula>
    </tableColumn>
    <tableColumn id="6" xr3:uid="{7F2D8C76-61E0-0C40-8395-C40AAAFB5E7C}" name="LGD" dataDxfId="122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21C6F584-710A-B94A-AF94-F0A7EA13AEB8}" name="Beta_Income" displayName="Beta_Income" ref="F1:G4" totalsRowShown="0">
  <autoFilter ref="F1:G4" xr:uid="{21C6F584-710A-B94A-AF94-F0A7EA13AEB8}"/>
  <tableColumns count="2">
    <tableColumn id="1" xr3:uid="{4BC43BA4-F271-A946-9E6A-54F90FCDEC1D}" name="Income Beta"/>
    <tableColumn id="2" xr3:uid="{EB6EAB86-228B-0C40-A3A3-10C8B241F5C9}" name="Beta Valu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13A64603-B14C-2E43-81CD-A62E121D5BA8}" name="Beta_Credit" displayName="Beta_Credit" ref="F6:G11" totalsRowShown="0">
  <autoFilter ref="F6:G11" xr:uid="{13A64603-B14C-2E43-81CD-A62E121D5BA8}"/>
  <tableColumns count="2">
    <tableColumn id="1" xr3:uid="{9BD4FDFD-CEF5-974F-A25E-DA530B7F80A2}" name="Credit Category Beta"/>
    <tableColumn id="2" xr3:uid="{4276FB30-B946-EE44-A3A3-6FAABBD02F90}" name="Beta Value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F0B51E22-FCC0-5F48-BE38-5DB413E64B22}" name="Table68" displayName="Table68" ref="L16:L17" totalsRowShown="0" dataDxfId="121" dataCellStyle="Per cent">
  <autoFilter ref="L16:L17" xr:uid="{F0B51E22-FCC0-5F48-BE38-5DB413E64B22}"/>
  <tableColumns count="1">
    <tableColumn id="1" xr3:uid="{B6824B3C-9809-7F4D-A49A-F30AC033DB7D}" name="PD(0)" dataDxfId="120" dataCellStyle="Per cent">
      <calculatedColumnFormula array="1">INDEX($N$3:$R$14,
       MATCH(1,($L$3:$L$14=$F$17)*($M$3:$M$14=$G$17),0),
       MATCH($H$17,$N$2:$R$2,0))</calculatedColumnFormula>
    </tableColumn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AA487E7E-3B36-7648-BD72-3E6CD52B92CD}" name="Table69" displayName="Table69" ref="L34:L35" totalsRowShown="0" dataDxfId="119" dataCellStyle="Currency">
  <autoFilter ref="L34:L35" xr:uid="{AA487E7E-3B36-7648-BD72-3E6CD52B92CD}"/>
  <tableColumns count="1">
    <tableColumn id="1" xr3:uid="{4F8F8540-FF02-8144-A261-5FF8FA78DCE4}" name="ATS" dataDxfId="118" dataCellStyle="Currency">
      <calculatedColumnFormula array="1">INDEX($N$21:$R$32,MATCH(1,($L$21:$L$32=$F$17)*($M$21:$M$32=$G$17),0),MATCH($H$17,$N$20:$R$20,0))</calculatedColumnFormula>
    </tableColumn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995D5AB-B442-354F-9FA9-85E2DEFEE1BE}" name="Dynamic_Row_Table" displayName="Dynamic_Row_Table" ref="F13:J14" totalsRowShown="0">
  <autoFilter ref="F13:J14" xr:uid="{0995D5AB-B442-354F-9FA9-85E2DEFEE1BE}"/>
  <tableColumns count="5">
    <tableColumn id="1" xr3:uid="{EFE6EFCC-F873-8244-AC3F-9D639138D2E8}" name="Beta Segment">
      <calculatedColumnFormula>(VLOOKUP($G$17,Beta_Income[#All],2,0))*(VLOOKUP($H$17,Beta_Credit[#All],2,0))</calculatedColumnFormula>
    </tableColumn>
    <tableColumn id="2" xr3:uid="{D3301976-A2A3-9448-BCC1-C3FE3CAE6D45}" name="LGD" dataDxfId="117"/>
    <tableColumn id="3" xr3:uid="{77F7E678-F486-3F41-BA4B-B7F5CB5EFE24}" name="Fixed Cost" dataDxfId="116" dataCellStyle="Currency"/>
    <tableColumn id="4" xr3:uid="{02750CE9-FAF3-6C40-BEE6-EED703933CEC}" name="Funding Rate">
      <calculatedColumnFormula>(9.5% +Dashboard!$Q$25/10000)</calculatedColumnFormula>
    </tableColumn>
    <tableColumn id="5" xr3:uid="{218432A1-EC65-5544-ACF2-0E4E1969BB90}" name="Tenure (in months)" dataDxfId="115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6FE4F4B9-1974-794A-834A-16AF406FFCE2}" name="CMPerLoan" displayName="CMPerLoan" ref="A2:G14" totalsRowShown="0" headerRowDxfId="114" headerRowBorderDxfId="113" tableBorderDxfId="112">
  <autoFilter ref="A2:G14" xr:uid="{6FE4F4B9-1974-794A-834A-16AF406FFCE2}"/>
  <tableColumns count="7">
    <tableColumn id="1" xr3:uid="{EEDD1236-AE0D-834D-8DC8-560AEF3EEC7E}" name="Generation"/>
    <tableColumn id="2" xr3:uid="{CE8BFFBE-1121-AF4E-BDCC-D38C496EC29A}" name="Income Bracket" dataDxfId="111"/>
    <tableColumn id="3" xr3:uid="{C2E6EC91-E387-8D46-AD57-ED5A10BFED96}" name="Deep Subprime" dataDxfId="110">
      <calculatedColumnFormula array="1">'Support Tables'!K48-'Support Tables'!K33-'Support Tables'!K18-Dynamic_Row_Table[[Fixed Cost]:[Fixed Cost]]</calculatedColumnFormula>
    </tableColumn>
    <tableColumn id="4" xr3:uid="{71AE0750-E296-AE43-B75B-B95F04EA0483}" name="Sub Prime" dataDxfId="109">
      <calculatedColumnFormula array="1">'Support Tables'!L48-'Support Tables'!L33-'Support Tables'!L18-Dynamic_Row_Table[[Fixed Cost]:[Fixed Cost]]</calculatedColumnFormula>
    </tableColumn>
    <tableColumn id="5" xr3:uid="{B9BB9E37-8950-E64D-A927-B8534D8C7F79}" name="Near Prime" dataDxfId="108">
      <calculatedColumnFormula array="1">'Support Tables'!M48-'Support Tables'!M33-'Support Tables'!M18-Dynamic_Row_Table[[Fixed Cost]:[Fixed Cost]]</calculatedColumnFormula>
    </tableColumn>
    <tableColumn id="6" xr3:uid="{02B06421-3681-A043-A6FF-76AFD1A86E84}" name="Prime" dataDxfId="107">
      <calculatedColumnFormula array="1">'Support Tables'!N48-'Support Tables'!N33-'Support Tables'!N18-Dynamic_Row_Table[[Fixed Cost]:[Fixed Cost]]</calculatedColumnFormula>
    </tableColumn>
    <tableColumn id="7" xr3:uid="{B33E27E8-4D47-6847-8925-849869FAF4AB}" name="Super Prime" dataDxfId="106">
      <calculatedColumnFormula array="1">'Support Tables'!O48-'Support Tables'!O33-'Support Tables'!O18-Dynamic_Row_Table[[Fixed Cost]:[Fixed Cost]]</calculatedColumnFormula>
    </tableColumn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7B670B7F-3DB5-F943-8461-50235221AF2D}" name="CMPerUser" displayName="CMPerUser" ref="A17:G29" totalsRowShown="0" headerRowDxfId="105" headerRowBorderDxfId="104" tableBorderDxfId="103">
  <autoFilter ref="A17:G29" xr:uid="{7B670B7F-3DB5-F943-8461-50235221AF2D}"/>
  <tableColumns count="7">
    <tableColumn id="1" xr3:uid="{316F6C9D-B9FF-EA4D-A7C7-EABF1EC030F2}" name="Generation"/>
    <tableColumn id="2" xr3:uid="{E554781F-06AD-E84F-8FE6-8E13DE93CE51}" name="Income Bracket" dataDxfId="102"/>
    <tableColumn id="3" xr3:uid="{B8670CC5-C5E1-C54D-B2DF-7CFE0F97EF88}" name="Deep Subprime" dataDxfId="101">
      <calculatedColumnFormula>C3*'Portfolio x PD x Loan Count'!C132/'Portfolio x PD x Loan Count'!C64</calculatedColumnFormula>
    </tableColumn>
    <tableColumn id="4" xr3:uid="{FA02A5FF-CA5D-8A43-92C4-3DF6DA8FA2E1}" name="Sub Prime" dataDxfId="100">
      <calculatedColumnFormula>D3*'Portfolio x PD x Loan Count'!D132/'Portfolio x PD x Loan Count'!D64</calculatedColumnFormula>
    </tableColumn>
    <tableColumn id="5" xr3:uid="{79BA8609-8AAC-2B4A-A592-03B0409E99FA}" name="Near Prime" dataDxfId="99">
      <calculatedColumnFormula>E3*'Portfolio x PD x Loan Count'!E132/'Portfolio x PD x Loan Count'!E64</calculatedColumnFormula>
    </tableColumn>
    <tableColumn id="6" xr3:uid="{425B967D-7145-E24A-BED5-2E780B859287}" name="Prime" dataDxfId="98">
      <calculatedColumnFormula>F3*'Portfolio x PD x Loan Count'!F132/'Portfolio x PD x Loan Count'!F64</calculatedColumnFormula>
    </tableColumn>
    <tableColumn id="7" xr3:uid="{FACA6AF8-6CA4-6340-A794-AF4ECC160F4D}" name="Super Prime" dataDxfId="97">
      <calculatedColumnFormula>G3*'Portfolio x PD x Loan Count'!G132/'Portfolio x PD x Loan Count'!G64</calculatedColumnFormula>
    </tableColumn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9AF1B2-D832-6A4A-BEC3-9662F66E94C5}" name="LoanComp" displayName="LoanComp" ref="A31:B32" totalsRowShown="0" dataCellStyle="Per cent">
  <autoFilter ref="A31:B32" xr:uid="{CF9AF1B2-D832-6A4A-BEC3-9662F66E94C5}"/>
  <tableColumns count="2">
    <tableColumn id="1" xr3:uid="{DE259965-BC8E-1246-9DF5-BB2CADB4C059}" name="%Profitable Loans " dataDxfId="96" dataCellStyle="Per cent">
      <calculatedColumnFormula>SUM(K18:K29,L18:L29,M18:M29,N18:N29,O18:O29)/'User Segmentation'!$I$47</calculatedColumnFormula>
    </tableColumn>
    <tableColumn id="2" xr3:uid="{863EAC1C-A614-2C47-A133-A83C195CBB65}" name="%Unprofitable Loans" dataDxfId="95" dataCellStyle="Per cent">
      <calculatedColumnFormula>1-LoanComp[[#This Row],[%Profitable Loans ]]</calculatedColumnFormula>
    </tableColumn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D7865050-1F86-A341-B47B-973430F1B358}" name="UserProfiles" displayName="UserProfiles" ref="A2:H6" totalsRowShown="0">
  <autoFilter ref="A2:H6" xr:uid="{D7865050-1F86-A341-B47B-973430F1B358}"/>
  <tableColumns count="8">
    <tableColumn id="1" xr3:uid="{788A2E03-E044-9F47-B1B3-F71FE556C07D}" name="Users"/>
    <tableColumn id="2" xr3:uid="{1056A532-5CA7-F543-970E-6195E5B3DC55}" name="Generation"/>
    <tableColumn id="3" xr3:uid="{D2B5BA1A-AF03-8E45-AD7E-359AAD90B106}" name="Income Bracket"/>
    <tableColumn id="4" xr3:uid="{78375712-0E3E-E846-A45F-365EFE673B87}" name="Credit Category"/>
    <tableColumn id="8" xr3:uid="{5601B143-5328-4F49-80B1-1324CF3ED09A}" name="Portfolio %" dataDxfId="94" dataCellStyle="Per cent">
      <calculatedColumnFormula array="1">INDEX(Portfolio_Perc[[Deep Subprime]:[Super Prime]], MATCH(1,(Portfolio_Perc[Generation]=UserProfiles[[#This Row],[Generation]:[Generation]])*(Portfolio_Perc[Income Bracket]=UserProfiles[[#This Row],[Income Bracket]:[Income Bracket]]),0), MATCH(UserProfiles[[#This Row],[Credit Category]:[Credit Category]],Portfolio_Perc[[#Headers],[Deep Subprime]:[Super Prime]],0))</calculatedColumnFormula>
    </tableColumn>
    <tableColumn id="5" xr3:uid="{D267BE0C-2760-6F43-99A9-80FAAD16F19B}" name="ATS" dataDxfId="93">
      <calculatedColumnFormula array="1">INDEX(
    ATS_Table[[Deep Subprime]:[Super Prime]],
    MATCH(1,
        (ATS_Table[Generation]=UserProfiles[[#This Row],[Generation]])*
        (ATS_Table[Income Bracket]=UserProfiles[[#This Row],[Income Bracket]]),
    0),
    MATCH(UserProfiles[[#This Row],[Credit Category]],
        ATS_Table[[#Headers],[Deep Subprime]:[Super Prime]],
    0)
)</calculatedColumnFormula>
    </tableColumn>
    <tableColumn id="6" xr3:uid="{7CC435E9-1BC3-2349-849E-F73CE2C598FB}" name="PD(0)" dataDxfId="92">
      <calculatedColumnFormula array="1">INDEX('Dynamic PD'!$N$3:$R$14, MATCH(1,('Dynamic PD'!$L$3:$L$14=UserProfiles[[#This Row],[Generation]])*('Dynamic PD'!$M$3:$M$14=UserProfiles[[#This Row],[Income Bracket]]),0),MATCH(UserProfiles[[#This Row],[Credit Category]],'Dynamic PD'!$N$2:$R$2,0))</calculatedColumnFormula>
    </tableColumn>
    <tableColumn id="7" xr3:uid="{B4895339-4665-704B-B3D6-99B99B3F40B6}" name="Beta Val" dataDxfId="91">
      <calculatedColumnFormula>(VLOOKUP(UserProfiles[[#This Row],[Income Bracket]],Beta_Income[],2,FALSE))*(VLOOKUP(UserProfiles[[#This Row],[Credit Category]],Beta_Credit[],2,FALSE))</calculatedColumnFormula>
    </tableColumn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FDEB01-2F64-D84B-9F41-DF3BF610EC44}" name="Table7" displayName="Table7" ref="Q8:U168" totalsRowShown="0" headerRowDxfId="90">
  <autoFilter ref="Q8:U168" xr:uid="{ABFDEB01-2F64-D84B-9F41-DF3BF610EC44}"/>
  <tableColumns count="5">
    <tableColumn id="1" xr3:uid="{AB9E7BBC-B288-9645-BC35-60C523FBD1D0}" name="Delta" dataDxfId="89" dataCellStyle="Per cent"/>
    <tableColumn id="2" xr3:uid="{AE9760BD-C142-C447-A78F-3248B4273576}" name="Gen Z,_x000a_&lt;50,000,_x000a_Deep Subprime" dataDxfId="88">
      <calculatedColumnFormula array="1">($F$3*(1+$Q9)*'User Segmentation'!$I$49)
-Dynamic_Row_Table[[Fixed Cost]:[Fixed Cost]]
-(Dynamic_Row_Table[[Funding Rate]:[Funding Rate]]*Dynamic_Row_Table[[Tenure (in months)]:[Tenure (in months)]]*$F$3*(1+$Q9)/12)
-(IF($Q9&lt;0,'Dynamic CM'!$G$3,'Dynamic CM'!$G$3*(($F$3*(1+$Q9)/$F$3)^'Dynamic CM'!$H$3))
*VLOOKUP($D$3,EAD_Table[#All],MATCH("EAD",EAD_Table[#Headers],0),FALSE)
*$F$3*(1+$Q9))</calculatedColumnFormula>
    </tableColumn>
    <tableColumn id="3" xr3:uid="{CD7609D2-6CEF-5C4D-A078-2CC247EFEC74}" name="Millenial,_x000a_50,000-1,00,000,_x000a_Near Prime" dataDxfId="87">
      <calculatedColumnFormula array="1">($F$4*(1+$Q9)*'User Segmentation'!$I$49)
-Dynamic_Row_Table[[Fixed Cost]:[Fixed Cost]]
-(Dynamic_Row_Table[[Funding Rate]:[Funding Rate]]*Dynamic_Row_Table[[Tenure (in months)]:[Tenure (in months)]]*$F$4*(1+$Q9)/12)
-(IF($Q9&lt;0,'Dynamic CM'!$G$4,'Dynamic CM'!$G$4*(($F$4*(1+$Q9)/$F$4)^'Dynamic CM'!$H$4))
*VLOOKUP($D$4,EAD_Table[#All],MATCH("EAD",EAD_Table[#Headers],0),FALSE)
*$F$4*(1+$Q9))</calculatedColumnFormula>
    </tableColumn>
    <tableColumn id="4" xr3:uid="{6AEF65F6-02EC-F54B-A582-2AB0D8C6CB56}" name="Gen X,_x000a_&gt;1,00,000,_x000a_Super Prime" dataDxfId="86">
      <calculatedColumnFormula array="1">($F$5*(1+$Q9)*'User Segmentation'!$I$49)
-Dynamic_Row_Table[[Fixed Cost]:[Fixed Cost]]
-(Dynamic_Row_Table[[Funding Rate]:[Funding Rate]]*Dynamic_Row_Table[[Tenure (in months)]:[Tenure (in months)]]*$F$5*(1+$Q9)/12)
-(IF($Q9&lt;0,'Dynamic CM'!$G$5,'Dynamic CM'!$G$5*(($F$5*(1+$Q9)/$F$5)^'Dynamic CM'!$H$5))
*VLOOKUP($D$5,EAD_Table[#All],MATCH("EAD",EAD_Table[#Headers],0),FALSE)
*$F$5*(1+$Q9))</calculatedColumnFormula>
    </tableColumn>
    <tableColumn id="5" xr3:uid="{11C337F7-DAC4-6041-94CE-5CB911DE2DE5}" name="Millenial,_x000a_50,000-1,00,000,_x000a_Sub Prime" dataDxfId="85">
      <calculatedColumnFormula array="1">($F$6*(1+$Q9)*'User Segmentation'!$I$49)
-Dynamic_Row_Table[[Fixed Cost]:[Fixed Cost]]
-(Dynamic_Row_Table[[Funding Rate]:[Funding Rate]]*Dynamic_Row_Table[[Tenure (in months)]:[Tenure (in months)]]*$F$6*(1+$Q9)/12)
-(IF($Q9&lt;0,'Dynamic CM'!$G$6,'Dynamic CM'!$G$6*(($F$6*(1+$Q9)/$F$6)^'Dynamic CM'!$H$6))
*VLOOKUP($D$6,EAD_Table[#All],MATCH("EAD",EAD_Table[#Headers],0),FALSE)
*$F$6*(1+$Q9))</calculatedColumnFormula>
    </tableColumn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3078F717-3B7B-2741-9DC0-EE2747DEC7BF}" name="PortfolioMetrics" displayName="PortfolioMetrics" ref="A1:B7" totalsRowShown="0" headerRowDxfId="84" dataDxfId="83">
  <autoFilter ref="A1:B7" xr:uid="{3078F717-3B7B-2741-9DC0-EE2747DEC7BF}"/>
  <tableColumns count="2">
    <tableColumn id="1" xr3:uid="{B5CE6EAD-7A6E-1B4C-A61C-48356C3FB2FB}" name="Portfolio Metrics" dataDxfId="82"/>
    <tableColumn id="2" xr3:uid="{96097623-041B-BE40-B9F5-D661A0D8CC0E}" name="Column1" dataDxfId="81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BEF501B-F9CF-E947-BE42-F6EB27CE330E}" name="Portfolio_Stresser" displayName="Portfolio_Stresser" ref="A2:D4" totalsRowShown="0">
  <autoFilter ref="A2:D4" xr:uid="{BBEF501B-F9CF-E947-BE42-F6EB27CE330E}"/>
  <tableColumns count="4">
    <tableColumn id="1" xr3:uid="{57BF772D-00DE-C549-B7EF-2C40EC800B54}" name="Scenario"/>
    <tableColumn id="2" xr3:uid="{D3E5F3D6-0C67-F345-837E-00562811B635}" name="Base"/>
    <tableColumn id="3" xr3:uid="{EB2362C6-9871-524E-859B-2C9B149FA99A}" name="Adverse" dataDxfId="80" dataCellStyle="Per cent"/>
    <tableColumn id="4" xr3:uid="{E7E45508-53C4-6140-B8D4-658336C67C84}" name="Severely Adverse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8EDA334-1D68-BC48-BB2D-4B47A30BF1CD}" name="Credit_Category_Stresser" displayName="Credit_Category_Stresser" ref="A7:G12" totalsRowShown="0">
  <autoFilter ref="A7:G12" xr:uid="{78EDA334-1D68-BC48-BB2D-4B47A30BF1CD}"/>
  <tableColumns count="7">
    <tableColumn id="1" xr3:uid="{EFC49B98-2991-1748-A40D-3391B3E6015F}" name="Scenario"/>
    <tableColumn id="2" xr3:uid="{985A1D7D-4463-9A41-850E-3B6A6BF0F2EC}" name="PD Base"/>
    <tableColumn id="3" xr3:uid="{4C89D7AA-8328-C94A-86F9-63777F06F729}" name="PD Adv"/>
    <tableColumn id="4" xr3:uid="{A8798317-BFC7-4C40-A36F-0134CC079249}" name="PD Sev"/>
    <tableColumn id="5" xr3:uid="{44C189EA-772B-B14E-9194-D4BB31B78BBD}" name="EAD Base"/>
    <tableColumn id="6" xr3:uid="{086504BA-12B5-DE4B-911C-0F954F0D32FE}" name="EAD Adv"/>
    <tableColumn id="7" xr3:uid="{BA0B2D79-CB20-2140-9294-9CFB79DE698E}" name="EAD Sev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683D82E-A46D-8C42-ACD5-A576A87F7F1C}" name="Age_Stresser" displayName="Age_Stresser" ref="A15:J19" totalsRowShown="0">
  <autoFilter ref="A15:J19" xr:uid="{9683D82E-A46D-8C42-ACD5-A576A87F7F1C}"/>
  <tableColumns count="10">
    <tableColumn id="1" xr3:uid="{20862F98-034D-3C4D-8952-A747E93C2157}" name="Scenario"/>
    <tableColumn id="2" xr3:uid="{A7B040AE-A336-5347-A676-768559DE7F97}" name="PD Base"/>
    <tableColumn id="3" xr3:uid="{B6BA9AF4-65DF-2C40-8E3A-69421655C477}" name="PD Adv"/>
    <tableColumn id="4" xr3:uid="{3441B5AD-B745-AA4F-9AE9-365BD4C144A7}" name="PD Sev"/>
    <tableColumn id="5" xr3:uid="{03CDBF86-22DC-DC46-A6F9-7ADEB4A34A00}" name="ATS Base"/>
    <tableColumn id="6" xr3:uid="{7F075F59-352B-5A47-8C94-109BF8FE79CC}" name="ATS Adv"/>
    <tableColumn id="7" xr3:uid="{F5D3FC08-28CB-1942-9F69-EDD5105D5F4B}" name="ATS Sev"/>
    <tableColumn id="8" xr3:uid="{5411FDD7-E837-7949-8C66-A2DAFE13B28A}" name="LC Base"/>
    <tableColumn id="9" xr3:uid="{6C9CBA1F-6860-8C4F-9F12-CCDA4A72D5BB}" name="LC Adv"/>
    <tableColumn id="10" xr3:uid="{98B22932-C527-6242-8A46-E3DEEC3BA886}" name="LC Sev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C7E2CC6-F22A-3D43-8364-22CD7D4B0DAC}" name="Income_Stresser" displayName="Income_Stresser" ref="A22:J25" totalsRowShown="0">
  <autoFilter ref="A22:J25" xr:uid="{1C7E2CC6-F22A-3D43-8364-22CD7D4B0DAC}"/>
  <tableColumns count="10">
    <tableColumn id="1" xr3:uid="{5C1A2113-1714-CA4C-BB17-1C89C38238A0}" name="Scenario"/>
    <tableColumn id="2" xr3:uid="{C0CB5640-F82F-C146-A3D8-CFEABAEB8003}" name="PD Base"/>
    <tableColumn id="3" xr3:uid="{29FAF134-82EA-D84C-8890-96E92B6F00CE}" name="PD Adv"/>
    <tableColumn id="4" xr3:uid="{41134856-3A55-0F4F-85C5-622801304C8A}" name="PD Sev"/>
    <tableColumn id="5" xr3:uid="{1A08D121-9529-2848-9969-7839ABFACA24}" name="ATS Base"/>
    <tableColumn id="6" xr3:uid="{D3D40897-2AFF-AC46-BE38-9B8DBCE6BCF7}" name="ATS Adv"/>
    <tableColumn id="7" xr3:uid="{68BDDE01-6433-D045-B4DE-8A2605A2B89D}" name="ATS Sev"/>
    <tableColumn id="8" xr3:uid="{E3891D60-15D2-1942-B45B-C4076C36F4D2}" name="LC Base"/>
    <tableColumn id="9" xr3:uid="{1919D9B0-2336-1647-8629-4FB1B1898406}" name="LC Adv"/>
    <tableColumn id="10" xr3:uid="{2AC84C8D-129B-2442-BA18-A143EB4D708A}" name="LC Sev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11D8EE1C-A8D9-8D4A-82ED-5CC4D6226D8C}" name="Breakeven_Table" displayName="Breakeven_Table" ref="A27:D30" totalsRowShown="0" headerRowDxfId="79">
  <autoFilter ref="A27:D30" xr:uid="{11D8EE1C-A8D9-8D4A-82ED-5CC4D6226D8C}"/>
  <tableColumns count="4">
    <tableColumn id="1" xr3:uid="{4768C900-84A5-6249-AFC9-BBF511F2A6C1}" name="Scenario" dataDxfId="78"/>
    <tableColumn id="2" xr3:uid="{0D7D8F68-5C48-D149-91C8-3CB1B91A6C6E}" name="Current MDR" dataDxfId="77"/>
    <tableColumn id="3" xr3:uid="{AE0A8A31-5A8E-194C-8A4C-516D1962C2E5}" name="Breakeven MDR" dataDxfId="76"/>
    <tableColumn id="4" xr3:uid="{49D43865-88AE-0C40-B453-EF453024B97E}" name="Cushion / Shortfall" dataDxfId="75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1332A09-3A90-F24C-9FFF-B313D51D33ED}" name="Base_Stress" displayName="Base_Stress" ref="A2:R62" totalsRowShown="0">
  <autoFilter ref="A2:R62" xr:uid="{21332A09-3A90-F24C-9FFF-B313D51D33ED}"/>
  <tableColumns count="18">
    <tableColumn id="1" xr3:uid="{DD55219E-4483-1A4E-90B7-99F590DCCAB7}" name="Segment"/>
    <tableColumn id="2" xr3:uid="{72B749E6-F2AF-9547-9168-919E7049C372}" name="Age"/>
    <tableColumn id="3" xr3:uid="{C7906F92-3DE4-6D47-B385-0979958F60B6}" name="Income" dataDxfId="74"/>
    <tableColumn id="4" xr3:uid="{3621FDEF-8F5B-DE48-8228-6CFE4CB1E342}" name="Credit Category" dataDxfId="73"/>
    <tableColumn id="5" xr3:uid="{D372C55A-6774-064C-A1B8-96DA0E514E72}" name="PD" dataDxfId="72" dataCellStyle="Per cent">
      <calculatedColumnFormula array="1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calculatedColumnFormula>
    </tableColumn>
    <tableColumn id="6" xr3:uid="{6A4AB6DF-9CE7-8E4F-9DAD-AC64BB03098A}" name="EAD" dataDxfId="71" dataCellStyle="Per cent">
      <calculatedColumnFormula>VLOOKUP(Base_Stress[[#This Row],[Credit Category]],
  EAD_Table[#All],
  MATCH("EAD",EAD_Table[#Headers],0),
  FALSE)</calculatedColumnFormula>
    </tableColumn>
    <tableColumn id="7" xr3:uid="{CE619799-A605-F14A-A2CD-C816BB3DE24E}" name="ATS" dataDxfId="70">
      <calculatedColumnFormula array="1">INDEX(ATS_Table[],
  MATCH(Base_Stress[[#This Row],[Age]]&amp;Base_Stress[[#This Row],[Income]],
    ATS_Table[Generation]&amp;ATS_Table[Income Bracket],0),
  MATCH(Base_Stress[[#This Row],[Credit Category]],
    ATS_Table[[#Headers],[Deep Subprime]:[Super Prime]],0)+2)</calculatedColumnFormula>
    </tableColumn>
    <tableColumn id="11" xr3:uid="{30AD4D2C-E3F7-614A-9D6D-F9888411D229}" name="Revenue Per Loan" dataDxfId="69">
      <calculatedColumnFormula>Base_Stress[[#This Row],[ATS]]*INDEX(Portfolio_Stresser[[Base]:[Severely Adverse]],MATCH("MDR",Portfolio_Stresser[Scenario],0),MATCH("Base",Portfolio_Stresser[[#Headers],[Base]:[Severely Adverse]],0))</calculatedColumnFormula>
    </tableColumn>
    <tableColumn id="13" xr3:uid="{9097B646-9E26-454D-8EE0-FB896807AC49}" name="Funding Cost" dataDxfId="68">
      <calculatedColumnFormula array="1">Base_Stress[[#This Row],[ATS]]*INDEX(Portfolio_Stresser[[Base]:[Severely Adverse]],MATCH("Funding Rate",Portfolio_Stresser[Scenario],0),MATCH("Base",Portfolio_Stresser[[#Headers],[Base]:[Severely Adverse]],0))*Dynamic_Row_Table[Tenure (in months)]/12</calculatedColumnFormula>
    </tableColumn>
    <tableColumn id="14" xr3:uid="{6674D5E8-6191-A249-BF1E-0E8228B5C37A}" name="ECL" dataDxfId="67">
      <calculatedColumnFormula>Base_Stress[[#This Row],[PD]]*Base_Stress[[#This Row],[ATS]]*Base_Stress[[#This Row],[EAD]]</calculatedColumnFormula>
    </tableColumn>
    <tableColumn id="16" xr3:uid="{A2BFF6A9-E4F8-F14C-92E6-296AD6DF89B8}" name="CM Per Loan" dataDxfId="66">
      <calculatedColumnFormula array="1">Base_Stress[[#This Row],[Revenue Per Loan]]-Base_Stress[[#This Row],[Funding Cost]]-Base_Stress[[#This Row],[ECL]]-Fixed_Cost[Fixed Cost]</calculatedColumnFormula>
    </tableColumn>
    <tableColumn id="17" xr3:uid="{33BAF933-4BE8-2042-9282-15798B39D9C3}" name="User Count(in M)" dataDxfId="65">
      <calculatedColumnFormula array="1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calculatedColumnFormula>
    </tableColumn>
    <tableColumn id="8" xr3:uid="{90642CE7-E2D9-9E44-B748-481FFCE338C7}" name="Loan Count(in M)" dataDxfId="64">
      <calculatedColumnFormula array="1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calculatedColumnFormula>
    </tableColumn>
    <tableColumn id="18" xr3:uid="{41D6DEDB-37A0-D047-A2BC-25990D1BE017}" name="Avg Loan Per User" dataDxfId="63">
      <calculatedColumnFormula>Base_Stress[[#This Row],[Loan Count(in M)]]/Base_Stress[[#This Row],[User Count(in M)]]</calculatedColumnFormula>
    </tableColumn>
    <tableColumn id="20" xr3:uid="{58F4C53A-3A2E-0F4C-82E0-E22ED155132F}" name="ARPU" dataDxfId="62">
      <calculatedColumnFormula>Base_Stress[[#This Row],[Revenue Per Loan]]*Base_Stress[[#This Row],[Avg Loan Per User]]</calculatedColumnFormula>
    </tableColumn>
    <tableColumn id="21" xr3:uid="{CB27DE41-65FE-9F47-8001-AAF51C171CE0}" name="CM Per User" dataDxfId="61">
      <calculatedColumnFormula>Base_Stress[[#This Row],[CM Per Loan]]*Base_Stress[[#This Row],[Avg Loan Per User]]</calculatedColumnFormula>
    </tableColumn>
    <tableColumn id="22" xr3:uid="{D8FBA51B-7DFA-E341-874B-8F0A6C58BAD6}" name="CM Per Segment" dataDxfId="60">
      <calculatedColumnFormula>Base_Stress[[#This Row],[CM Per User]]*Base_Stress[[#This Row],[User Count(in M)]]</calculatedColumnFormula>
    </tableColumn>
    <tableColumn id="24" xr3:uid="{FEB3F5BC-6838-484D-9A86-844FF6593897}" name="CM Contribution" dataDxfId="59" dataCellStyle="Per cent">
      <calculatedColumnFormula>Base_Stress[[#This Row],[CM Per Segment]]/SUM(Base_Stress[CM Per Segment])</calculatedColumnFormula>
    </tableColumn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22460D9-2EF2-5C4C-98B7-326FA4C87F96}" name="Adverse_Stress" displayName="Adverse_Stress" ref="U2:AL62" totalsRowShown="0" headerRowDxfId="58" dataDxfId="56" headerRowBorderDxfId="57" tableBorderDxfId="55" totalsRowBorderDxfId="54">
  <autoFilter ref="U2:AL62" xr:uid="{222460D9-2EF2-5C4C-98B7-326FA4C87F96}"/>
  <sortState xmlns:xlrd2="http://schemas.microsoft.com/office/spreadsheetml/2017/richdata2" ref="U3:AL62">
    <sortCondition ref="U2:U62"/>
  </sortState>
  <tableColumns count="18">
    <tableColumn id="1" xr3:uid="{EE0768F1-B6CC-5943-BD91-A16D3FBC054E}" name="Segment" dataDxfId="53"/>
    <tableColumn id="2" xr3:uid="{C0D40C74-4574-1B4F-8F2C-7BFF58BBBB00}" name="Age" dataDxfId="52"/>
    <tableColumn id="3" xr3:uid="{C10DC343-CFCE-A741-930C-3553CF6870D4}" name="Income" dataDxfId="51"/>
    <tableColumn id="4" xr3:uid="{4468056F-3080-ED42-BA6F-DB6A8DC9AD13}" name="Credit Category" dataDxfId="50"/>
    <tableColumn id="5" xr3:uid="{9BCFA95F-4CA5-BC41-97FB-CF748B18576E}" name="PD" dataDxfId="49">
      <calculatedColumnFormula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calculatedColumnFormula>
    </tableColumn>
    <tableColumn id="6" xr3:uid="{E79CE7C9-BAC1-4645-8B6E-CA3F20FCD7BF}" name="EAD" dataDxfId="48">
      <calculatedColumnFormula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calculatedColumnFormula>
    </tableColumn>
    <tableColumn id="7" xr3:uid="{8176A10A-4C7A-FD4E-B0FF-14493311EDDC}" name="ATS" dataDxfId="47">
      <calculatedColumnFormula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calculatedColumnFormula>
    </tableColumn>
    <tableColumn id="23" xr3:uid="{A7B37EB5-0ED0-D04E-8497-D62E6C8B4A21}" name="Revenue Per Loan" dataDxfId="46">
      <calculatedColumnFormula>Adverse_Stress[[#This Row],[ATS]]*INDEX(Portfolio_Stresser[[Base]:[Severely Adverse]],MATCH("MDR",Portfolio_Stresser[Scenario],0),MATCH("Adverse",Portfolio_Stresser[[#Headers],[Base]:[Severely Adverse]],0))</calculatedColumnFormula>
    </tableColumn>
    <tableColumn id="22" xr3:uid="{677C45CE-660C-364A-B015-B7890DB9C7AA}" name="Funding Cost" dataDxfId="45">
      <calculatedColumnFormula array="1">Adverse_Stress[[#This Row],[ATS]]*INDEX(Portfolio_Stresser[[Base]:[Severely Adverse]],MATCH("Funding Rate",Portfolio_Stresser[Scenario],0),MATCH("Adverse",Portfolio_Stresser[[#Headers],[Base]:[Severely Adverse]],0))*Dynamic_Row_Table[Tenure (in months)]/12</calculatedColumnFormula>
    </tableColumn>
    <tableColumn id="20" xr3:uid="{1E6D367D-5FB9-8543-B781-DB074BC03A00}" name="ECL" dataDxfId="44">
      <calculatedColumnFormula>Adverse_Stress[[#This Row],[PD]]*Adverse_Stress[[#This Row],[ATS]]*Adverse_Stress[[#This Row],[EAD]]</calculatedColumnFormula>
    </tableColumn>
    <tableColumn id="21" xr3:uid="{ED2CE8EB-EE77-EF48-A0DA-F5A286C0CB86}" name="CM Per Loan" dataDxfId="43">
      <calculatedColumnFormula array="1">Adverse_Stress[[#This Row],[Revenue Per Loan]]-Adverse_Stress[[#This Row],[Funding Cost]]-Adverse_Stress[[#This Row],[ECL]]-Fixed_Cost[Fixed Cost]</calculatedColumnFormula>
    </tableColumn>
    <tableColumn id="19" xr3:uid="{6C429A7C-4D3F-F54C-9014-8DE44F40815B}" name="User Count(in M)" dataDxfId="42">
      <calculatedColumnFormula>Base_Stress[[#This Row],[User Count(in M)]]</calculatedColumnFormula>
    </tableColumn>
    <tableColumn id="8" xr3:uid="{5A94718F-6FBB-274E-8705-5C1C00E07821}" name="Loan Count(in M)" dataDxfId="41">
      <calculatedColumnFormula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calculatedColumnFormula>
    </tableColumn>
    <tableColumn id="24" xr3:uid="{D0C2ADA0-93FC-A64E-8AA5-64EB0F537CD5}" name="Avg Loan Per User" dataDxfId="40">
      <calculatedColumnFormula>Adverse_Stress[[#This Row],[Loan Count(in M)]]/Adverse_Stress[[#This Row],[User Count(in M)]]</calculatedColumnFormula>
    </tableColumn>
    <tableColumn id="25" xr3:uid="{F35F040A-4DB0-324D-BCA1-2C823BDF8752}" name="ARPU" dataDxfId="39">
      <calculatedColumnFormula>Adverse_Stress[[#This Row],[Revenue Per Loan]]*Adverse_Stress[[#This Row],[Avg Loan Per User]]</calculatedColumnFormula>
    </tableColumn>
    <tableColumn id="26" xr3:uid="{164F61B3-7EA5-FC42-991F-6B7FCDB2890D}" name="CM Per User" dataDxfId="38">
      <calculatedColumnFormula>Adverse_Stress[[#This Row],[CM Per Loan]]*Adverse_Stress[[#This Row],[Avg Loan Per User]]</calculatedColumnFormula>
    </tableColumn>
    <tableColumn id="27" xr3:uid="{42D05522-C3AE-0F49-B46A-04FED98E46C0}" name="CM Per Segment" dataDxfId="37">
      <calculatedColumnFormula>Adverse_Stress[[#This Row],[CM Per User]]*Adverse_Stress[[#This Row],[User Count(in M)]]</calculatedColumnFormula>
    </tableColumn>
    <tableColumn id="28" xr3:uid="{8903B34A-3226-5B43-A767-E349FAE041E4}" name="CM Contribution" dataDxfId="36" dataCellStyle="Per cent">
      <calculatedColumnFormula>(Base_Stress[[#This Row],[CM Per Segment]]-Adverse_Stress[[#This Row],[CM Per Segment]])/($B$68-$B$69)</calculatedColumnFormula>
    </tableColumn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BDE7606-7DA4-E344-B2DA-C0A43124144C}" name="Severely_Adverse_Stress" displayName="Severely_Adverse_Stress" ref="AN2:BE62" totalsRowShown="0" headerRowDxfId="35" dataDxfId="33" headerRowBorderDxfId="34" tableBorderDxfId="32" totalsRowBorderDxfId="31">
  <autoFilter ref="AN2:BE62" xr:uid="{ABDE7606-7DA4-E344-B2DA-C0A43124144C}"/>
  <tableColumns count="18">
    <tableColumn id="1" xr3:uid="{55B11D03-218B-9B41-9FDB-B8EBF3E453E8}" name="Segment" dataDxfId="30"/>
    <tableColumn id="2" xr3:uid="{612DC4C5-FF2A-C547-8BDF-E8CB20A9A23C}" name="Age" dataDxfId="29"/>
    <tableColumn id="3" xr3:uid="{A032E513-4BC4-E542-8696-FF34F90601B0}" name="Income" dataDxfId="28"/>
    <tableColumn id="4" xr3:uid="{E7B8263E-F5C7-1440-AAAD-7F100BE64148}" name="Credit Category" dataDxfId="27"/>
    <tableColumn id="5" xr3:uid="{E6D78E32-5130-F74A-BC35-4ECA4D118E16}" name="PD" dataDxfId="26">
      <calculatedColumnFormula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calculatedColumnFormula>
    </tableColumn>
    <tableColumn id="6" xr3:uid="{60AB0ABC-E46E-5A48-A8CD-53F5BB31DE9E}" name="EAD" dataDxfId="25">
      <calculatedColumnFormula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calculatedColumnFormula>
    </tableColumn>
    <tableColumn id="7" xr3:uid="{73728A81-5473-6140-9814-917478AF2F12}" name="ATS" dataDxfId="24">
      <calculatedColumnFormula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calculatedColumnFormula>
    </tableColumn>
    <tableColumn id="12" xr3:uid="{01FB43AD-4322-7B48-B653-195A79C77ABE}" name="Revenue Per Loan" dataDxfId="23">
      <calculatedColumnFormula>Severely_Adverse_Stress[[#This Row],[ATS]]*INDEX(Portfolio_Stresser[[Base]:[Severely Adverse]],MATCH("MDR",Portfolio_Stresser[Scenario],0),MATCH("Severely Adverse",Portfolio_Stresser[[#Headers],[Base]:[Severely Adverse]],0))</calculatedColumnFormula>
    </tableColumn>
    <tableColumn id="13" xr3:uid="{5FB5BDAE-856F-964B-885E-A3E0E797D573}" name="Funding Cost" dataDxfId="22">
      <calculatedColumnFormula array="1">Severely_Adverse_Stress[[#This Row],[ATS]]*INDEX(Portfolio_Stresser[[Base]:[Severely Adverse]],MATCH("Funding Rate",Portfolio_Stresser[Scenario],0),MATCH("Severely Adverse",Portfolio_Stresser[[#Headers],[Base]:[Severely Adverse]],0))*Dynamic_Row_Table[Tenure (in months)]/12</calculatedColumnFormula>
    </tableColumn>
    <tableColumn id="10" xr3:uid="{55152343-2EC0-6242-B57B-AF751B1B2A3C}" name="ECL" dataDxfId="21">
      <calculatedColumnFormula>Severely_Adverse_Stress[[#This Row],[PD]]*Severely_Adverse_Stress[[#This Row],[ATS]]*Severely_Adverse_Stress[[#This Row],[EAD]]</calculatedColumnFormula>
    </tableColumn>
    <tableColumn id="11" xr3:uid="{28895718-0B03-2746-A7E1-5EB34F5BF420}" name="CM Per Loan" dataDxfId="20">
      <calculatedColumnFormula array="1">Severely_Adverse_Stress[[#This Row],[Revenue Per Loan]]-Severely_Adverse_Stress[[#This Row],[Funding Cost]]-Severely_Adverse_Stress[[#This Row],[ECL]]-Fixed_Cost[Fixed Cost]</calculatedColumnFormula>
    </tableColumn>
    <tableColumn id="9" xr3:uid="{FE65EA10-48D3-2D4E-8860-307BC99F29C5}" name="User Count(in M)" dataDxfId="19">
      <calculatedColumnFormula>Base_Stress[[#This Row],[User Count(in M)]]</calculatedColumnFormula>
    </tableColumn>
    <tableColumn id="8" xr3:uid="{261047C3-F70B-0C47-813D-15C91ABFA29F}" name="Loan Count(in M)" dataDxfId="18">
      <calculatedColumnFormula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calculatedColumnFormula>
    </tableColumn>
    <tableColumn id="14" xr3:uid="{D193D24E-2659-1F4E-87F5-EE39593C7AA8}" name="Avg Loan Per User" dataDxfId="17">
      <calculatedColumnFormula>Severely_Adverse_Stress[[#This Row],[Loan Count(in M)]]/Severely_Adverse_Stress[[#This Row],[User Count(in M)]]</calculatedColumnFormula>
    </tableColumn>
    <tableColumn id="15" xr3:uid="{8F3C8450-70AC-7E41-B07F-27E45CC9CF20}" name="ARPU" dataDxfId="16">
      <calculatedColumnFormula>Severely_Adverse_Stress[[#This Row],[Revenue Per Loan]]*Severely_Adverse_Stress[[#This Row],[Avg Loan Per User]]</calculatedColumnFormula>
    </tableColumn>
    <tableColumn id="16" xr3:uid="{C7D97F91-41DB-3C46-8104-5BDBDB1150C0}" name="CM Per User" dataDxfId="15">
      <calculatedColumnFormula>Severely_Adverse_Stress[[#This Row],[CM Per Loan]]*Severely_Adverse_Stress[[#This Row],[Avg Loan Per User]]</calculatedColumnFormula>
    </tableColumn>
    <tableColumn id="17" xr3:uid="{4ECC9904-4894-0B4B-A64B-56F1A4F86D32}" name="CM Per Segment" dataDxfId="14">
      <calculatedColumnFormula>Severely_Adverse_Stress[[#This Row],[CM Per User]]*Severely_Adverse_Stress[[#This Row],[User Count(in M)]]</calculatedColumnFormula>
    </tableColumn>
    <tableColumn id="18" xr3:uid="{70A95331-9CCB-8143-AC98-7EABD233A75D}" name="CM Contribution" dataDxfId="13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E749C2E-8A19-614A-B0E2-C09234545DAE}" name="Fixed_Cost" displayName="Fixed_Cost" ref="A64:A65" totalsRowShown="0">
  <autoFilter ref="A64:A65" xr:uid="{7E749C2E-8A19-614A-B0E2-C09234545DAE}"/>
  <tableColumns count="1">
    <tableColumn id="1" xr3:uid="{ABC2CA27-C27B-C94B-88F5-F053116DDE54}" name="Fixed Cost" dataDxfId="12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FA16693B-F61F-9846-81B7-78CE862245FD}" name="Total_CM" displayName="Total_CM" ref="A67:B70" totalsRowShown="0">
  <autoFilter ref="A67:B70" xr:uid="{FA16693B-F61F-9846-81B7-78CE862245FD}"/>
  <tableColumns count="2">
    <tableColumn id="1" xr3:uid="{56DB52F1-AF33-2942-8275-1EDA5955F7C8}" name="Scenario"/>
    <tableColumn id="2" xr3:uid="{D61B5638-5E47-FB4D-9F29-3CACDBA20723}" name="Total Portfolio CM" dataDxfId="11">
      <calculatedColumnFormula>SUM(Adverse_Stress[CM Per Segment])</calculatedColumnFormula>
    </tableColumn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5246B18-4921-9E40-B75E-1E70BC953B61}" name="Stress_Metrics" displayName="Stress_Metrics" ref="A1:L4" totalsRowShown="0">
  <autoFilter ref="A1:L4" xr:uid="{35246B18-4921-9E40-B75E-1E70BC953B61}"/>
  <tableColumns count="12">
    <tableColumn id="1" xr3:uid="{FFBFB7E5-1FE8-FC46-A4BE-DAA5934FA181}" name="Scenario"/>
    <tableColumn id="2" xr3:uid="{7AD781BF-C2F4-4A4E-A499-E5BDB405F4A7}" name="CM Per Loan" dataDxfId="10"/>
    <tableColumn id="3" xr3:uid="{E0A9FFE6-9D5D-6540-AB79-90C0836E97CA}" name="CM Per User" dataDxfId="9"/>
    <tableColumn id="11" xr3:uid="{AA09AE73-76B3-D34C-B7D0-E00889DB3670}" name="Total CM" dataDxfId="8"/>
    <tableColumn id="4" xr3:uid="{7B5B247E-30DA-7544-BD25-C9358F6AD3FD}" name="Default Rate" dataDxfId="7" dataCellStyle="Per cent"/>
    <tableColumn id="5" xr3:uid="{2A6F923E-58A0-4D4A-9FEC-31EF00E2C760}" name="Profitable Loans"/>
    <tableColumn id="6" xr3:uid="{A3FB28FA-38BE-CD48-A210-08D588304B2A}" name="Profitable Segments" dataDxfId="6" dataCellStyle="Per cent"/>
    <tableColumn id="7" xr3:uid="{18F8E57A-3B01-D64E-A13A-1CFD9DBEC8B7}" name="Average ATS" dataDxfId="5"/>
    <tableColumn id="8" xr3:uid="{56656FA5-B117-9146-ACEC-CF37B853F994}" name="ARPU" dataDxfId="4"/>
    <tableColumn id="12" xr3:uid="{BBDC9C6F-687E-7549-9677-F2565D41A285}" name="Concentration Risk" dataDxfId="3">
      <calculatedColumnFormula array="1">SUM(_xlfn.TAKE(_xlfn._xlws.SORT(_xlfn._xlws.FILTER(Base_Stress[CM Per Segment],Base_Stress[CM Per Segment]&gt;0),,-1),10))
/
SUMIFS(Base_Stress[CM Per Segment],Base_Stress[CM Per Segment],"&gt;0")</calculatedColumnFormula>
    </tableColumn>
    <tableColumn id="9" xr3:uid="{C262675A-EEA6-E041-A9B1-259CBFA0B1B1}" name="Loan Volume (in M)" dataDxfId="2"/>
    <tableColumn id="10" xr3:uid="{4D0A0414-E70D-6442-823D-A22C98E005B7}" name="Merchant GMV(in B)" dataDxfId="1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CB5E0B9E-D3AA-7047-BF7D-8E44ED430AB9}" name="Waterfall_Table" displayName="Waterfall_Table" ref="A6:C13" totalsRowShown="0">
  <autoFilter ref="A6:C13" xr:uid="{CB5E0B9E-D3AA-7047-BF7D-8E44ED430AB9}"/>
  <tableColumns count="3">
    <tableColumn id="1" xr3:uid="{17D0545C-1F8D-B14F-B6D2-4C88FFFED090}" name="Driver"/>
    <tableColumn id="2" xr3:uid="{11FA7644-AE06-D94C-A576-B38849A35703}" name="Values"/>
    <tableColumn id="4" xr3:uid="{5E0EB3D0-F349-764B-9BE1-2B5625AB11FD}" name="Cumulative Valu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2" Type="http://schemas.openxmlformats.org/officeDocument/2006/relationships/table" Target="../tables/table15.xml"/><Relationship Id="rId1" Type="http://schemas.openxmlformats.org/officeDocument/2006/relationships/drawing" Target="../drawings/drawing2.xml"/><Relationship Id="rId6" Type="http://schemas.openxmlformats.org/officeDocument/2006/relationships/table" Target="../tables/table19.xml"/><Relationship Id="rId5" Type="http://schemas.openxmlformats.org/officeDocument/2006/relationships/table" Target="../tables/table18.xml"/><Relationship Id="rId10" Type="http://schemas.openxmlformats.org/officeDocument/2006/relationships/table" Target="../tables/table23.xml"/><Relationship Id="rId4" Type="http://schemas.openxmlformats.org/officeDocument/2006/relationships/table" Target="../tables/table17.xml"/><Relationship Id="rId9" Type="http://schemas.openxmlformats.org/officeDocument/2006/relationships/table" Target="../tables/table2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1.xml"/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Relationship Id="rId6" Type="http://schemas.openxmlformats.org/officeDocument/2006/relationships/table" Target="../tables/table29.xml"/><Relationship Id="rId11" Type="http://schemas.openxmlformats.org/officeDocument/2006/relationships/table" Target="../tables/table34.xml"/><Relationship Id="rId5" Type="http://schemas.openxmlformats.org/officeDocument/2006/relationships/table" Target="../tables/table28.xml"/><Relationship Id="rId10" Type="http://schemas.openxmlformats.org/officeDocument/2006/relationships/table" Target="../tables/table33.xml"/><Relationship Id="rId4" Type="http://schemas.openxmlformats.org/officeDocument/2006/relationships/table" Target="../tables/table27.xml"/><Relationship Id="rId9" Type="http://schemas.openxmlformats.org/officeDocument/2006/relationships/table" Target="../tables/table3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table" Target="../tables/table36.xml"/><Relationship Id="rId1" Type="http://schemas.openxmlformats.org/officeDocument/2006/relationships/table" Target="../tables/table35.xml"/><Relationship Id="rId6" Type="http://schemas.openxmlformats.org/officeDocument/2006/relationships/table" Target="../tables/table40.xml"/><Relationship Id="rId5" Type="http://schemas.openxmlformats.org/officeDocument/2006/relationships/table" Target="../tables/table39.xml"/><Relationship Id="rId4" Type="http://schemas.openxmlformats.org/officeDocument/2006/relationships/table" Target="../tables/table3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2" Type="http://schemas.openxmlformats.org/officeDocument/2006/relationships/table" Target="../tables/table43.xml"/><Relationship Id="rId1" Type="http://schemas.openxmlformats.org/officeDocument/2006/relationships/table" Target="../tables/table42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8.xml"/><Relationship Id="rId2" Type="http://schemas.openxmlformats.org/officeDocument/2006/relationships/table" Target="../tables/table47.xml"/><Relationship Id="rId1" Type="http://schemas.openxmlformats.org/officeDocument/2006/relationships/drawing" Target="../drawings/drawing3.xml"/><Relationship Id="rId4" Type="http://schemas.openxmlformats.org/officeDocument/2006/relationships/table" Target="../tables/table4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2" Type="http://schemas.openxmlformats.org/officeDocument/2006/relationships/table" Target="../tables/table50.xml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5.xml"/><Relationship Id="rId2" Type="http://schemas.openxmlformats.org/officeDocument/2006/relationships/table" Target="../tables/table54.xml"/><Relationship Id="rId1" Type="http://schemas.openxmlformats.org/officeDocument/2006/relationships/table" Target="../tables/table53.xml"/><Relationship Id="rId5" Type="http://schemas.openxmlformats.org/officeDocument/2006/relationships/table" Target="../tables/table57.xml"/><Relationship Id="rId4" Type="http://schemas.openxmlformats.org/officeDocument/2006/relationships/table" Target="../tables/table5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0.xml"/><Relationship Id="rId2" Type="http://schemas.openxmlformats.org/officeDocument/2006/relationships/table" Target="../tables/table59.xml"/><Relationship Id="rId1" Type="http://schemas.openxmlformats.org/officeDocument/2006/relationships/table" Target="../tables/table58.xml"/><Relationship Id="rId5" Type="http://schemas.openxmlformats.org/officeDocument/2006/relationships/table" Target="../tables/table62.xml"/><Relationship Id="rId4" Type="http://schemas.openxmlformats.org/officeDocument/2006/relationships/table" Target="../tables/table6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4.xml"/><Relationship Id="rId2" Type="http://schemas.openxmlformats.org/officeDocument/2006/relationships/table" Target="../tables/table63.xml"/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332F-70C1-3B4B-BBC7-C35414A85F98}">
  <sheetPr codeName="Sheet1">
    <tabColor theme="1" tint="0.14999847407452621"/>
  </sheetPr>
  <dimension ref="A1:K93"/>
  <sheetViews>
    <sheetView topLeftCell="A43" zoomScale="86" workbookViewId="0">
      <selection activeCell="I47" sqref="I47"/>
    </sheetView>
  </sheetViews>
  <sheetFormatPr baseColWidth="10" defaultRowHeight="16" x14ac:dyDescent="0.2"/>
  <cols>
    <col min="1" max="1" width="26.1640625" style="12" bestFit="1" customWidth="1"/>
    <col min="2" max="2" width="24.5" style="12" customWidth="1"/>
    <col min="3" max="3" width="18.83203125" style="12" customWidth="1"/>
    <col min="4" max="4" width="15" style="12" customWidth="1"/>
    <col min="5" max="5" width="16.1640625" style="12" customWidth="1"/>
    <col min="6" max="6" width="21.6640625" style="12" customWidth="1"/>
    <col min="7" max="7" width="21.33203125" style="12" customWidth="1"/>
    <col min="8" max="8" width="22.83203125" style="12" bestFit="1" customWidth="1"/>
    <col min="9" max="9" width="11.6640625" style="12" customWidth="1"/>
    <col min="10" max="10" width="17" style="12" bestFit="1" customWidth="1"/>
    <col min="11" max="11" width="14.33203125" style="12" bestFit="1" customWidth="1"/>
    <col min="12" max="16384" width="10.83203125" style="12"/>
  </cols>
  <sheetData>
    <row r="1" spans="1:11" hidden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J1" s="13" t="s">
        <v>18</v>
      </c>
      <c r="K1" s="13" t="s">
        <v>19</v>
      </c>
    </row>
    <row r="2" spans="1:11" hidden="1" x14ac:dyDescent="0.2">
      <c r="A2" s="5" t="s">
        <v>5</v>
      </c>
      <c r="B2" s="5" t="s">
        <v>6</v>
      </c>
      <c r="C2" s="6">
        <v>0.4</v>
      </c>
      <c r="D2" s="5" t="s">
        <v>7</v>
      </c>
      <c r="E2" s="5" t="s">
        <v>8</v>
      </c>
      <c r="J2" s="12" t="s">
        <v>20</v>
      </c>
      <c r="K2" s="12" t="s">
        <v>21</v>
      </c>
    </row>
    <row r="3" spans="1:11" hidden="1" x14ac:dyDescent="0.2">
      <c r="A3" s="5" t="s">
        <v>9</v>
      </c>
      <c r="B3" s="5" t="s">
        <v>10</v>
      </c>
      <c r="C3" s="6">
        <v>0.28000000000000003</v>
      </c>
      <c r="D3" s="6">
        <v>0.35</v>
      </c>
      <c r="E3" s="5" t="s">
        <v>11</v>
      </c>
      <c r="J3" s="12" t="s">
        <v>22</v>
      </c>
      <c r="K3" s="12" t="s">
        <v>23</v>
      </c>
    </row>
    <row r="4" spans="1:11" hidden="1" x14ac:dyDescent="0.2">
      <c r="A4" s="5" t="s">
        <v>12</v>
      </c>
      <c r="B4" s="5" t="s">
        <v>13</v>
      </c>
      <c r="C4" s="6">
        <v>0.1</v>
      </c>
      <c r="D4" s="6">
        <v>0.17</v>
      </c>
      <c r="E4" s="5" t="s">
        <v>14</v>
      </c>
      <c r="J4" s="12" t="s">
        <v>24</v>
      </c>
      <c r="K4" s="12" t="s">
        <v>25</v>
      </c>
    </row>
    <row r="5" spans="1:11" hidden="1" x14ac:dyDescent="0.2">
      <c r="A5" s="5" t="s">
        <v>15</v>
      </c>
      <c r="B5" s="5" t="s">
        <v>16</v>
      </c>
      <c r="C5" s="6">
        <v>0.09</v>
      </c>
      <c r="D5" s="6">
        <v>0.11</v>
      </c>
      <c r="E5" s="5" t="s">
        <v>17</v>
      </c>
      <c r="J5" s="12" t="s">
        <v>26</v>
      </c>
      <c r="K5" s="12" t="s">
        <v>27</v>
      </c>
    </row>
    <row r="6" spans="1:11" hidden="1" x14ac:dyDescent="0.2"/>
    <row r="7" spans="1:11" hidden="1" x14ac:dyDescent="0.2"/>
    <row r="8" spans="1:11" hidden="1" x14ac:dyDescent="0.2"/>
    <row r="9" spans="1:11" hidden="1" x14ac:dyDescent="0.2"/>
    <row r="10" spans="1:11" hidden="1" x14ac:dyDescent="0.2"/>
    <row r="11" spans="1:11" hidden="1" x14ac:dyDescent="0.2"/>
    <row r="12" spans="1:11" hidden="1" x14ac:dyDescent="0.2"/>
    <row r="13" spans="1:11" hidden="1" x14ac:dyDescent="0.2"/>
    <row r="14" spans="1:11" hidden="1" x14ac:dyDescent="0.2"/>
    <row r="15" spans="1:11" hidden="1" x14ac:dyDescent="0.2">
      <c r="A15" s="12" t="s">
        <v>0</v>
      </c>
      <c r="B15" s="12" t="s">
        <v>28</v>
      </c>
    </row>
    <row r="16" spans="1:11" hidden="1" x14ac:dyDescent="0.2">
      <c r="A16" s="12" t="s">
        <v>29</v>
      </c>
      <c r="B16" s="12">
        <v>44</v>
      </c>
    </row>
    <row r="17" spans="1:4" hidden="1" x14ac:dyDescent="0.2">
      <c r="A17" s="12" t="s">
        <v>31</v>
      </c>
      <c r="B17" s="12">
        <v>48</v>
      </c>
      <c r="C17" s="7"/>
      <c r="D17" s="7"/>
    </row>
    <row r="18" spans="1:4" hidden="1" x14ac:dyDescent="0.2">
      <c r="A18" s="12" t="s">
        <v>32</v>
      </c>
      <c r="B18" s="12">
        <v>31</v>
      </c>
      <c r="C18" s="6"/>
      <c r="D18" s="6"/>
    </row>
    <row r="19" spans="1:4" hidden="1" x14ac:dyDescent="0.2">
      <c r="A19" s="12" t="s">
        <v>33</v>
      </c>
      <c r="B19" s="12">
        <v>13</v>
      </c>
      <c r="C19" s="6"/>
      <c r="D19" s="6"/>
    </row>
    <row r="20" spans="1:4" hidden="1" x14ac:dyDescent="0.2">
      <c r="A20" s="4"/>
      <c r="B20" s="6"/>
      <c r="C20" s="6"/>
      <c r="D20" s="6"/>
    </row>
    <row r="21" spans="1:4" hidden="1" x14ac:dyDescent="0.2">
      <c r="A21" s="7" t="s">
        <v>34</v>
      </c>
      <c r="B21" s="14" t="s">
        <v>28</v>
      </c>
      <c r="C21" s="6"/>
      <c r="D21" s="6"/>
    </row>
    <row r="22" spans="1:4" hidden="1" x14ac:dyDescent="0.2">
      <c r="A22" s="12" t="s">
        <v>35</v>
      </c>
      <c r="B22" s="12">
        <v>31</v>
      </c>
    </row>
    <row r="23" spans="1:4" hidden="1" x14ac:dyDescent="0.2">
      <c r="A23" s="12" t="s">
        <v>36</v>
      </c>
      <c r="B23" s="12">
        <v>32</v>
      </c>
    </row>
    <row r="24" spans="1:4" hidden="1" x14ac:dyDescent="0.2">
      <c r="A24" s="12" t="s">
        <v>37</v>
      </c>
      <c r="B24" s="12">
        <v>31</v>
      </c>
    </row>
    <row r="25" spans="1:4" hidden="1" x14ac:dyDescent="0.2"/>
    <row r="26" spans="1:4" hidden="1" x14ac:dyDescent="0.2"/>
    <row r="27" spans="1:4" hidden="1" x14ac:dyDescent="0.2">
      <c r="A27" s="12" t="s">
        <v>0</v>
      </c>
      <c r="B27" s="12" t="s">
        <v>35</v>
      </c>
      <c r="C27" s="12" t="s">
        <v>36</v>
      </c>
      <c r="D27" s="12" t="s">
        <v>37</v>
      </c>
    </row>
    <row r="28" spans="1:4" hidden="1" x14ac:dyDescent="0.2">
      <c r="A28" s="15" t="s">
        <v>29</v>
      </c>
      <c r="B28" s="12">
        <v>58</v>
      </c>
      <c r="C28" s="12">
        <v>32</v>
      </c>
      <c r="D28" s="12">
        <v>10</v>
      </c>
    </row>
    <row r="29" spans="1:4" hidden="1" x14ac:dyDescent="0.2">
      <c r="A29" s="16" t="s">
        <v>31</v>
      </c>
      <c r="B29" s="12">
        <v>34</v>
      </c>
      <c r="C29" s="12">
        <v>41</v>
      </c>
      <c r="D29" s="12">
        <v>25</v>
      </c>
    </row>
    <row r="30" spans="1:4" hidden="1" x14ac:dyDescent="0.2">
      <c r="A30" s="15" t="s">
        <v>32</v>
      </c>
      <c r="B30" s="12">
        <v>24</v>
      </c>
      <c r="C30" s="12">
        <v>39</v>
      </c>
      <c r="D30" s="12">
        <v>37</v>
      </c>
    </row>
    <row r="31" spans="1:4" hidden="1" x14ac:dyDescent="0.2">
      <c r="A31" s="16" t="s">
        <v>33</v>
      </c>
      <c r="B31" s="12">
        <v>42</v>
      </c>
      <c r="C31" s="12">
        <v>33</v>
      </c>
      <c r="D31" s="12">
        <v>25</v>
      </c>
    </row>
    <row r="32" spans="1:4" hidden="1" x14ac:dyDescent="0.2"/>
    <row r="33" spans="1:9" hidden="1" x14ac:dyDescent="0.2">
      <c r="A33" s="12" t="s">
        <v>0</v>
      </c>
      <c r="B33" s="12" t="s">
        <v>40</v>
      </c>
    </row>
    <row r="34" spans="1:9" hidden="1" x14ac:dyDescent="0.2">
      <c r="A34" s="12" t="s">
        <v>29</v>
      </c>
      <c r="B34" s="11">
        <v>1.6923076923076923</v>
      </c>
    </row>
    <row r="35" spans="1:9" hidden="1" x14ac:dyDescent="0.2">
      <c r="A35" s="12" t="s">
        <v>30</v>
      </c>
      <c r="B35" s="11">
        <v>1.7777777777777777</v>
      </c>
    </row>
    <row r="36" spans="1:9" hidden="1" x14ac:dyDescent="0.2">
      <c r="A36" s="12" t="s">
        <v>32</v>
      </c>
      <c r="B36" s="11">
        <v>1.2916666666666667</v>
      </c>
    </row>
    <row r="37" spans="1:9" hidden="1" x14ac:dyDescent="0.2">
      <c r="A37" s="12" t="s">
        <v>33</v>
      </c>
      <c r="B37" s="11">
        <v>0.56521739130434778</v>
      </c>
    </row>
    <row r="38" spans="1:9" hidden="1" x14ac:dyDescent="0.2"/>
    <row r="39" spans="1:9" hidden="1" x14ac:dyDescent="0.2">
      <c r="A39" s="12" t="s">
        <v>34</v>
      </c>
      <c r="B39" s="12" t="s">
        <v>35</v>
      </c>
      <c r="C39" s="12" t="s">
        <v>36</v>
      </c>
      <c r="D39" s="12" t="s">
        <v>37</v>
      </c>
    </row>
    <row r="40" spans="1:9" hidden="1" x14ac:dyDescent="0.2">
      <c r="A40" s="12" t="s">
        <v>40</v>
      </c>
      <c r="B40" s="17">
        <v>0.57407407407407407</v>
      </c>
      <c r="C40" s="17">
        <v>1.1851851851851851</v>
      </c>
      <c r="D40" s="17">
        <v>1.631578947368421</v>
      </c>
    </row>
    <row r="41" spans="1:9" hidden="1" x14ac:dyDescent="0.2"/>
    <row r="42" spans="1:9" hidden="1" x14ac:dyDescent="0.2"/>
    <row r="43" spans="1:9" ht="34" x14ac:dyDescent="0.2">
      <c r="A43" s="20" t="s">
        <v>41</v>
      </c>
      <c r="H43" s="12" t="s">
        <v>38</v>
      </c>
      <c r="I43" s="12" t="s">
        <v>39</v>
      </c>
    </row>
    <row r="44" spans="1:9" x14ac:dyDescent="0.2">
      <c r="A44" s="22" t="s">
        <v>0</v>
      </c>
      <c r="B44" s="22" t="s">
        <v>45</v>
      </c>
      <c r="C44" s="21" t="s">
        <v>43</v>
      </c>
      <c r="D44" s="27" t="s">
        <v>46</v>
      </c>
      <c r="E44" s="12" t="s">
        <v>47</v>
      </c>
      <c r="F44" s="12" t="s">
        <v>48</v>
      </c>
      <c r="H44" s="12" t="s">
        <v>95</v>
      </c>
      <c r="I44" s="12">
        <v>345</v>
      </c>
    </row>
    <row r="45" spans="1:9" x14ac:dyDescent="0.2">
      <c r="A45" s="23" t="s">
        <v>29</v>
      </c>
      <c r="B45" s="23">
        <v>71</v>
      </c>
      <c r="C45" s="29">
        <v>0.45</v>
      </c>
      <c r="D45" s="34">
        <f>GenSegment[[#This Row],[Adoption Rate ]]*GenSegment[[#This Row],['# Population (in M)]]/SUM(GenSegment['# Population (in M)])</f>
        <v>0.11576086956521739</v>
      </c>
      <c r="E45" s="35">
        <f>GenSegment[[#This Row],[Weight]]/SUM(GenSegment[Weight])</f>
        <v>0.31188988676298324</v>
      </c>
      <c r="F45" s="17">
        <f>$I$46*GenSegment[[#This Row],[Portfoliio Comp]]</f>
        <v>16.140301639984383</v>
      </c>
      <c r="H45" s="12" t="s">
        <v>52</v>
      </c>
      <c r="I45" s="28">
        <v>0.15</v>
      </c>
    </row>
    <row r="46" spans="1:9" x14ac:dyDescent="0.2">
      <c r="A46" s="24" t="s">
        <v>30</v>
      </c>
      <c r="B46" s="24">
        <v>74</v>
      </c>
      <c r="C46" s="30">
        <v>0.51</v>
      </c>
      <c r="D46" s="28">
        <f>GenSegment[[#This Row],[Adoption Rate ]]*GenSegment[[#This Row],['# Population (in M)]]/SUM(GenSegment['# Population (in M)])</f>
        <v>0.13673913043478261</v>
      </c>
      <c r="E46" s="35">
        <f>GenSegment[[#This Row],[Weight]]/SUM(GenSegment[Weight])</f>
        <v>0.36841077704021868</v>
      </c>
      <c r="F46" s="17">
        <f>$I$46*GenSegment[[#This Row],[Portfoliio Comp]]</f>
        <v>19.065257711831318</v>
      </c>
      <c r="H46" s="12" t="s">
        <v>48</v>
      </c>
      <c r="I46" s="17">
        <f>I45*I44</f>
        <v>51.75</v>
      </c>
    </row>
    <row r="47" spans="1:9" x14ac:dyDescent="0.2">
      <c r="A47" s="23" t="s">
        <v>32</v>
      </c>
      <c r="B47" s="23">
        <v>65.5</v>
      </c>
      <c r="C47" s="29">
        <v>0.32</v>
      </c>
      <c r="D47" s="34">
        <f>GenSegment[[#This Row],[Adoption Rate ]]*GenSegment[[#This Row],['# Population (in M)]]/SUM(GenSegment['# Population (in M)])</f>
        <v>7.5942028985507254E-2</v>
      </c>
      <c r="E47" s="35">
        <f>GenSegment[[#This Row],[Weight]]/SUM(GenSegment[Weight])</f>
        <v>0.20460757516595082</v>
      </c>
      <c r="F47" s="17">
        <f>$I$46*GenSegment[[#This Row],[Portfoliio Comp]]</f>
        <v>10.588442014837955</v>
      </c>
      <c r="H47" s="12" t="s">
        <v>96</v>
      </c>
      <c r="I47" s="139">
        <v>335.8</v>
      </c>
    </row>
    <row r="48" spans="1:9" x14ac:dyDescent="0.2">
      <c r="A48" s="25" t="s">
        <v>51</v>
      </c>
      <c r="B48" s="25">
        <v>65.5</v>
      </c>
      <c r="C48" s="31">
        <v>0.18</v>
      </c>
      <c r="D48" s="28">
        <f>GenSegment[[#This Row],[Adoption Rate ]]*GenSegment[[#This Row],['# Population (in M)]]/SUM(GenSegment['# Population (in M)])</f>
        <v>4.2717391304347825E-2</v>
      </c>
      <c r="E48" s="35">
        <f>GenSegment[[#This Row],[Weight]]/SUM(GenSegment[Weight])</f>
        <v>0.11509176103084733</v>
      </c>
      <c r="F48" s="17">
        <f>$I$46*GenSegment[[#This Row],[Portfoliio Comp]]</f>
        <v>5.9559986333463488</v>
      </c>
      <c r="H48" s="12" t="s">
        <v>97</v>
      </c>
      <c r="I48" s="17">
        <f>I47/I46</f>
        <v>6.4888888888888889</v>
      </c>
    </row>
    <row r="49" spans="1:9" x14ac:dyDescent="0.2">
      <c r="H49" s="12" t="s">
        <v>104</v>
      </c>
      <c r="I49" s="28">
        <f>(5%+Dashboard!$K$25/10000)</f>
        <v>0.05</v>
      </c>
    </row>
    <row r="50" spans="1:9" x14ac:dyDescent="0.2">
      <c r="F50" s="17"/>
      <c r="H50" s="12" t="s">
        <v>108</v>
      </c>
      <c r="I50" s="97">
        <f>'Portfolio Metrics'!B4</f>
        <v>143.89083660926707</v>
      </c>
    </row>
    <row r="51" spans="1:9" x14ac:dyDescent="0.2">
      <c r="H51" s="12" t="s">
        <v>110</v>
      </c>
      <c r="I51" s="98">
        <f>SUMPRODUCT(ARPU_Table[[Deep Subprime]:[Super Prime]],Portfolio_Num[[Deep Subprime]:[Super Prime]])</f>
        <v>2416.8600824464038</v>
      </c>
    </row>
    <row r="52" spans="1:9" ht="34" x14ac:dyDescent="0.2">
      <c r="A52" s="20" t="s">
        <v>42</v>
      </c>
    </row>
    <row r="53" spans="1:9" x14ac:dyDescent="0.2">
      <c r="A53" s="22" t="s">
        <v>34</v>
      </c>
      <c r="B53" s="22" t="s">
        <v>50</v>
      </c>
      <c r="C53" s="22" t="s">
        <v>45</v>
      </c>
      <c r="D53" s="21" t="s">
        <v>44</v>
      </c>
      <c r="E53" s="27" t="s">
        <v>46</v>
      </c>
      <c r="F53" s="12" t="s">
        <v>49</v>
      </c>
      <c r="G53" s="12" t="s">
        <v>48</v>
      </c>
    </row>
    <row r="54" spans="1:9" x14ac:dyDescent="0.2">
      <c r="A54" s="23" t="s">
        <v>35</v>
      </c>
      <c r="B54" s="39">
        <v>0.54</v>
      </c>
      <c r="C54" s="42">
        <f>239.1*IncomeSegment[[#This Row],[Percentage of Population]]</f>
        <v>129.114</v>
      </c>
      <c r="D54" s="36">
        <v>0.31</v>
      </c>
      <c r="E54" s="32">
        <f>IncomeSegment[[#This Row],[Adoption Rate]]*IncomeSegment[[#This Row],[Percentage of Population]]</f>
        <v>0.16740000000000002</v>
      </c>
      <c r="F54" s="33">
        <f>IncomeSegment[[#This Row],[Weight]]/SUM(IncomeSegment[Weight])</f>
        <v>0.52182044887780554</v>
      </c>
      <c r="G54" s="17">
        <f>$I$46*IncomeSegment[[#This Row],[Portfolio Comp]]</f>
        <v>27.004208229426435</v>
      </c>
      <c r="H54" s="17"/>
    </row>
    <row r="55" spans="1:9" x14ac:dyDescent="0.2">
      <c r="A55" s="24" t="s">
        <v>36</v>
      </c>
      <c r="B55" s="40">
        <v>0.27</v>
      </c>
      <c r="C55" s="43">
        <f>239.1*IncomeSegment[[#This Row],[Percentage of Population]]</f>
        <v>64.557000000000002</v>
      </c>
      <c r="D55" s="37">
        <v>0.35</v>
      </c>
      <c r="E55" s="33">
        <f>IncomeSegment[[#This Row],[Adoption Rate]]*IncomeSegment[[#This Row],[Percentage of Population]]</f>
        <v>9.4500000000000001E-2</v>
      </c>
      <c r="F55" s="33">
        <f>IncomeSegment[[#This Row],[Weight]]/SUM(IncomeSegment[Weight])</f>
        <v>0.29457605985037405</v>
      </c>
      <c r="G55" s="17">
        <f>$I$46*IncomeSegment[[#This Row],[Portfolio Comp]]</f>
        <v>15.244311097256857</v>
      </c>
      <c r="H55" s="17"/>
    </row>
    <row r="56" spans="1:9" x14ac:dyDescent="0.2">
      <c r="A56" s="26" t="s">
        <v>37</v>
      </c>
      <c r="B56" s="41">
        <v>0.19</v>
      </c>
      <c r="C56" s="44">
        <f>239.1*IncomeSegment[[#This Row],[Percentage of Population]]</f>
        <v>45.429000000000002</v>
      </c>
      <c r="D56" s="38">
        <v>0.31</v>
      </c>
      <c r="E56" s="32">
        <f>IncomeSegment[[#This Row],[Adoption Rate]]*IncomeSegment[[#This Row],[Percentage of Population]]</f>
        <v>5.8900000000000001E-2</v>
      </c>
      <c r="F56" s="33">
        <f>IncomeSegment[[#This Row],[Weight]]/SUM(IncomeSegment[Weight])</f>
        <v>0.18360349127182043</v>
      </c>
      <c r="G56" s="17">
        <f>$I$46*IncomeSegment[[#This Row],[Portfolio Comp]]</f>
        <v>9.5014806733167081</v>
      </c>
      <c r="H56" s="17"/>
    </row>
    <row r="58" spans="1:9" ht="51" x14ac:dyDescent="0.2">
      <c r="A58" s="20" t="s">
        <v>53</v>
      </c>
    </row>
    <row r="59" spans="1:9" x14ac:dyDescent="0.2">
      <c r="A59" s="12" t="s">
        <v>0</v>
      </c>
      <c r="B59" s="12" t="s">
        <v>35</v>
      </c>
      <c r="C59" s="12" t="s">
        <v>36</v>
      </c>
      <c r="D59" s="12" t="s">
        <v>37</v>
      </c>
    </row>
    <row r="60" spans="1:9" x14ac:dyDescent="0.2">
      <c r="A60" s="12" t="s">
        <v>29</v>
      </c>
      <c r="B60" s="33">
        <v>0.65</v>
      </c>
      <c r="C60" s="33">
        <v>0.3</v>
      </c>
      <c r="D60" s="33">
        <v>0.05</v>
      </c>
    </row>
    <row r="61" spans="1:9" x14ac:dyDescent="0.2">
      <c r="A61" s="12" t="s">
        <v>30</v>
      </c>
      <c r="B61" s="33">
        <v>0.25</v>
      </c>
      <c r="C61" s="33">
        <v>0.5</v>
      </c>
      <c r="D61" s="33">
        <v>0.25</v>
      </c>
    </row>
    <row r="62" spans="1:9" x14ac:dyDescent="0.2">
      <c r="A62" s="12" t="s">
        <v>32</v>
      </c>
      <c r="B62" s="33">
        <v>0.15</v>
      </c>
      <c r="C62" s="33">
        <v>0.55000000000000004</v>
      </c>
      <c r="D62" s="33">
        <v>0.3</v>
      </c>
    </row>
    <row r="63" spans="1:9" x14ac:dyDescent="0.2">
      <c r="A63" s="12" t="s">
        <v>51</v>
      </c>
      <c r="B63" s="33">
        <v>0.3</v>
      </c>
      <c r="C63" s="33">
        <v>0.5</v>
      </c>
      <c r="D63" s="33">
        <v>0.2</v>
      </c>
    </row>
    <row r="64" spans="1:9" ht="24" hidden="1" customHeight="1" x14ac:dyDescent="0.2"/>
    <row r="65" spans="1:4" hidden="1" x14ac:dyDescent="0.2">
      <c r="A65" s="12" t="s">
        <v>54</v>
      </c>
    </row>
    <row r="66" spans="1:4" hidden="1" x14ac:dyDescent="0.2">
      <c r="A66" s="12" t="s">
        <v>0</v>
      </c>
      <c r="B66" s="12" t="s">
        <v>35</v>
      </c>
      <c r="C66" s="12" t="s">
        <v>36</v>
      </c>
      <c r="D66" s="12" t="s">
        <v>37</v>
      </c>
    </row>
    <row r="67" spans="1:4" hidden="1" x14ac:dyDescent="0.2">
      <c r="A67" s="12" t="s">
        <v>29</v>
      </c>
      <c r="B67" s="17">
        <f t="shared" ref="B67:D70" si="0">$F45*B60</f>
        <v>10.491196065989849</v>
      </c>
      <c r="C67" s="17">
        <f t="shared" si="0"/>
        <v>4.8420904919953145</v>
      </c>
      <c r="D67" s="17">
        <f t="shared" si="0"/>
        <v>0.80701508199921923</v>
      </c>
    </row>
    <row r="68" spans="1:4" hidden="1" x14ac:dyDescent="0.2">
      <c r="A68" s="12" t="s">
        <v>30</v>
      </c>
      <c r="B68" s="17">
        <f t="shared" si="0"/>
        <v>4.7663144279578296</v>
      </c>
      <c r="C68" s="17">
        <f t="shared" si="0"/>
        <v>9.5326288559156591</v>
      </c>
      <c r="D68" s="17">
        <f t="shared" si="0"/>
        <v>4.7663144279578296</v>
      </c>
    </row>
    <row r="69" spans="1:4" hidden="1" x14ac:dyDescent="0.2">
      <c r="A69" s="12" t="s">
        <v>32</v>
      </c>
      <c r="B69" s="17">
        <f t="shared" si="0"/>
        <v>1.5882663022256933</v>
      </c>
      <c r="C69" s="17">
        <f t="shared" si="0"/>
        <v>5.8236431081608764</v>
      </c>
      <c r="D69" s="17">
        <f t="shared" si="0"/>
        <v>3.1765326044513866</v>
      </c>
    </row>
    <row r="70" spans="1:4" hidden="1" x14ac:dyDescent="0.2">
      <c r="A70" s="12" t="s">
        <v>51</v>
      </c>
      <c r="B70" s="17">
        <f t="shared" si="0"/>
        <v>1.7867995900039046</v>
      </c>
      <c r="C70" s="17">
        <f t="shared" si="0"/>
        <v>2.9779993166731744</v>
      </c>
      <c r="D70" s="17">
        <f t="shared" si="0"/>
        <v>1.1911997266692698</v>
      </c>
    </row>
    <row r="71" spans="1:4" hidden="1" x14ac:dyDescent="0.2"/>
    <row r="72" spans="1:4" hidden="1" x14ac:dyDescent="0.2">
      <c r="A72" s="12" t="s">
        <v>54</v>
      </c>
    </row>
    <row r="73" spans="1:4" hidden="1" x14ac:dyDescent="0.2">
      <c r="A73" s="12" t="s">
        <v>0</v>
      </c>
      <c r="B73" s="12" t="s">
        <v>35</v>
      </c>
      <c r="C73" s="12" t="s">
        <v>36</v>
      </c>
      <c r="D73" s="12" t="s">
        <v>37</v>
      </c>
    </row>
    <row r="74" spans="1:4" hidden="1" x14ac:dyDescent="0.2">
      <c r="A74" s="12" t="s">
        <v>29</v>
      </c>
      <c r="B74" s="17">
        <f>B67*($G$54/SUM(Table1723[&lt;50,000]))</f>
        <v>15.204899057969376</v>
      </c>
      <c r="C74" s="17">
        <f>C67*($G$55/SUM(Table1723[50,000-1,00,000]))</f>
        <v>3.1848973771133653</v>
      </c>
      <c r="D74" s="17">
        <f>D67*($G$56/SUM(Table1723[&gt;1,00,000]))</f>
        <v>0.77132989687341225</v>
      </c>
    </row>
    <row r="75" spans="1:4" hidden="1" x14ac:dyDescent="0.2">
      <c r="A75" s="12" t="s">
        <v>30</v>
      </c>
      <c r="B75" s="17">
        <f>B68*($G$54/SUM(Table1723[&lt;50,000]))</f>
        <v>6.9078234073403673</v>
      </c>
      <c r="C75" s="17">
        <f>C68*($G$55/SUM(Table1723[50,000-1,00,000]))</f>
        <v>6.2701109552560466</v>
      </c>
      <c r="D75" s="17">
        <f>D68*($G$56/SUM(Table1723[&gt;1,00,000]))</f>
        <v>4.5555540388110449</v>
      </c>
    </row>
    <row r="76" spans="1:4" hidden="1" x14ac:dyDescent="0.2">
      <c r="A76" s="12" t="s">
        <v>32</v>
      </c>
      <c r="B76" s="17">
        <f>B69*($G$54/SUM(Table1723[&lt;50,000]))</f>
        <v>2.3018756537019729</v>
      </c>
      <c r="C76" s="17">
        <f>C69*($G$55/SUM(Table1723[50,000-1,00,000]))</f>
        <v>3.8305161151134985</v>
      </c>
      <c r="D76" s="17">
        <f>D69*($G$56/SUM(Table1723[&gt;1,00,000]))</f>
        <v>3.0360703546416374</v>
      </c>
    </row>
    <row r="77" spans="1:4" hidden="1" x14ac:dyDescent="0.2">
      <c r="A77" s="12" t="s">
        <v>51</v>
      </c>
      <c r="B77" s="17">
        <f>B70*($G$54/SUM(Table1723[&lt;50,000]))</f>
        <v>2.5896101104147191</v>
      </c>
      <c r="C77" s="17">
        <f>C70*($G$55/SUM(Table1723[50,000-1,00,000]))</f>
        <v>1.9587866497739475</v>
      </c>
      <c r="D77" s="17">
        <f>D70*($G$56/SUM(Table1723[&gt;1,00,000]))</f>
        <v>1.1385263829906138</v>
      </c>
    </row>
    <row r="78" spans="1:4" hidden="1" x14ac:dyDescent="0.2"/>
    <row r="79" spans="1:4" hidden="1" x14ac:dyDescent="0.2">
      <c r="B79" s="17"/>
    </row>
    <row r="80" spans="1:4" x14ac:dyDescent="0.2">
      <c r="B80" s="17"/>
    </row>
    <row r="81" spans="1:4" ht="34" x14ac:dyDescent="0.2">
      <c r="A81" s="20" t="s">
        <v>79</v>
      </c>
    </row>
    <row r="82" spans="1:4" x14ac:dyDescent="0.2">
      <c r="A82" s="12" t="s">
        <v>0</v>
      </c>
      <c r="B82" s="12" t="s">
        <v>35</v>
      </c>
      <c r="C82" s="12" t="s">
        <v>36</v>
      </c>
      <c r="D82" s="12" t="s">
        <v>37</v>
      </c>
    </row>
    <row r="83" spans="1:4" x14ac:dyDescent="0.2">
      <c r="A83" s="12" t="s">
        <v>29</v>
      </c>
      <c r="B83" s="17">
        <f t="shared" ref="B83:D86" si="1">B74*($F45/SUM($B74:$D74))</f>
        <v>12.807788694125591</v>
      </c>
      <c r="C83" s="17">
        <f t="shared" si="1"/>
        <v>2.6827861508993496</v>
      </c>
      <c r="D83" s="17">
        <f t="shared" si="1"/>
        <v>0.6497267949594463</v>
      </c>
    </row>
    <row r="84" spans="1:4" x14ac:dyDescent="0.2">
      <c r="A84" s="12" t="s">
        <v>30</v>
      </c>
      <c r="B84" s="17">
        <f t="shared" si="1"/>
        <v>7.4265948417860193</v>
      </c>
      <c r="C84" s="17">
        <f t="shared" si="1"/>
        <v>6.740990748004533</v>
      </c>
      <c r="D84" s="17">
        <f t="shared" si="1"/>
        <v>4.897672122040766</v>
      </c>
    </row>
    <row r="85" spans="1:4" x14ac:dyDescent="0.2">
      <c r="A85" s="12" t="s">
        <v>32</v>
      </c>
      <c r="B85" s="17">
        <f t="shared" si="1"/>
        <v>2.6583822408157842</v>
      </c>
      <c r="C85" s="17">
        <f t="shared" si="1"/>
        <v>4.4237732812368495</v>
      </c>
      <c r="D85" s="17">
        <f t="shared" si="1"/>
        <v>3.5062864927853208</v>
      </c>
    </row>
    <row r="86" spans="1:4" x14ac:dyDescent="0.2">
      <c r="A86" s="12" t="s">
        <v>51</v>
      </c>
      <c r="B86" s="17">
        <f t="shared" si="1"/>
        <v>2.7121369306755412</v>
      </c>
      <c r="C86" s="17">
        <f t="shared" si="1"/>
        <v>2.0514661997961374</v>
      </c>
      <c r="D86" s="17">
        <f t="shared" si="1"/>
        <v>1.19239550287467</v>
      </c>
    </row>
    <row r="88" spans="1:4" x14ac:dyDescent="0.2">
      <c r="A88" s="45" t="s">
        <v>55</v>
      </c>
      <c r="B88" s="45"/>
      <c r="C88" s="45"/>
      <c r="D88" s="45"/>
    </row>
    <row r="89" spans="1:4" x14ac:dyDescent="0.2">
      <c r="A89" s="57" t="s">
        <v>0</v>
      </c>
      <c r="B89" s="57" t="s">
        <v>35</v>
      </c>
      <c r="C89" s="57" t="s">
        <v>36</v>
      </c>
      <c r="D89" s="58" t="s">
        <v>37</v>
      </c>
    </row>
    <row r="90" spans="1:4" x14ac:dyDescent="0.2">
      <c r="A90" s="55" t="s">
        <v>29</v>
      </c>
      <c r="B90" s="54">
        <f>B83/SUM(GenxIncome_Num[[&lt;50,000]:[&gt;1,00,000]])</f>
        <v>0.24749350133576017</v>
      </c>
      <c r="C90" s="54">
        <f>C83/SUM(GenxIncome_Num[[&lt;50,000]:[&gt;1,00,000]])</f>
        <v>5.1841278278248297E-2</v>
      </c>
      <c r="D90" s="54">
        <f>D83/SUM(GenxIncome_Num[[&lt;50,000]:[&gt;1,00,000]])</f>
        <v>1.2555107148974806E-2</v>
      </c>
    </row>
    <row r="91" spans="1:4" x14ac:dyDescent="0.2">
      <c r="A91" s="56" t="s">
        <v>30</v>
      </c>
      <c r="B91" s="54">
        <f>B84/SUM(GenxIncome_Num[[&lt;50,000]:[&gt;1,00,000]])</f>
        <v>0.14350907906832885</v>
      </c>
      <c r="C91" s="54">
        <f>C84/SUM(GenxIncome_Num[[&lt;50,000]:[&gt;1,00,000]])</f>
        <v>0.13026069078269628</v>
      </c>
      <c r="D91" s="54">
        <f>D84/SUM(GenxIncome_Num[[&lt;50,000]:[&gt;1,00,000]])</f>
        <v>9.4641007189193535E-2</v>
      </c>
    </row>
    <row r="92" spans="1:4" x14ac:dyDescent="0.2">
      <c r="A92" s="55" t="s">
        <v>32</v>
      </c>
      <c r="B92" s="54">
        <f>B85/SUM(GenxIncome_Num[[&lt;50,000]:[&gt;1,00,000]])</f>
        <v>5.1369705136536888E-2</v>
      </c>
      <c r="C92" s="54">
        <f>C85/SUM(GenxIncome_Num[[&lt;50,000]:[&gt;1,00,000]])</f>
        <v>8.5483541666412546E-2</v>
      </c>
      <c r="D92" s="54">
        <f>D85/SUM(GenxIncome_Num[[&lt;50,000]:[&gt;1,00,000]])</f>
        <v>6.7754328363001354E-2</v>
      </c>
    </row>
    <row r="93" spans="1:4" x14ac:dyDescent="0.2">
      <c r="A93" s="59" t="s">
        <v>51</v>
      </c>
      <c r="B93" s="60">
        <f>B86/SUM(GenxIncome_Num[[&lt;50,000]:[&gt;1,00,000]])</f>
        <v>5.2408443104841371E-2</v>
      </c>
      <c r="C93" s="60">
        <f>C86/SUM(GenxIncome_Num[[&lt;50,000]:[&gt;1,00,000]])</f>
        <v>3.9641858933258688E-2</v>
      </c>
      <c r="D93" s="60">
        <f>D86/SUM(GenxIncome_Num[[&lt;50,000]:[&gt;1,00,000]])</f>
        <v>2.3041458992747243E-2</v>
      </c>
    </row>
  </sheetData>
  <phoneticPr fontId="10" type="noConversion"/>
  <pageMargins left="0.7" right="0.7" top="0.75" bottom="0.75" header="0.3" footer="0.3"/>
  <pageSetup paperSize="9" orientation="portrait" horizontalDpi="0" verticalDpi="0"/>
  <drawing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F1DEB-5E1F-9E4B-8518-D8D209750B3F}">
  <sheetPr codeName="Sheet2">
    <tabColor theme="1" tint="0.14999847407452621"/>
  </sheetPr>
  <dimension ref="A1:M65"/>
  <sheetViews>
    <sheetView zoomScale="125" zoomScaleNormal="125" workbookViewId="0">
      <selection activeCell="G14" sqref="G14"/>
    </sheetView>
  </sheetViews>
  <sheetFormatPr baseColWidth="10" defaultRowHeight="16" x14ac:dyDescent="0.2"/>
  <cols>
    <col min="1" max="1" width="25.33203125" customWidth="1"/>
    <col min="2" max="2" width="23" customWidth="1"/>
    <col min="3" max="3" width="19.83203125" customWidth="1"/>
    <col min="4" max="4" width="12.83203125" customWidth="1"/>
    <col min="5" max="5" width="11.83203125" bestFit="1" customWidth="1"/>
    <col min="6" max="6" width="14" customWidth="1"/>
    <col min="9" max="9" width="15.6640625" bestFit="1" customWidth="1"/>
    <col min="10" max="10" width="20.33203125" bestFit="1" customWidth="1"/>
  </cols>
  <sheetData>
    <row r="1" spans="1:10" x14ac:dyDescent="0.2">
      <c r="A1" t="s">
        <v>57</v>
      </c>
      <c r="B1" t="s">
        <v>56</v>
      </c>
    </row>
    <row r="2" spans="1:10" x14ac:dyDescent="0.2">
      <c r="A2" t="s">
        <v>58</v>
      </c>
      <c r="B2" s="19" t="s">
        <v>63</v>
      </c>
    </row>
    <row r="3" spans="1:10" x14ac:dyDescent="0.2">
      <c r="A3" t="s">
        <v>59</v>
      </c>
      <c r="B3" t="s">
        <v>64</v>
      </c>
      <c r="I3" s="46" t="s">
        <v>57</v>
      </c>
      <c r="J3" s="47" t="s">
        <v>68</v>
      </c>
    </row>
    <row r="4" spans="1:10" x14ac:dyDescent="0.2">
      <c r="A4" t="s">
        <v>60</v>
      </c>
      <c r="B4" t="s">
        <v>65</v>
      </c>
      <c r="I4" s="49" t="s">
        <v>70</v>
      </c>
      <c r="J4" s="106">
        <v>3.9E-2</v>
      </c>
    </row>
    <row r="5" spans="1:10" x14ac:dyDescent="0.2">
      <c r="A5" t="s">
        <v>61</v>
      </c>
      <c r="B5" t="s">
        <v>66</v>
      </c>
      <c r="I5" s="51" t="s">
        <v>58</v>
      </c>
      <c r="J5" s="107">
        <v>0.45</v>
      </c>
    </row>
    <row r="6" spans="1:10" x14ac:dyDescent="0.2">
      <c r="A6" t="s">
        <v>62</v>
      </c>
      <c r="B6" t="s">
        <v>67</v>
      </c>
      <c r="I6" s="49" t="s">
        <v>59</v>
      </c>
      <c r="J6" s="106">
        <v>0.16</v>
      </c>
    </row>
    <row r="7" spans="1:10" x14ac:dyDescent="0.2">
      <c r="I7" s="51" t="s">
        <v>60</v>
      </c>
      <c r="J7" s="107">
        <v>0.127</v>
      </c>
    </row>
    <row r="8" spans="1:10" x14ac:dyDescent="0.2">
      <c r="I8" s="49" t="s">
        <v>61</v>
      </c>
      <c r="J8" s="106">
        <v>0.13200000000000001</v>
      </c>
    </row>
    <row r="9" spans="1:10" x14ac:dyDescent="0.2">
      <c r="A9" s="12" t="s">
        <v>57</v>
      </c>
      <c r="B9" s="12" t="s">
        <v>91</v>
      </c>
      <c r="C9" s="12" t="s">
        <v>68</v>
      </c>
      <c r="D9" s="12" t="s">
        <v>69</v>
      </c>
      <c r="I9" s="51" t="s">
        <v>62</v>
      </c>
      <c r="J9" s="107">
        <v>9.0999999999999998E-2</v>
      </c>
    </row>
    <row r="10" spans="1:10" x14ac:dyDescent="0.2">
      <c r="A10" s="12" t="s">
        <v>70</v>
      </c>
      <c r="B10" s="12" t="s">
        <v>92</v>
      </c>
      <c r="C10" s="28">
        <v>3.9E-2</v>
      </c>
      <c r="D10" s="28">
        <v>4.1000000000000002E-2</v>
      </c>
    </row>
    <row r="11" spans="1:10" x14ac:dyDescent="0.2">
      <c r="A11" s="12" t="s">
        <v>58</v>
      </c>
      <c r="B11" s="17">
        <f>SUM(IncomexCredit_Num[Deep Subprime])</f>
        <v>11.976059850374066</v>
      </c>
      <c r="C11" s="28">
        <v>0.45</v>
      </c>
      <c r="D11" s="28">
        <v>3.5000000000000003E-2</v>
      </c>
      <c r="E11" s="61"/>
      <c r="F11" s="65"/>
    </row>
    <row r="12" spans="1:10" x14ac:dyDescent="0.2">
      <c r="A12" s="12" t="s">
        <v>59</v>
      </c>
      <c r="B12" s="17">
        <f>SUM(IncomexCredit_Num[Subprime])</f>
        <v>11.897983167082295</v>
      </c>
      <c r="C12" s="28">
        <v>0.16</v>
      </c>
      <c r="D12" s="28">
        <v>1.0999999999999999E-2</v>
      </c>
      <c r="F12" s="65"/>
    </row>
    <row r="13" spans="1:10" x14ac:dyDescent="0.2">
      <c r="A13" s="12" t="s">
        <v>60</v>
      </c>
      <c r="B13" s="17">
        <f>SUM(IncomexCredit_Num[Near Prime])</f>
        <v>9.1919163029925173</v>
      </c>
      <c r="C13" s="28">
        <v>0.127</v>
      </c>
      <c r="D13" s="28">
        <v>8.0000000000000002E-3</v>
      </c>
      <c r="F13" s="65"/>
    </row>
    <row r="14" spans="1:10" x14ac:dyDescent="0.2">
      <c r="A14" s="12" t="s">
        <v>61</v>
      </c>
      <c r="B14" s="17">
        <f>SUM(IncomexCredit_Num[Prime])</f>
        <v>10.241757325436408</v>
      </c>
      <c r="C14" s="28">
        <v>0.13200000000000001</v>
      </c>
      <c r="D14" s="28">
        <v>7.0000000000000001E-3</v>
      </c>
      <c r="F14" s="65"/>
    </row>
    <row r="15" spans="1:10" x14ac:dyDescent="0.2">
      <c r="A15" s="12" t="s">
        <v>62</v>
      </c>
      <c r="B15" s="17">
        <f>SUM(IncomexCredit_Num[Super Prime])</f>
        <v>8.2522537406483778</v>
      </c>
      <c r="C15" s="28">
        <v>9.0999999999999998E-2</v>
      </c>
      <c r="D15" s="28">
        <v>8.0000000000000002E-3</v>
      </c>
      <c r="F15" s="65"/>
    </row>
    <row r="16" spans="1:10" x14ac:dyDescent="0.2">
      <c r="A16" s="12"/>
      <c r="B16" s="28"/>
      <c r="C16" s="28"/>
    </row>
    <row r="17" spans="1:10" ht="32" customHeight="1" x14ac:dyDescent="0.2">
      <c r="A17" s="62" t="s">
        <v>71</v>
      </c>
    </row>
    <row r="18" spans="1:10" x14ac:dyDescent="0.2">
      <c r="A18" t="s">
        <v>34</v>
      </c>
      <c r="B18" t="s">
        <v>58</v>
      </c>
      <c r="C18" t="s">
        <v>59</v>
      </c>
      <c r="D18" t="s">
        <v>60</v>
      </c>
      <c r="E18" t="s">
        <v>61</v>
      </c>
      <c r="F18" t="s">
        <v>62</v>
      </c>
      <c r="I18" s="67" t="s">
        <v>34</v>
      </c>
      <c r="J18" s="68" t="s">
        <v>48</v>
      </c>
    </row>
    <row r="19" spans="1:10" x14ac:dyDescent="0.2">
      <c r="A19" t="s">
        <v>35</v>
      </c>
      <c r="B19" s="3">
        <v>0.38</v>
      </c>
      <c r="C19" s="3">
        <v>0.32</v>
      </c>
      <c r="D19" s="3">
        <v>0.15</v>
      </c>
      <c r="E19" s="3">
        <v>0.11</v>
      </c>
      <c r="F19" s="3">
        <v>0.04</v>
      </c>
      <c r="I19" s="69" t="s">
        <v>35</v>
      </c>
      <c r="J19" s="50" cm="1">
        <f t="array" ref="J19:J21">'User Segmentation'!G54:G56</f>
        <v>27.004208229426435</v>
      </c>
    </row>
    <row r="20" spans="1:10" x14ac:dyDescent="0.2">
      <c r="A20" t="s">
        <v>36</v>
      </c>
      <c r="B20" s="3">
        <v>0.1</v>
      </c>
      <c r="C20" s="3">
        <v>0.17</v>
      </c>
      <c r="D20" s="3">
        <v>0.25</v>
      </c>
      <c r="E20" s="3">
        <v>0.28999999999999998</v>
      </c>
      <c r="F20" s="3">
        <v>0.19</v>
      </c>
      <c r="I20" s="70" t="s">
        <v>36</v>
      </c>
      <c r="J20" s="53">
        <v>15.244311097256857</v>
      </c>
    </row>
    <row r="21" spans="1:10" x14ac:dyDescent="0.2">
      <c r="A21" t="s">
        <v>37</v>
      </c>
      <c r="B21" s="3">
        <v>0.02</v>
      </c>
      <c r="C21" s="3">
        <v>7.0000000000000007E-2</v>
      </c>
      <c r="D21" s="3">
        <v>0.14000000000000001</v>
      </c>
      <c r="E21" s="3">
        <v>0.3</v>
      </c>
      <c r="F21" s="3">
        <v>0.45</v>
      </c>
      <c r="I21" s="69" t="s">
        <v>37</v>
      </c>
      <c r="J21" s="50">
        <v>9.5014806733167081</v>
      </c>
    </row>
    <row r="22" spans="1:10" x14ac:dyDescent="0.2">
      <c r="B22" s="3"/>
      <c r="C22" s="3"/>
      <c r="D22" s="3"/>
      <c r="E22" s="3"/>
      <c r="F22" s="3"/>
    </row>
    <row r="23" spans="1:10" x14ac:dyDescent="0.2">
      <c r="A23" s="75" t="s">
        <v>34</v>
      </c>
      <c r="B23" s="75" t="s">
        <v>58</v>
      </c>
      <c r="C23" s="75" t="s">
        <v>59</v>
      </c>
      <c r="D23" s="75" t="s">
        <v>60</v>
      </c>
      <c r="E23" s="75" t="s">
        <v>61</v>
      </c>
      <c r="F23" s="76" t="s">
        <v>62</v>
      </c>
    </row>
    <row r="24" spans="1:10" x14ac:dyDescent="0.2">
      <c r="A24" s="73" t="s">
        <v>35</v>
      </c>
      <c r="B24" s="72">
        <f t="shared" ref="B24:F26" si="0">B19*$J19</f>
        <v>10.261599127182045</v>
      </c>
      <c r="C24" s="72">
        <f t="shared" si="0"/>
        <v>8.6413466334164593</v>
      </c>
      <c r="D24" s="72">
        <f t="shared" si="0"/>
        <v>4.0506312344139648</v>
      </c>
      <c r="E24" s="72">
        <f t="shared" si="0"/>
        <v>2.970462905236908</v>
      </c>
      <c r="F24" s="72">
        <f t="shared" si="0"/>
        <v>1.0801683291770574</v>
      </c>
    </row>
    <row r="25" spans="1:10" x14ac:dyDescent="0.2">
      <c r="A25" s="74" t="s">
        <v>36</v>
      </c>
      <c r="B25" s="72">
        <f t="shared" si="0"/>
        <v>1.5244311097256857</v>
      </c>
      <c r="C25" s="72">
        <f t="shared" si="0"/>
        <v>2.591532886533666</v>
      </c>
      <c r="D25" s="72">
        <f t="shared" si="0"/>
        <v>3.8110777743142141</v>
      </c>
      <c r="E25" s="72">
        <f t="shared" si="0"/>
        <v>4.420850218204488</v>
      </c>
      <c r="F25" s="72">
        <f t="shared" si="0"/>
        <v>2.8964191084788027</v>
      </c>
    </row>
    <row r="26" spans="1:10" x14ac:dyDescent="0.2">
      <c r="A26" s="77" t="s">
        <v>37</v>
      </c>
      <c r="B26" s="78">
        <f t="shared" si="0"/>
        <v>0.19002961346633418</v>
      </c>
      <c r="C26" s="78">
        <f t="shared" si="0"/>
        <v>0.66510364713216963</v>
      </c>
      <c r="D26" s="78">
        <f t="shared" si="0"/>
        <v>1.3302072942643393</v>
      </c>
      <c r="E26" s="78">
        <f t="shared" si="0"/>
        <v>2.8504442019950122</v>
      </c>
      <c r="F26" s="78">
        <f t="shared" si="0"/>
        <v>4.2756663029925184</v>
      </c>
    </row>
    <row r="28" spans="1:10" ht="34" hidden="1" x14ac:dyDescent="0.2">
      <c r="A28" s="62" t="s">
        <v>74</v>
      </c>
      <c r="F28" t="s">
        <v>80</v>
      </c>
    </row>
    <row r="29" spans="1:10" hidden="1" x14ac:dyDescent="0.2">
      <c r="A29" t="s">
        <v>72</v>
      </c>
      <c r="B29" t="s">
        <v>73</v>
      </c>
    </row>
    <row r="30" spans="1:10" hidden="1" x14ac:dyDescent="0.2">
      <c r="A30" t="s">
        <v>35</v>
      </c>
      <c r="B30" s="61">
        <f>$B19*$D$11+$C19*$D$12+$D19*$D$13+$E19*$D$14+$F19*$D$15</f>
        <v>1.9110000000000002E-2</v>
      </c>
      <c r="E30" t="s">
        <v>80</v>
      </c>
    </row>
    <row r="31" spans="1:10" hidden="1" x14ac:dyDescent="0.2">
      <c r="A31" t="s">
        <v>36</v>
      </c>
      <c r="B31" s="61">
        <f>$B20*$D$11+$C20*$D$12+$D20*$D$13+$E20*$D$14+$F20*$D$15</f>
        <v>1.0920000000000001E-2</v>
      </c>
    </row>
    <row r="32" spans="1:10" hidden="1" x14ac:dyDescent="0.2">
      <c r="A32" s="63" t="s">
        <v>37</v>
      </c>
      <c r="B32" s="61">
        <f>$B21*$D$11+$C21*$D$12+$D21*$D$13+$E21*$D$14+$F21*$D$15</f>
        <v>8.2900000000000005E-3</v>
      </c>
    </row>
    <row r="33" spans="1:13" hidden="1" x14ac:dyDescent="0.2">
      <c r="A33" s="63"/>
    </row>
    <row r="34" spans="1:13" ht="34" hidden="1" x14ac:dyDescent="0.2">
      <c r="A34" s="62" t="s">
        <v>76</v>
      </c>
    </row>
    <row r="35" spans="1:13" ht="17" hidden="1" x14ac:dyDescent="0.2">
      <c r="A35" s="62" t="s">
        <v>0</v>
      </c>
      <c r="B35" t="s">
        <v>58</v>
      </c>
      <c r="C35" t="s">
        <v>59</v>
      </c>
      <c r="D35" t="s">
        <v>60</v>
      </c>
      <c r="E35" t="s">
        <v>61</v>
      </c>
      <c r="F35" t="s">
        <v>62</v>
      </c>
    </row>
    <row r="36" spans="1:13" hidden="1" x14ac:dyDescent="0.2">
      <c r="A36" s="63" t="s">
        <v>29</v>
      </c>
      <c r="B36" s="61">
        <f>'User Segmentation'!$B60*'Default Rates'!B$19+'User Segmentation'!$C60*'Default Rates'!B$20+'User Segmentation'!$D60*'Default Rates'!B$21</f>
        <v>0.27800000000000002</v>
      </c>
      <c r="C36" s="61">
        <f>'User Segmentation'!$B60*'Default Rates'!C$19+'User Segmentation'!$C60*'Default Rates'!C$20+'User Segmentation'!$D60*'Default Rates'!C$21+0.0292</f>
        <v>0.29170000000000001</v>
      </c>
      <c r="D36" s="61">
        <f>'User Segmentation'!$B60*'Default Rates'!D$19+'User Segmentation'!$C60*'Default Rates'!D$20+'User Segmentation'!$D60*'Default Rates'!D$21+0.05005</f>
        <v>0.22954999999999998</v>
      </c>
      <c r="E36" s="61">
        <f>('User Segmentation'!$B60*'Default Rates'!E$19+'User Segmentation'!$C60*'Default Rates'!E$20+'User Segmentation'!$D60*'Default Rates'!E$21)*0.75</f>
        <v>0.13012499999999999</v>
      </c>
      <c r="F36" s="61">
        <f>('User Segmentation'!$B60*'Default Rates'!F$19+'User Segmentation'!$C60*'Default Rates'!F$20+'User Segmentation'!$D60*'Default Rates'!F$21)*0.75</f>
        <v>7.9125000000000001E-2</v>
      </c>
    </row>
    <row r="37" spans="1:13" hidden="1" x14ac:dyDescent="0.2">
      <c r="A37" s="63" t="s">
        <v>30</v>
      </c>
      <c r="B37" s="61">
        <f>'User Segmentation'!$B61*'Default Rates'!B$19+'User Segmentation'!$C61*'Default Rates'!B$20+'User Segmentation'!$D61*'Default Rates'!B$21</f>
        <v>0.15000000000000002</v>
      </c>
      <c r="C37" s="61">
        <f>'User Segmentation'!$B61*'Default Rates'!C$19+'User Segmentation'!$C61*'Default Rates'!C$20+'User Segmentation'!$D61*'Default Rates'!C$21</f>
        <v>0.1825</v>
      </c>
      <c r="D37" s="61">
        <f>'User Segmentation'!$B61*'Default Rates'!D$19+'User Segmentation'!$C61*'Default Rates'!D$20+'User Segmentation'!$D61*'Default Rates'!D$21</f>
        <v>0.19750000000000001</v>
      </c>
      <c r="E37" s="61">
        <f>'User Segmentation'!$B61*'Default Rates'!E$19+'User Segmentation'!$C61*'Default Rates'!E$20+'User Segmentation'!$D61*'Default Rates'!E$21</f>
        <v>0.2475</v>
      </c>
      <c r="F37" s="61">
        <f>'User Segmentation'!$B61*'Default Rates'!F$19+'User Segmentation'!$C61*'Default Rates'!F$20+'User Segmentation'!$D61*'Default Rates'!F$21</f>
        <v>0.2175</v>
      </c>
    </row>
    <row r="38" spans="1:13" hidden="1" x14ac:dyDescent="0.2">
      <c r="A38" s="63" t="s">
        <v>32</v>
      </c>
      <c r="B38" s="61">
        <f>'User Segmentation'!$B62*'Default Rates'!B$19+'User Segmentation'!$C62*'Default Rates'!B$20+'User Segmentation'!$D62*'Default Rates'!B$21</f>
        <v>0.11800000000000001</v>
      </c>
      <c r="C38" s="61">
        <f>'User Segmentation'!$B62*'Default Rates'!C$19+'User Segmentation'!$C62*'Default Rates'!C$20+'User Segmentation'!$D62*'Default Rates'!C$21</f>
        <v>0.16250000000000001</v>
      </c>
      <c r="D38" s="61">
        <f>'User Segmentation'!$B62*'Default Rates'!D$19+'User Segmentation'!$C62*'Default Rates'!D$20+'User Segmentation'!$D62*'Default Rates'!D$21</f>
        <v>0.20200000000000001</v>
      </c>
      <c r="E38" s="61">
        <f>'User Segmentation'!$B62*'Default Rates'!E$19+'User Segmentation'!$C62*'Default Rates'!E$20+'User Segmentation'!$D62*'Default Rates'!E$21</f>
        <v>0.26600000000000001</v>
      </c>
      <c r="F38" s="61">
        <f>'User Segmentation'!$B62*'Default Rates'!F$19+'User Segmentation'!$C62*'Default Rates'!F$20+'User Segmentation'!$D62*'Default Rates'!F$21</f>
        <v>0.24550000000000002</v>
      </c>
    </row>
    <row r="39" spans="1:13" hidden="1" x14ac:dyDescent="0.2">
      <c r="A39" s="63" t="s">
        <v>51</v>
      </c>
      <c r="B39" s="61">
        <f>'User Segmentation'!$B63*'Default Rates'!B$19+'User Segmentation'!$C63*'Default Rates'!B$20+'User Segmentation'!$D63*'Default Rates'!B$21</f>
        <v>0.16799999999999998</v>
      </c>
      <c r="C39" s="61">
        <f>'User Segmentation'!$B63*'Default Rates'!C$19+'User Segmentation'!$C63*'Default Rates'!C$20+'User Segmentation'!$D63*'Default Rates'!C$21</f>
        <v>0.19500000000000001</v>
      </c>
      <c r="D39" s="61">
        <f>'User Segmentation'!$B63*'Default Rates'!D$19+'User Segmentation'!$C63*'Default Rates'!D$20+'User Segmentation'!$D63*'Default Rates'!D$21</f>
        <v>0.19799999999999998</v>
      </c>
      <c r="E39" s="61">
        <f>'User Segmentation'!$B63*'Default Rates'!E$19+'User Segmentation'!$C63*'Default Rates'!E$20+'User Segmentation'!$D63*'Default Rates'!E$21</f>
        <v>0.23799999999999999</v>
      </c>
      <c r="F39" s="61">
        <f>'User Segmentation'!$B63*'Default Rates'!F$19+'User Segmentation'!$C63*'Default Rates'!F$20+'User Segmentation'!$D63*'Default Rates'!F$21</f>
        <v>0.19700000000000001</v>
      </c>
    </row>
    <row r="40" spans="1:13" hidden="1" x14ac:dyDescent="0.2">
      <c r="A40" s="63"/>
      <c r="B40" s="61"/>
      <c r="C40" s="61"/>
      <c r="D40" s="61"/>
      <c r="E40" s="61"/>
      <c r="F40" s="61"/>
    </row>
    <row r="41" spans="1:13" hidden="1" x14ac:dyDescent="0.2"/>
    <row r="42" spans="1:13" hidden="1" x14ac:dyDescent="0.2">
      <c r="A42" t="s">
        <v>75</v>
      </c>
    </row>
    <row r="43" spans="1:13" hidden="1" x14ac:dyDescent="0.2">
      <c r="A43" t="s">
        <v>0</v>
      </c>
      <c r="B43" t="s">
        <v>77</v>
      </c>
    </row>
    <row r="44" spans="1:13" hidden="1" x14ac:dyDescent="0.2">
      <c r="A44" t="s">
        <v>29</v>
      </c>
      <c r="B44" s="61">
        <f>'User Segmentation'!B60*'Default Rates'!B58+'User Segmentation'!C60*'Default Rates'!C58+'User Segmentation'!D60*'Default Rates'!D58</f>
        <v>1.9686320000000004E-2</v>
      </c>
      <c r="I44" s="65"/>
      <c r="J44" s="65"/>
      <c r="K44" s="65"/>
      <c r="L44" s="65"/>
      <c r="M44" s="65"/>
    </row>
    <row r="45" spans="1:13" hidden="1" x14ac:dyDescent="0.2">
      <c r="A45" t="s">
        <v>30</v>
      </c>
      <c r="B45" s="61">
        <f>'User Segmentation'!B61*'Default Rates'!B59+'User Segmentation'!C61*'Default Rates'!C59+'User Segmentation'!D61*'Default Rates'!D59</f>
        <v>1.2658075000000001E-2</v>
      </c>
      <c r="I45" s="65"/>
      <c r="J45" s="65"/>
      <c r="K45" s="65"/>
      <c r="L45" s="65"/>
      <c r="M45" s="65"/>
    </row>
    <row r="46" spans="1:13" hidden="1" x14ac:dyDescent="0.2">
      <c r="A46" t="s">
        <v>32</v>
      </c>
      <c r="B46" s="61">
        <f>'User Segmentation'!B62*'Default Rates'!B60+'User Segmentation'!C62*'Default Rates'!C60+'User Segmentation'!D62*'Default Rates'!D60</f>
        <v>1.1359500000000002E-2</v>
      </c>
      <c r="I46" s="65"/>
      <c r="J46" s="65"/>
      <c r="K46" s="65"/>
      <c r="L46" s="65"/>
      <c r="M46" s="65"/>
    </row>
    <row r="47" spans="1:13" hidden="1" x14ac:dyDescent="0.2">
      <c r="A47" t="s">
        <v>51</v>
      </c>
      <c r="B47" s="61">
        <f>'User Segmentation'!B63*'Default Rates'!B61+'User Segmentation'!C63*'Default Rates'!C61+'User Segmentation'!D63*'Default Rates'!D61</f>
        <v>1.2851000000000001E-2</v>
      </c>
      <c r="F47" s="64"/>
      <c r="I47" s="65"/>
      <c r="J47" s="65"/>
      <c r="K47" s="65"/>
      <c r="L47" s="65"/>
      <c r="M47" s="65"/>
    </row>
    <row r="48" spans="1:13" hidden="1" x14ac:dyDescent="0.2"/>
    <row r="49" spans="1:6" ht="34" hidden="1" x14ac:dyDescent="0.2">
      <c r="A49" s="62" t="s">
        <v>81</v>
      </c>
    </row>
    <row r="50" spans="1:6" hidden="1" x14ac:dyDescent="0.2">
      <c r="A50" t="s">
        <v>0</v>
      </c>
      <c r="B50" t="s">
        <v>35</v>
      </c>
      <c r="C50" t="s">
        <v>36</v>
      </c>
      <c r="D50" t="s">
        <v>37</v>
      </c>
    </row>
    <row r="51" spans="1:6" hidden="1" x14ac:dyDescent="0.2">
      <c r="A51" t="s">
        <v>29</v>
      </c>
      <c r="B51">
        <v>1.23</v>
      </c>
      <c r="C51">
        <v>1.2</v>
      </c>
      <c r="D51">
        <v>1.1499999999999999</v>
      </c>
    </row>
    <row r="52" spans="1:6" hidden="1" x14ac:dyDescent="0.2">
      <c r="A52" t="s">
        <v>30</v>
      </c>
      <c r="B52">
        <v>1.05</v>
      </c>
      <c r="C52">
        <v>1.02</v>
      </c>
      <c r="D52">
        <v>1</v>
      </c>
    </row>
    <row r="53" spans="1:6" hidden="1" x14ac:dyDescent="0.2">
      <c r="A53" t="s">
        <v>32</v>
      </c>
      <c r="B53">
        <v>1</v>
      </c>
      <c r="C53">
        <v>1</v>
      </c>
      <c r="D53">
        <v>1</v>
      </c>
    </row>
    <row r="54" spans="1:6" hidden="1" x14ac:dyDescent="0.2">
      <c r="A54" t="s">
        <v>51</v>
      </c>
      <c r="B54">
        <v>1</v>
      </c>
      <c r="C54">
        <v>1</v>
      </c>
      <c r="D54">
        <v>1</v>
      </c>
    </row>
    <row r="55" spans="1:6" hidden="1" x14ac:dyDescent="0.2"/>
    <row r="56" spans="1:6" ht="34" hidden="1" x14ac:dyDescent="0.2">
      <c r="A56" s="62" t="s">
        <v>78</v>
      </c>
    </row>
    <row r="57" spans="1:6" hidden="1" x14ac:dyDescent="0.2">
      <c r="A57" t="s">
        <v>0</v>
      </c>
      <c r="B57" t="s">
        <v>35</v>
      </c>
      <c r="C57" t="s">
        <v>36</v>
      </c>
      <c r="D57" t="s">
        <v>37</v>
      </c>
    </row>
    <row r="58" spans="1:6" hidden="1" x14ac:dyDescent="0.2">
      <c r="A58" t="s">
        <v>29</v>
      </c>
      <c r="B58" s="61">
        <f>$B$30*B51</f>
        <v>2.3505300000000003E-2</v>
      </c>
      <c r="C58" s="61">
        <f>$B$31*C51</f>
        <v>1.3104000000000001E-2</v>
      </c>
      <c r="D58" s="61">
        <f>$B$32*D51</f>
        <v>9.5335000000000003E-3</v>
      </c>
    </row>
    <row r="59" spans="1:6" hidden="1" x14ac:dyDescent="0.2">
      <c r="A59" t="s">
        <v>30</v>
      </c>
      <c r="B59" s="61">
        <f>$B$30*B52</f>
        <v>2.0065500000000003E-2</v>
      </c>
      <c r="C59" s="61">
        <f>$B$31*C52</f>
        <v>1.1138400000000001E-2</v>
      </c>
      <c r="D59" s="61">
        <f>$B$32*D52</f>
        <v>8.2900000000000005E-3</v>
      </c>
    </row>
    <row r="60" spans="1:6" hidden="1" x14ac:dyDescent="0.2">
      <c r="A60" t="s">
        <v>32</v>
      </c>
      <c r="B60" s="61">
        <f>$B$30*B53</f>
        <v>1.9110000000000002E-2</v>
      </c>
      <c r="C60" s="61">
        <f>$B$31*C53</f>
        <v>1.0920000000000001E-2</v>
      </c>
      <c r="D60" s="61">
        <f>$B$32*D53</f>
        <v>8.2900000000000005E-3</v>
      </c>
    </row>
    <row r="61" spans="1:6" hidden="1" x14ac:dyDescent="0.2">
      <c r="A61" t="s">
        <v>51</v>
      </c>
      <c r="B61" s="61">
        <f>$B$30*B54</f>
        <v>1.9110000000000002E-2</v>
      </c>
      <c r="C61" s="61">
        <f>$B$31*C54</f>
        <v>1.0920000000000001E-2</v>
      </c>
      <c r="D61" s="61">
        <f>$B$32*D54</f>
        <v>8.2900000000000005E-3</v>
      </c>
    </row>
    <row r="63" spans="1:6" x14ac:dyDescent="0.2">
      <c r="B63" s="10"/>
      <c r="C63" s="10"/>
      <c r="D63" s="10"/>
      <c r="E63" s="10"/>
      <c r="F63" s="10"/>
    </row>
    <row r="65" spans="2:2" x14ac:dyDescent="0.2">
      <c r="B65" s="18"/>
    </row>
  </sheetData>
  <pageMargins left="0.7" right="0.7" top="0.75" bottom="0.75" header="0.3" footer="0.3"/>
  <ignoredErrors>
    <ignoredError sqref="D39 C37:C39 D36:D38 E37:E39 F36" calculatedColumn="1"/>
  </ignoredErrors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13B51-334F-BE47-908F-8DAFF9FF19EA}">
  <sheetPr codeName="Sheet3">
    <tabColor theme="1" tint="0.249977111117893"/>
  </sheetPr>
  <dimension ref="A1:U159"/>
  <sheetViews>
    <sheetView topLeftCell="A92" zoomScale="92" zoomScaleNormal="18" workbookViewId="0">
      <selection activeCell="J130" sqref="J130:P143"/>
    </sheetView>
  </sheetViews>
  <sheetFormatPr baseColWidth="10" defaultRowHeight="16" x14ac:dyDescent="0.2"/>
  <cols>
    <col min="1" max="1" width="28.33203125" customWidth="1"/>
    <col min="2" max="2" width="16.5" customWidth="1"/>
    <col min="3" max="3" width="16.83203125" customWidth="1"/>
    <col min="4" max="4" width="12.1640625" customWidth="1"/>
    <col min="5" max="5" width="12.83203125" customWidth="1"/>
    <col min="6" max="6" width="13.6640625" bestFit="1" customWidth="1"/>
    <col min="7" max="7" width="14" customWidth="1"/>
    <col min="9" max="9" width="15.6640625" bestFit="1" customWidth="1"/>
    <col min="10" max="10" width="18.1640625" bestFit="1" customWidth="1"/>
    <col min="11" max="11" width="22.83203125" bestFit="1" customWidth="1"/>
    <col min="12" max="12" width="19.33203125" bestFit="1" customWidth="1"/>
    <col min="13" max="13" width="17" bestFit="1" customWidth="1"/>
    <col min="15" max="15" width="16.5" customWidth="1"/>
    <col min="16" max="16" width="22.1640625" customWidth="1"/>
    <col min="17" max="17" width="14.33203125" bestFit="1" customWidth="1"/>
  </cols>
  <sheetData>
    <row r="1" spans="1:16" x14ac:dyDescent="0.2">
      <c r="A1" t="s">
        <v>0</v>
      </c>
      <c r="B1" t="s">
        <v>34</v>
      </c>
      <c r="C1" t="s">
        <v>58</v>
      </c>
      <c r="D1" t="s">
        <v>83</v>
      </c>
      <c r="E1" t="s">
        <v>60</v>
      </c>
      <c r="F1" t="s">
        <v>61</v>
      </c>
      <c r="G1" t="s">
        <v>62</v>
      </c>
    </row>
    <row r="2" spans="1:16" x14ac:dyDescent="0.2">
      <c r="A2" t="s">
        <v>29</v>
      </c>
      <c r="B2" t="s">
        <v>35</v>
      </c>
      <c r="C2" s="61">
        <f>'User Segmentation'!$B60*'Default Rates'!B19</f>
        <v>0.24700000000000003</v>
      </c>
      <c r="D2" s="61">
        <f>'User Segmentation'!$B60*'Default Rates'!C19</f>
        <v>0.20800000000000002</v>
      </c>
      <c r="E2" s="61">
        <f>'User Segmentation'!$B60*'Default Rates'!D19</f>
        <v>9.7500000000000003E-2</v>
      </c>
      <c r="F2" s="61">
        <f>'User Segmentation'!$B60*'Default Rates'!E19</f>
        <v>7.1500000000000008E-2</v>
      </c>
      <c r="G2" s="61">
        <f>'User Segmentation'!$B60*'Default Rates'!F19</f>
        <v>2.6000000000000002E-2</v>
      </c>
      <c r="I2" s="61"/>
    </row>
    <row r="3" spans="1:16" x14ac:dyDescent="0.2">
      <c r="A3" t="s">
        <v>29</v>
      </c>
      <c r="B3" t="s">
        <v>36</v>
      </c>
      <c r="C3" s="61">
        <f>'User Segmentation'!$C60*'Default Rates'!B20</f>
        <v>0.03</v>
      </c>
      <c r="D3" s="61">
        <f>'User Segmentation'!$C60*'Default Rates'!C20</f>
        <v>5.1000000000000004E-2</v>
      </c>
      <c r="E3" s="61">
        <f>'User Segmentation'!$C60*'Default Rates'!D20</f>
        <v>7.4999999999999997E-2</v>
      </c>
      <c r="F3" s="61">
        <f>'User Segmentation'!$C60*'Default Rates'!E20</f>
        <v>8.6999999999999994E-2</v>
      </c>
      <c r="G3" s="61">
        <f>'User Segmentation'!$C60*'Default Rates'!F20</f>
        <v>5.6999999999999995E-2</v>
      </c>
      <c r="J3" s="61"/>
      <c r="K3" s="61"/>
      <c r="L3" s="61"/>
      <c r="M3" s="61"/>
    </row>
    <row r="4" spans="1:16" x14ac:dyDescent="0.2">
      <c r="A4" t="s">
        <v>29</v>
      </c>
      <c r="B4" t="s">
        <v>37</v>
      </c>
      <c r="C4" s="61">
        <f>'User Segmentation'!$D60*'Default Rates'!B21</f>
        <v>1E-3</v>
      </c>
      <c r="D4" s="61">
        <f>'User Segmentation'!$D60*'Default Rates'!C21</f>
        <v>3.5000000000000005E-3</v>
      </c>
      <c r="E4" s="61">
        <f>'User Segmentation'!$D60*'Default Rates'!D21</f>
        <v>7.000000000000001E-3</v>
      </c>
      <c r="F4" s="61">
        <f>'User Segmentation'!$D60*'Default Rates'!E21</f>
        <v>1.4999999999999999E-2</v>
      </c>
      <c r="G4" s="61">
        <f>'User Segmentation'!$D60*'Default Rates'!F21</f>
        <v>2.2500000000000003E-2</v>
      </c>
    </row>
    <row r="5" spans="1:16" x14ac:dyDescent="0.2">
      <c r="A5" t="s">
        <v>30</v>
      </c>
      <c r="B5" t="s">
        <v>35</v>
      </c>
      <c r="C5" s="61">
        <f>'User Segmentation'!$B61*'Default Rates'!B19</f>
        <v>9.5000000000000001E-2</v>
      </c>
      <c r="D5" s="61">
        <f>'User Segmentation'!$B61*'Default Rates'!C19</f>
        <v>0.08</v>
      </c>
      <c r="E5" s="61">
        <f>'User Segmentation'!$B61*'Default Rates'!D19</f>
        <v>3.7499999999999999E-2</v>
      </c>
      <c r="F5" s="61">
        <f>'User Segmentation'!$B61*'Default Rates'!E19</f>
        <v>2.75E-2</v>
      </c>
      <c r="G5" s="61">
        <f>'User Segmentation'!$B61*'Default Rates'!F19</f>
        <v>0.01</v>
      </c>
      <c r="N5" s="61"/>
    </row>
    <row r="6" spans="1:16" x14ac:dyDescent="0.2">
      <c r="A6" t="s">
        <v>30</v>
      </c>
      <c r="B6" t="s">
        <v>36</v>
      </c>
      <c r="C6" s="61">
        <f>'User Segmentation'!$C61*'Default Rates'!B20</f>
        <v>0.05</v>
      </c>
      <c r="D6" s="61">
        <f>'User Segmentation'!$C61*'Default Rates'!C20</f>
        <v>8.5000000000000006E-2</v>
      </c>
      <c r="E6" s="61">
        <f>'User Segmentation'!$C61*'Default Rates'!D20</f>
        <v>0.125</v>
      </c>
      <c r="F6" s="61">
        <f>'User Segmentation'!$C61*'Default Rates'!E20</f>
        <v>0.14499999999999999</v>
      </c>
      <c r="G6" s="61">
        <f>'User Segmentation'!$C61*'Default Rates'!F20</f>
        <v>9.5000000000000001E-2</v>
      </c>
    </row>
    <row r="7" spans="1:16" x14ac:dyDescent="0.2">
      <c r="A7" t="s">
        <v>30</v>
      </c>
      <c r="B7" t="s">
        <v>37</v>
      </c>
      <c r="C7" s="61">
        <f>'User Segmentation'!$D61*'Default Rates'!B21</f>
        <v>5.0000000000000001E-3</v>
      </c>
      <c r="D7" s="61">
        <f>'User Segmentation'!$D61*'Default Rates'!C21</f>
        <v>1.7500000000000002E-2</v>
      </c>
      <c r="E7" s="61">
        <f>'User Segmentation'!$D61*'Default Rates'!D21</f>
        <v>3.5000000000000003E-2</v>
      </c>
      <c r="F7" s="61">
        <f>'User Segmentation'!$D61*'Default Rates'!E21</f>
        <v>7.4999999999999997E-2</v>
      </c>
      <c r="G7" s="61">
        <f>'User Segmentation'!$D61*'Default Rates'!F21</f>
        <v>0.1125</v>
      </c>
      <c r="I7" s="61"/>
    </row>
    <row r="8" spans="1:16" x14ac:dyDescent="0.2">
      <c r="A8" t="s">
        <v>32</v>
      </c>
      <c r="B8" s="9" t="s">
        <v>35</v>
      </c>
      <c r="C8" s="61">
        <f>'User Segmentation'!$B62*'Default Rates'!B19</f>
        <v>5.6999999999999995E-2</v>
      </c>
      <c r="D8" s="61">
        <f>'User Segmentation'!$B62*'Default Rates'!C19</f>
        <v>4.8000000000000001E-2</v>
      </c>
      <c r="E8" s="61">
        <f>'User Segmentation'!$B62*'Default Rates'!D19</f>
        <v>2.2499999999999999E-2</v>
      </c>
      <c r="F8" s="61">
        <f>'User Segmentation'!$B62*'Default Rates'!E19</f>
        <v>1.6500000000000001E-2</v>
      </c>
      <c r="G8" s="61">
        <f>'User Segmentation'!$B62*'Default Rates'!F19</f>
        <v>6.0000000000000001E-3</v>
      </c>
      <c r="I8" s="61"/>
    </row>
    <row r="9" spans="1:16" x14ac:dyDescent="0.2">
      <c r="A9" t="s">
        <v>32</v>
      </c>
      <c r="B9" s="9" t="s">
        <v>36</v>
      </c>
      <c r="C9" s="61">
        <f>'User Segmentation'!$C62*'Default Rates'!B20</f>
        <v>5.5000000000000007E-2</v>
      </c>
      <c r="D9" s="61">
        <f>'User Segmentation'!$C62*'Default Rates'!C20</f>
        <v>9.3500000000000014E-2</v>
      </c>
      <c r="E9" s="61">
        <f>'User Segmentation'!$C62*'Default Rates'!D20</f>
        <v>0.13750000000000001</v>
      </c>
      <c r="F9" s="61">
        <f>'User Segmentation'!$C62*'Default Rates'!E20</f>
        <v>0.1595</v>
      </c>
      <c r="G9" s="61">
        <f>'User Segmentation'!$C62*'Default Rates'!F20</f>
        <v>0.10450000000000001</v>
      </c>
      <c r="J9" s="46" t="s">
        <v>0</v>
      </c>
      <c r="K9" s="48" t="s">
        <v>48</v>
      </c>
    </row>
    <row r="10" spans="1:16" x14ac:dyDescent="0.2">
      <c r="A10" t="s">
        <v>32</v>
      </c>
      <c r="B10" s="9" t="s">
        <v>37</v>
      </c>
      <c r="C10" s="61">
        <f>'User Segmentation'!$D62*'Default Rates'!B21</f>
        <v>6.0000000000000001E-3</v>
      </c>
      <c r="D10" s="61">
        <f>'User Segmentation'!$D62*'Default Rates'!C21</f>
        <v>2.1000000000000001E-2</v>
      </c>
      <c r="E10" s="61">
        <f>'User Segmentation'!$D62*'Default Rates'!D21</f>
        <v>4.2000000000000003E-2</v>
      </c>
      <c r="F10" s="61">
        <f>'User Segmentation'!$D62*'Default Rates'!E21</f>
        <v>0.09</v>
      </c>
      <c r="G10" s="61">
        <f>'User Segmentation'!$D62*'Default Rates'!F21</f>
        <v>0.13500000000000001</v>
      </c>
      <c r="J10" s="49" t="s">
        <v>29</v>
      </c>
      <c r="K10" s="50">
        <f>SUM('User Segmentation'!B83:D83)</f>
        <v>16.140301639984386</v>
      </c>
    </row>
    <row r="11" spans="1:16" x14ac:dyDescent="0.2">
      <c r="A11" t="s">
        <v>51</v>
      </c>
      <c r="B11" s="9" t="s">
        <v>35</v>
      </c>
      <c r="C11" s="61">
        <f>'User Segmentation'!$B$63*'Default Rates'!B19</f>
        <v>0.11399999999999999</v>
      </c>
      <c r="D11" s="61">
        <f>'User Segmentation'!$B63*'Default Rates'!C19</f>
        <v>9.6000000000000002E-2</v>
      </c>
      <c r="E11" s="61">
        <f>'User Segmentation'!$B63*'Default Rates'!D19</f>
        <v>4.4999999999999998E-2</v>
      </c>
      <c r="F11" s="61">
        <f>'User Segmentation'!$B63*'Default Rates'!E19</f>
        <v>3.3000000000000002E-2</v>
      </c>
      <c r="G11" s="61">
        <f>'User Segmentation'!$B63*'Default Rates'!F19</f>
        <v>1.2E-2</v>
      </c>
      <c r="I11" s="61"/>
      <c r="J11" s="51" t="s">
        <v>30</v>
      </c>
      <c r="K11" s="50">
        <f>SUM('User Segmentation'!B84:D84)</f>
        <v>19.065257711831318</v>
      </c>
    </row>
    <row r="12" spans="1:16" x14ac:dyDescent="0.2">
      <c r="A12" t="s">
        <v>51</v>
      </c>
      <c r="B12" s="9" t="s">
        <v>36</v>
      </c>
      <c r="C12" s="61">
        <f>'User Segmentation'!$C$63*'Default Rates'!B20</f>
        <v>0.05</v>
      </c>
      <c r="D12" s="61">
        <f>'User Segmentation'!$C$63*'Default Rates'!C20</f>
        <v>8.5000000000000006E-2</v>
      </c>
      <c r="E12" s="61">
        <f>'User Segmentation'!$C$63*'Default Rates'!D20</f>
        <v>0.125</v>
      </c>
      <c r="F12" s="61">
        <f>'User Segmentation'!$C$63*'Default Rates'!E20</f>
        <v>0.14499999999999999</v>
      </c>
      <c r="G12" s="61">
        <f>'User Segmentation'!$C$63*'Default Rates'!F20</f>
        <v>9.5000000000000001E-2</v>
      </c>
      <c r="J12" s="49" t="s">
        <v>32</v>
      </c>
      <c r="K12" s="50">
        <f>SUM('User Segmentation'!B85:D85)</f>
        <v>10.588442014837955</v>
      </c>
    </row>
    <row r="13" spans="1:16" x14ac:dyDescent="0.2">
      <c r="A13" t="s">
        <v>51</v>
      </c>
      <c r="B13" s="9" t="s">
        <v>37</v>
      </c>
      <c r="C13" s="61">
        <f>'User Segmentation'!$D$63*'Default Rates'!B21</f>
        <v>4.0000000000000001E-3</v>
      </c>
      <c r="D13" s="61">
        <f>'User Segmentation'!$D$63*'Default Rates'!C21</f>
        <v>1.4000000000000002E-2</v>
      </c>
      <c r="E13" s="61">
        <f>'User Segmentation'!$D$63*'Default Rates'!D21</f>
        <v>2.8000000000000004E-2</v>
      </c>
      <c r="F13" s="61">
        <f>'User Segmentation'!$D$63*'Default Rates'!E21</f>
        <v>0.06</v>
      </c>
      <c r="G13" s="61">
        <f>'User Segmentation'!$D$63*'Default Rates'!F21</f>
        <v>9.0000000000000011E-2</v>
      </c>
      <c r="J13" s="51" t="s">
        <v>51</v>
      </c>
      <c r="K13" s="50">
        <f>SUM('User Segmentation'!B86:D86)</f>
        <v>5.9559986333463488</v>
      </c>
    </row>
    <row r="16" spans="1:16" x14ac:dyDescent="0.2">
      <c r="A16" t="s">
        <v>0</v>
      </c>
      <c r="B16" t="s">
        <v>34</v>
      </c>
      <c r="C16" t="s">
        <v>58</v>
      </c>
      <c r="D16" t="s">
        <v>83</v>
      </c>
      <c r="E16" t="s">
        <v>60</v>
      </c>
      <c r="F16" t="s">
        <v>61</v>
      </c>
      <c r="G16" t="s">
        <v>62</v>
      </c>
      <c r="I16" s="10"/>
      <c r="O16" t="s">
        <v>34</v>
      </c>
      <c r="P16" t="s">
        <v>84</v>
      </c>
    </row>
    <row r="17" spans="1:17" x14ac:dyDescent="0.2">
      <c r="A17" t="s">
        <v>29</v>
      </c>
      <c r="B17" t="s">
        <v>35</v>
      </c>
      <c r="C17" s="10">
        <f t="shared" ref="C17:G19" si="0">C2*$K$10</f>
        <v>3.9866545050761437</v>
      </c>
      <c r="D17" s="10">
        <f t="shared" si="0"/>
        <v>3.3571827411167527</v>
      </c>
      <c r="E17" s="10">
        <f t="shared" si="0"/>
        <v>1.5736794098984777</v>
      </c>
      <c r="F17" s="10">
        <f t="shared" si="0"/>
        <v>1.1540315672588837</v>
      </c>
      <c r="G17" s="10">
        <f t="shared" si="0"/>
        <v>0.41964784263959409</v>
      </c>
      <c r="I17" s="10"/>
      <c r="O17" t="s">
        <v>82</v>
      </c>
      <c r="P17" s="10">
        <f>SUM(Table40[[#This Row],[Deep Subprime]:[Super Prime]],C20:G20,C23:G23,C26:G26)</f>
        <v>18.632576386177281</v>
      </c>
    </row>
    <row r="18" spans="1:17" x14ac:dyDescent="0.2">
      <c r="A18" t="s">
        <v>29</v>
      </c>
      <c r="B18" t="s">
        <v>36</v>
      </c>
      <c r="C18" s="10">
        <f t="shared" si="0"/>
        <v>0.48420904919953156</v>
      </c>
      <c r="D18" s="10">
        <f t="shared" si="0"/>
        <v>0.82315538363920382</v>
      </c>
      <c r="E18" s="10">
        <f t="shared" si="0"/>
        <v>1.2105226229988288</v>
      </c>
      <c r="F18" s="10">
        <f t="shared" si="0"/>
        <v>1.4042062426786415</v>
      </c>
      <c r="G18" s="10">
        <f t="shared" si="0"/>
        <v>0.91999719347910991</v>
      </c>
      <c r="O18" t="s">
        <v>85</v>
      </c>
      <c r="P18" s="10">
        <f>SUM(Table40[[#This Row],[Deep Subprime]:[Super Prime]],C21:G21,C24:G24,C27:G27)</f>
        <v>23.176361772745025</v>
      </c>
    </row>
    <row r="19" spans="1:17" x14ac:dyDescent="0.2">
      <c r="A19" t="s">
        <v>29</v>
      </c>
      <c r="B19" t="s">
        <v>37</v>
      </c>
      <c r="C19" s="10">
        <f t="shared" si="0"/>
        <v>1.6140301639984388E-2</v>
      </c>
      <c r="D19" s="10">
        <f t="shared" si="0"/>
        <v>5.649105573994536E-2</v>
      </c>
      <c r="E19" s="10">
        <f t="shared" si="0"/>
        <v>0.11298211147989072</v>
      </c>
      <c r="F19" s="10">
        <f t="shared" si="0"/>
        <v>0.24210452459976578</v>
      </c>
      <c r="G19" s="10">
        <f t="shared" si="0"/>
        <v>0.36315678689964875</v>
      </c>
      <c r="O19" t="s">
        <v>86</v>
      </c>
      <c r="P19" s="10">
        <f>SUM(Table40[[#This Row],[Deep Subprime]:[Super Prime]],C22:G22,C25:G25,C28:G28)</f>
        <v>9.7422406042561516</v>
      </c>
    </row>
    <row r="20" spans="1:17" x14ac:dyDescent="0.2">
      <c r="A20" t="s">
        <v>30</v>
      </c>
      <c r="B20" t="s">
        <v>35</v>
      </c>
      <c r="C20" s="10">
        <f t="shared" ref="C20:G22" si="1">C5*$K$11</f>
        <v>1.8111994826239752</v>
      </c>
      <c r="D20" s="10">
        <f t="shared" si="1"/>
        <v>1.5252206169465055</v>
      </c>
      <c r="E20" s="10">
        <f t="shared" si="1"/>
        <v>0.71494716419367443</v>
      </c>
      <c r="F20" s="10">
        <f t="shared" si="1"/>
        <v>0.52429458707536125</v>
      </c>
      <c r="G20" s="10">
        <f t="shared" si="1"/>
        <v>0.19065257711831318</v>
      </c>
      <c r="I20" s="10"/>
    </row>
    <row r="21" spans="1:17" x14ac:dyDescent="0.2">
      <c r="A21" t="s">
        <v>30</v>
      </c>
      <c r="B21" t="s">
        <v>36</v>
      </c>
      <c r="C21" s="10">
        <f t="shared" si="1"/>
        <v>0.95326288559156591</v>
      </c>
      <c r="D21" s="10">
        <f t="shared" si="1"/>
        <v>1.6205469055056623</v>
      </c>
      <c r="E21" s="10">
        <f t="shared" si="1"/>
        <v>2.3831572139789148</v>
      </c>
      <c r="F21" s="10">
        <f t="shared" si="1"/>
        <v>2.7644623682155411</v>
      </c>
      <c r="G21" s="10">
        <f t="shared" si="1"/>
        <v>1.8111994826239752</v>
      </c>
    </row>
    <row r="22" spans="1:17" x14ac:dyDescent="0.2">
      <c r="A22" t="s">
        <v>30</v>
      </c>
      <c r="B22" t="s">
        <v>37</v>
      </c>
      <c r="C22" s="10">
        <f t="shared" si="1"/>
        <v>9.5326288559156591E-2</v>
      </c>
      <c r="D22" s="10">
        <f t="shared" si="1"/>
        <v>0.33364200995704812</v>
      </c>
      <c r="E22" s="10">
        <f t="shared" si="1"/>
        <v>0.66728401991409625</v>
      </c>
      <c r="F22" s="10">
        <f t="shared" si="1"/>
        <v>1.4298943283873489</v>
      </c>
      <c r="G22" s="10">
        <f t="shared" si="1"/>
        <v>2.1448414925810235</v>
      </c>
      <c r="O22" t="s">
        <v>0</v>
      </c>
      <c r="P22" t="s">
        <v>84</v>
      </c>
    </row>
    <row r="23" spans="1:17" x14ac:dyDescent="0.2">
      <c r="A23" t="s">
        <v>32</v>
      </c>
      <c r="B23" t="s">
        <v>35</v>
      </c>
      <c r="C23" s="10">
        <f t="shared" ref="C23:G25" si="2">C8*$K$12</f>
        <v>0.60354119484576341</v>
      </c>
      <c r="D23" s="10">
        <f t="shared" si="2"/>
        <v>0.50824521671222189</v>
      </c>
      <c r="E23" s="10">
        <f t="shared" si="2"/>
        <v>0.23823994533385398</v>
      </c>
      <c r="F23" s="10">
        <f t="shared" si="2"/>
        <v>0.17470929324482629</v>
      </c>
      <c r="G23" s="10">
        <f t="shared" si="2"/>
        <v>6.3530652089027737E-2</v>
      </c>
      <c r="O23" t="s">
        <v>29</v>
      </c>
      <c r="P23" s="10">
        <f>SUM(C31:G33)</f>
        <v>19.161126331956162</v>
      </c>
      <c r="Q23" s="10"/>
    </row>
    <row r="24" spans="1:17" x14ac:dyDescent="0.2">
      <c r="A24" t="s">
        <v>32</v>
      </c>
      <c r="B24" t="s">
        <v>36</v>
      </c>
      <c r="C24" s="10">
        <f t="shared" si="2"/>
        <v>0.58236431081608764</v>
      </c>
      <c r="D24" s="10">
        <f t="shared" si="2"/>
        <v>0.99001932838734896</v>
      </c>
      <c r="E24" s="10">
        <f t="shared" si="2"/>
        <v>1.4559107770402191</v>
      </c>
      <c r="F24" s="10">
        <f t="shared" si="2"/>
        <v>1.6888565013666539</v>
      </c>
      <c r="G24" s="10">
        <f t="shared" si="2"/>
        <v>1.1064921905505665</v>
      </c>
      <c r="O24" t="s">
        <v>30</v>
      </c>
      <c r="P24" s="10">
        <f>SUM(C34:G36)</f>
        <v>17.733488401407456</v>
      </c>
    </row>
    <row r="25" spans="1:17" x14ac:dyDescent="0.2">
      <c r="A25" t="s">
        <v>32</v>
      </c>
      <c r="B25" t="s">
        <v>37</v>
      </c>
      <c r="C25" s="10">
        <f t="shared" si="2"/>
        <v>6.3530652089027737E-2</v>
      </c>
      <c r="D25" s="10">
        <f t="shared" si="2"/>
        <v>0.22235728231159707</v>
      </c>
      <c r="E25" s="10">
        <f t="shared" si="2"/>
        <v>0.44471456462319414</v>
      </c>
      <c r="F25" s="10">
        <f t="shared" si="2"/>
        <v>0.95295978133541592</v>
      </c>
      <c r="G25" s="10">
        <f t="shared" si="2"/>
        <v>1.4294396720031242</v>
      </c>
      <c r="O25" t="s">
        <v>32</v>
      </c>
      <c r="P25" s="10">
        <f>SUM(C37:G39)</f>
        <v>9.1684621234571058</v>
      </c>
    </row>
    <row r="26" spans="1:17" x14ac:dyDescent="0.2">
      <c r="A26" t="s">
        <v>51</v>
      </c>
      <c r="B26" t="s">
        <v>35</v>
      </c>
      <c r="C26" s="10">
        <f t="shared" ref="C26:G28" si="3">C11*$K$13</f>
        <v>0.67898384420148372</v>
      </c>
      <c r="D26" s="10">
        <f t="shared" si="3"/>
        <v>0.57177586880124953</v>
      </c>
      <c r="E26" s="10">
        <f t="shared" si="3"/>
        <v>0.2680199385005857</v>
      </c>
      <c r="F26" s="10">
        <f t="shared" si="3"/>
        <v>0.19654795490042953</v>
      </c>
      <c r="G26" s="10">
        <f t="shared" si="3"/>
        <v>7.1471983600156191E-2</v>
      </c>
      <c r="O26" t="s">
        <v>51</v>
      </c>
      <c r="P26" s="10">
        <f>SUM(C40:G42)</f>
        <v>5.6869231431792793</v>
      </c>
    </row>
    <row r="27" spans="1:17" x14ac:dyDescent="0.2">
      <c r="A27" t="s">
        <v>51</v>
      </c>
      <c r="B27" t="s">
        <v>36</v>
      </c>
      <c r="C27" s="10">
        <f t="shared" si="3"/>
        <v>0.29779993166731744</v>
      </c>
      <c r="D27" s="10">
        <f t="shared" si="3"/>
        <v>0.50625988383443965</v>
      </c>
      <c r="E27" s="10">
        <f t="shared" si="3"/>
        <v>0.7444998291682936</v>
      </c>
      <c r="F27" s="10">
        <f t="shared" si="3"/>
        <v>0.86361980183522047</v>
      </c>
      <c r="G27" s="10">
        <f t="shared" si="3"/>
        <v>0.56581987016790314</v>
      </c>
    </row>
    <row r="28" spans="1:17" x14ac:dyDescent="0.2">
      <c r="A28" t="s">
        <v>51</v>
      </c>
      <c r="B28" t="s">
        <v>37</v>
      </c>
      <c r="C28" s="10">
        <f t="shared" si="3"/>
        <v>2.3823994533385396E-2</v>
      </c>
      <c r="D28" s="10">
        <f t="shared" si="3"/>
        <v>8.3383980866848895E-2</v>
      </c>
      <c r="E28" s="10">
        <f t="shared" si="3"/>
        <v>0.16676796173369779</v>
      </c>
      <c r="F28" s="10">
        <f t="shared" si="3"/>
        <v>0.35735991800078093</v>
      </c>
      <c r="G28" s="10">
        <f t="shared" si="3"/>
        <v>0.53603987700117151</v>
      </c>
    </row>
    <row r="30" spans="1:17" x14ac:dyDescent="0.2">
      <c r="A30" t="s">
        <v>0</v>
      </c>
      <c r="B30" t="s">
        <v>34</v>
      </c>
      <c r="C30" t="s">
        <v>58</v>
      </c>
      <c r="D30" t="s">
        <v>83</v>
      </c>
      <c r="E30" t="s">
        <v>60</v>
      </c>
      <c r="F30" t="s">
        <v>61</v>
      </c>
      <c r="G30" t="s">
        <v>62</v>
      </c>
      <c r="O30" s="46" t="s">
        <v>34</v>
      </c>
      <c r="P30" s="48" t="s">
        <v>48</v>
      </c>
    </row>
    <row r="31" spans="1:17" x14ac:dyDescent="0.2">
      <c r="A31" t="s">
        <v>29</v>
      </c>
      <c r="B31" t="s">
        <v>35</v>
      </c>
      <c r="C31" s="10">
        <f>C17*$P31/$P17</f>
        <v>5.7778616420283635</v>
      </c>
      <c r="D31" s="10">
        <f t="shared" ref="D31:G31" si="4">D17*$P$31/$P$17</f>
        <v>4.8655676985502012</v>
      </c>
      <c r="E31" s="10">
        <f t="shared" si="4"/>
        <v>2.2807348586954066</v>
      </c>
      <c r="F31" s="10">
        <f t="shared" si="4"/>
        <v>1.6725388963766314</v>
      </c>
      <c r="G31" s="10">
        <f t="shared" si="4"/>
        <v>0.60819596231877515</v>
      </c>
      <c r="I31" s="10"/>
      <c r="O31" s="49" t="s">
        <v>35</v>
      </c>
      <c r="P31" s="50">
        <f>'User Segmentation'!G54</f>
        <v>27.004208229426435</v>
      </c>
    </row>
    <row r="32" spans="1:17" x14ac:dyDescent="0.2">
      <c r="A32" t="s">
        <v>29</v>
      </c>
      <c r="B32" t="s">
        <v>36</v>
      </c>
      <c r="C32" s="10">
        <f t="shared" ref="C32:G33" si="5">C18*$P32/$P18</f>
        <v>0.3184897377113366</v>
      </c>
      <c r="D32" s="10">
        <f t="shared" si="5"/>
        <v>0.54143255410927227</v>
      </c>
      <c r="E32" s="10">
        <f t="shared" si="5"/>
        <v>0.79622434427834143</v>
      </c>
      <c r="F32" s="10">
        <f t="shared" si="5"/>
        <v>0.92362023936287596</v>
      </c>
      <c r="G32" s="10">
        <f t="shared" si="5"/>
        <v>0.60513050165153937</v>
      </c>
      <c r="I32" s="10"/>
      <c r="O32" s="51" t="s">
        <v>36</v>
      </c>
      <c r="P32" s="50">
        <f>'User Segmentation'!G55</f>
        <v>15.244311097256857</v>
      </c>
    </row>
    <row r="33" spans="1:21" x14ac:dyDescent="0.2">
      <c r="A33" t="s">
        <v>29</v>
      </c>
      <c r="B33" t="s">
        <v>37</v>
      </c>
      <c r="C33" s="10">
        <f t="shared" si="5"/>
        <v>1.5741426466804334E-2</v>
      </c>
      <c r="D33" s="10">
        <f t="shared" si="5"/>
        <v>5.5094992633815169E-2</v>
      </c>
      <c r="E33" s="10">
        <f t="shared" si="5"/>
        <v>0.11018998526763034</v>
      </c>
      <c r="F33" s="10">
        <f t="shared" si="5"/>
        <v>0.23612139700206497</v>
      </c>
      <c r="G33" s="10">
        <f t="shared" si="5"/>
        <v>0.35418209550309754</v>
      </c>
      <c r="O33" s="49" t="s">
        <v>37</v>
      </c>
      <c r="P33" s="50">
        <f>'User Segmentation'!G56</f>
        <v>9.5014806733167081</v>
      </c>
    </row>
    <row r="34" spans="1:21" x14ac:dyDescent="0.2">
      <c r="A34" t="s">
        <v>30</v>
      </c>
      <c r="B34" t="s">
        <v>35</v>
      </c>
      <c r="C34" s="10">
        <f>C20*$P31/$P17</f>
        <v>2.6249728947893387</v>
      </c>
      <c r="D34" s="10">
        <f t="shared" ref="D34:G34" si="6">D20*$P31/$P17</f>
        <v>2.2105034903489171</v>
      </c>
      <c r="E34" s="10">
        <f t="shared" si="6"/>
        <v>1.0361735111010548</v>
      </c>
      <c r="F34" s="10">
        <f t="shared" si="6"/>
        <v>0.75986057480744018</v>
      </c>
      <c r="G34" s="10">
        <f t="shared" si="6"/>
        <v>0.27631293629361464</v>
      </c>
    </row>
    <row r="35" spans="1:21" x14ac:dyDescent="0.2">
      <c r="A35" t="s">
        <v>30</v>
      </c>
      <c r="B35" t="s">
        <v>36</v>
      </c>
      <c r="C35" s="10">
        <f t="shared" ref="C35:G36" si="7">C21*$P32/$P18</f>
        <v>0.62701109552560463</v>
      </c>
      <c r="D35" s="10">
        <f t="shared" si="7"/>
        <v>1.0659188623935278</v>
      </c>
      <c r="E35" s="10">
        <f t="shared" si="7"/>
        <v>1.5675277388140114</v>
      </c>
      <c r="F35" s="10">
        <f t="shared" si="7"/>
        <v>1.8183321770242533</v>
      </c>
      <c r="G35" s="10">
        <f t="shared" si="7"/>
        <v>1.1913210814986486</v>
      </c>
    </row>
    <row r="36" spans="1:21" x14ac:dyDescent="0.2">
      <c r="A36" t="s">
        <v>30</v>
      </c>
      <c r="B36" t="s">
        <v>37</v>
      </c>
      <c r="C36" s="10">
        <f t="shared" si="7"/>
        <v>9.2970490587980487E-2</v>
      </c>
      <c r="D36" s="10">
        <f t="shared" si="7"/>
        <v>0.32539671705793177</v>
      </c>
      <c r="E36" s="10">
        <f t="shared" si="7"/>
        <v>0.65079343411586354</v>
      </c>
      <c r="F36" s="10">
        <f t="shared" si="7"/>
        <v>1.3945573588197075</v>
      </c>
      <c r="G36" s="10">
        <f t="shared" si="7"/>
        <v>2.0918360382295615</v>
      </c>
    </row>
    <row r="37" spans="1:21" x14ac:dyDescent="0.2">
      <c r="A37" t="s">
        <v>32</v>
      </c>
      <c r="B37" t="s">
        <v>35</v>
      </c>
      <c r="C37" s="10">
        <f>C23*$P31/$P17</f>
        <v>0.87471274840674929</v>
      </c>
      <c r="D37" s="10">
        <f t="shared" ref="D37:G37" si="8">D23*$P31/$P17</f>
        <v>0.7366002091846312</v>
      </c>
      <c r="E37" s="10">
        <f t="shared" si="8"/>
        <v>0.34528134805529581</v>
      </c>
      <c r="F37" s="10">
        <f t="shared" si="8"/>
        <v>0.25320632190721698</v>
      </c>
      <c r="G37" s="10">
        <f t="shared" si="8"/>
        <v>9.2075026148078901E-2</v>
      </c>
    </row>
    <row r="38" spans="1:21" x14ac:dyDescent="0.2">
      <c r="A38" t="s">
        <v>32</v>
      </c>
      <c r="B38" t="s">
        <v>36</v>
      </c>
      <c r="C38" s="10">
        <f t="shared" ref="C38:G39" si="9">C24*$P32/$P18</f>
        <v>0.38305161151134981</v>
      </c>
      <c r="D38" s="10">
        <f t="shared" si="9"/>
        <v>0.65118773956929465</v>
      </c>
      <c r="E38" s="10">
        <f t="shared" si="9"/>
        <v>0.95762902877837452</v>
      </c>
      <c r="F38" s="10">
        <f t="shared" si="9"/>
        <v>1.1108496733829143</v>
      </c>
      <c r="G38" s="10">
        <f t="shared" si="9"/>
        <v>0.72779806187156471</v>
      </c>
    </row>
    <row r="39" spans="1:21" x14ac:dyDescent="0.2">
      <c r="A39" t="s">
        <v>32</v>
      </c>
      <c r="B39" t="s">
        <v>37</v>
      </c>
      <c r="C39" s="10">
        <f t="shared" si="9"/>
        <v>6.1960619482482396E-2</v>
      </c>
      <c r="D39" s="10">
        <f t="shared" si="9"/>
        <v>0.21686216818868839</v>
      </c>
      <c r="E39" s="10">
        <f t="shared" si="9"/>
        <v>0.43372433637737678</v>
      </c>
      <c r="F39" s="10">
        <f t="shared" si="9"/>
        <v>0.92940929223723578</v>
      </c>
      <c r="G39" s="10">
        <f t="shared" si="9"/>
        <v>1.3941139383558541</v>
      </c>
    </row>
    <row r="40" spans="1:21" x14ac:dyDescent="0.2">
      <c r="A40" t="s">
        <v>51</v>
      </c>
      <c r="B40" t="s">
        <v>35</v>
      </c>
      <c r="C40" s="10">
        <f>C26*$P31/$P17</f>
        <v>0.98405184195759288</v>
      </c>
      <c r="D40" s="10">
        <f t="shared" ref="D40:G40" si="10">D26*$P31/$P17</f>
        <v>0.82867523533270993</v>
      </c>
      <c r="E40" s="10">
        <f t="shared" si="10"/>
        <v>0.38844151656220777</v>
      </c>
      <c r="F40" s="10">
        <f t="shared" si="10"/>
        <v>0.2848571121456191</v>
      </c>
      <c r="G40" s="10">
        <f t="shared" si="10"/>
        <v>0.10358440441658874</v>
      </c>
    </row>
    <row r="41" spans="1:21" x14ac:dyDescent="0.2">
      <c r="A41" t="s">
        <v>51</v>
      </c>
      <c r="B41" t="s">
        <v>36</v>
      </c>
      <c r="C41" s="10">
        <f t="shared" ref="C41:G42" si="11">C27*$P32/$P18</f>
        <v>0.19587866497739473</v>
      </c>
      <c r="D41" s="10">
        <f t="shared" si="11"/>
        <v>0.33299373046157105</v>
      </c>
      <c r="E41" s="10">
        <f t="shared" si="11"/>
        <v>0.48969666244348681</v>
      </c>
      <c r="F41" s="10">
        <f t="shared" si="11"/>
        <v>0.56804812843444463</v>
      </c>
      <c r="G41" s="10">
        <f t="shared" si="11"/>
        <v>0.37216946345704993</v>
      </c>
    </row>
    <row r="42" spans="1:21" x14ac:dyDescent="0.2">
      <c r="A42" t="s">
        <v>51</v>
      </c>
      <c r="B42" t="s">
        <v>37</v>
      </c>
      <c r="C42" s="10">
        <f t="shared" si="11"/>
        <v>2.3235232305930893E-2</v>
      </c>
      <c r="D42" s="10">
        <f t="shared" si="11"/>
        <v>8.132331307075813E-2</v>
      </c>
      <c r="E42" s="10">
        <f t="shared" si="11"/>
        <v>0.16264662614151626</v>
      </c>
      <c r="F42" s="10">
        <f t="shared" si="11"/>
        <v>0.34852848458896341</v>
      </c>
      <c r="G42" s="10">
        <f t="shared" si="11"/>
        <v>0.52279272688344514</v>
      </c>
    </row>
    <row r="43" spans="1:21" x14ac:dyDescent="0.2">
      <c r="C43" s="10"/>
      <c r="D43" s="10"/>
      <c r="E43" s="10"/>
      <c r="F43" s="10"/>
      <c r="G43" s="10"/>
    </row>
    <row r="44" spans="1:21" x14ac:dyDescent="0.2">
      <c r="C44" s="10"/>
      <c r="D44" s="10"/>
      <c r="E44" s="10"/>
      <c r="F44" s="10"/>
      <c r="G44" s="10"/>
    </row>
    <row r="45" spans="1:21" x14ac:dyDescent="0.2">
      <c r="C45" s="10"/>
      <c r="D45" s="10"/>
      <c r="E45" s="10"/>
      <c r="F45" s="10"/>
      <c r="G45" s="10"/>
    </row>
    <row r="46" spans="1:21" ht="17" x14ac:dyDescent="0.2">
      <c r="A46" s="62" t="s">
        <v>88</v>
      </c>
      <c r="C46" s="10"/>
      <c r="D46" s="10"/>
      <c r="E46" s="10"/>
      <c r="F46" s="10"/>
      <c r="G46" s="10"/>
      <c r="O46" s="20"/>
      <c r="P46" s="12"/>
      <c r="Q46" s="12"/>
      <c r="R46" s="12"/>
      <c r="S46" s="12"/>
      <c r="T46" s="12"/>
      <c r="U46" s="12"/>
    </row>
    <row r="47" spans="1:21" x14ac:dyDescent="0.2">
      <c r="A47" t="s">
        <v>0</v>
      </c>
      <c r="B47" t="s">
        <v>34</v>
      </c>
      <c r="C47" t="s">
        <v>58</v>
      </c>
      <c r="D47" t="s">
        <v>83</v>
      </c>
      <c r="E47" t="s">
        <v>60</v>
      </c>
      <c r="F47" t="s">
        <v>61</v>
      </c>
      <c r="G47" t="s">
        <v>62</v>
      </c>
      <c r="I47" s="10"/>
      <c r="J47" t="s">
        <v>34</v>
      </c>
      <c r="K47" t="s">
        <v>48</v>
      </c>
      <c r="T47" s="12"/>
      <c r="U47" s="12"/>
    </row>
    <row r="48" spans="1:21" x14ac:dyDescent="0.2">
      <c r="A48" t="s">
        <v>29</v>
      </c>
      <c r="B48" t="s">
        <v>35</v>
      </c>
      <c r="C48" s="10">
        <f t="shared" ref="C48:G50" si="12">C31*$K$10/$P$23</f>
        <v>4.8669597037677228</v>
      </c>
      <c r="D48" s="10">
        <f t="shared" si="12"/>
        <v>4.0984923821201882</v>
      </c>
      <c r="E48" s="10">
        <f t="shared" si="12"/>
        <v>1.9211683041188379</v>
      </c>
      <c r="F48" s="10">
        <f t="shared" si="12"/>
        <v>1.4088567563538144</v>
      </c>
      <c r="G48" s="10">
        <f t="shared" si="12"/>
        <v>0.51231154776502352</v>
      </c>
      <c r="I48" s="10"/>
      <c r="J48" t="s">
        <v>35</v>
      </c>
      <c r="K48" s="50">
        <f>P31</f>
        <v>27.004208229426435</v>
      </c>
      <c r="L48" s="10"/>
      <c r="M48" s="10"/>
      <c r="T48" s="33"/>
      <c r="U48" s="17"/>
    </row>
    <row r="49" spans="1:21" x14ac:dyDescent="0.2">
      <c r="A49" t="s">
        <v>29</v>
      </c>
      <c r="B49" t="s">
        <v>36</v>
      </c>
      <c r="C49" s="10">
        <f t="shared" si="12"/>
        <v>0.26827861508993489</v>
      </c>
      <c r="D49" s="10">
        <f t="shared" si="12"/>
        <v>0.45607364565288938</v>
      </c>
      <c r="E49" s="10">
        <f t="shared" si="12"/>
        <v>0.67069653772483717</v>
      </c>
      <c r="F49" s="10">
        <f t="shared" si="12"/>
        <v>0.77800798376081104</v>
      </c>
      <c r="G49" s="10">
        <f t="shared" si="12"/>
        <v>0.50972936867087615</v>
      </c>
      <c r="I49" s="10"/>
      <c r="J49" t="s">
        <v>36</v>
      </c>
      <c r="K49" s="50">
        <f t="shared" ref="K49:K50" si="13">P32</f>
        <v>15.244311097256857</v>
      </c>
      <c r="T49" s="33"/>
      <c r="U49" s="17"/>
    </row>
    <row r="50" spans="1:21" x14ac:dyDescent="0.2">
      <c r="A50" t="s">
        <v>29</v>
      </c>
      <c r="B50" t="s">
        <v>37</v>
      </c>
      <c r="C50" s="10">
        <f t="shared" si="12"/>
        <v>1.3259730509376452E-2</v>
      </c>
      <c r="D50" s="10">
        <f t="shared" si="12"/>
        <v>4.6409056782817579E-2</v>
      </c>
      <c r="E50" s="10">
        <f t="shared" si="12"/>
        <v>9.2818113565635157E-2</v>
      </c>
      <c r="F50" s="10">
        <f t="shared" si="12"/>
        <v>0.19889595764064674</v>
      </c>
      <c r="G50" s="10">
        <f t="shared" si="12"/>
        <v>0.29834393646097018</v>
      </c>
      <c r="I50" s="10"/>
      <c r="J50" t="s">
        <v>37</v>
      </c>
      <c r="K50" s="50">
        <f t="shared" si="13"/>
        <v>9.5014806733167081</v>
      </c>
      <c r="T50" s="33"/>
      <c r="U50" s="17"/>
    </row>
    <row r="51" spans="1:21" x14ac:dyDescent="0.2">
      <c r="A51" t="s">
        <v>30</v>
      </c>
      <c r="B51" t="s">
        <v>35</v>
      </c>
      <c r="C51" s="10">
        <f t="shared" ref="C51:G53" si="14">C34*$K$11/$P$24</f>
        <v>2.8221060398786868</v>
      </c>
      <c r="D51" s="10">
        <f t="shared" si="14"/>
        <v>2.3765103493715261</v>
      </c>
      <c r="E51" s="10">
        <f t="shared" si="14"/>
        <v>1.1139892262679028</v>
      </c>
      <c r="F51" s="10">
        <f t="shared" si="14"/>
        <v>0.816925432596462</v>
      </c>
      <c r="G51" s="10">
        <f t="shared" si="14"/>
        <v>0.29706379367144076</v>
      </c>
    </row>
    <row r="52" spans="1:21" x14ac:dyDescent="0.2">
      <c r="A52" t="s">
        <v>30</v>
      </c>
      <c r="B52" t="s">
        <v>36</v>
      </c>
      <c r="C52" s="10">
        <f t="shared" si="14"/>
        <v>0.67409907480045339</v>
      </c>
      <c r="D52" s="10">
        <f t="shared" si="14"/>
        <v>1.1459684271607706</v>
      </c>
      <c r="E52" s="10">
        <f t="shared" si="14"/>
        <v>1.6852476870011333</v>
      </c>
      <c r="F52" s="10">
        <f t="shared" si="14"/>
        <v>1.9548873169213148</v>
      </c>
      <c r="G52" s="10">
        <f t="shared" si="14"/>
        <v>1.2807882421208612</v>
      </c>
    </row>
    <row r="53" spans="1:21" x14ac:dyDescent="0.2">
      <c r="A53" t="s">
        <v>30</v>
      </c>
      <c r="B53" t="s">
        <v>37</v>
      </c>
      <c r="C53" s="10">
        <f t="shared" si="14"/>
        <v>9.9952492286546235E-2</v>
      </c>
      <c r="D53" s="10">
        <f t="shared" si="14"/>
        <v>0.34983372300291188</v>
      </c>
      <c r="E53" s="10">
        <f t="shared" si="14"/>
        <v>0.69966744600582376</v>
      </c>
      <c r="F53" s="10">
        <f t="shared" si="14"/>
        <v>1.4992873842981937</v>
      </c>
      <c r="G53" s="10">
        <f t="shared" si="14"/>
        <v>2.248931076447291</v>
      </c>
      <c r="J53" s="46" t="s">
        <v>57</v>
      </c>
      <c r="K53" s="47" t="s">
        <v>91</v>
      </c>
    </row>
    <row r="54" spans="1:21" x14ac:dyDescent="0.2">
      <c r="A54" t="s">
        <v>32</v>
      </c>
      <c r="B54" t="s">
        <v>35</v>
      </c>
      <c r="C54" s="10">
        <f t="shared" ref="C54:G56" si="15">C37*$K$12/$P$25</f>
        <v>1.0101852515099981</v>
      </c>
      <c r="D54" s="10">
        <f t="shared" si="15"/>
        <v>0.85068231706105113</v>
      </c>
      <c r="E54" s="10">
        <f t="shared" si="15"/>
        <v>0.39875733612236769</v>
      </c>
      <c r="F54" s="10">
        <f t="shared" si="15"/>
        <v>0.29242204648973635</v>
      </c>
      <c r="G54" s="10">
        <f t="shared" si="15"/>
        <v>0.10633528963263139</v>
      </c>
      <c r="J54" s="49" t="s">
        <v>70</v>
      </c>
      <c r="K54" s="55" t="s">
        <v>92</v>
      </c>
    </row>
    <row r="55" spans="1:21" x14ac:dyDescent="0.2">
      <c r="A55" t="s">
        <v>32</v>
      </c>
      <c r="B55" t="s">
        <v>36</v>
      </c>
      <c r="C55" s="10">
        <f t="shared" si="15"/>
        <v>0.44237732812368513</v>
      </c>
      <c r="D55" s="10">
        <f t="shared" si="15"/>
        <v>0.75204145781026466</v>
      </c>
      <c r="E55" s="10">
        <f t="shared" si="15"/>
        <v>1.1059433203092128</v>
      </c>
      <c r="F55" s="10">
        <f t="shared" si="15"/>
        <v>1.2828942515586865</v>
      </c>
      <c r="G55" s="10">
        <f t="shared" si="15"/>
        <v>0.84051692343500173</v>
      </c>
      <c r="J55" s="51" t="s">
        <v>58</v>
      </c>
      <c r="K55" s="52">
        <f>SUM(IncomexCredit_Num[Deep Subprime])</f>
        <v>11.976059850374066</v>
      </c>
    </row>
    <row r="56" spans="1:21" x14ac:dyDescent="0.2">
      <c r="A56" t="s">
        <v>32</v>
      </c>
      <c r="B56" t="s">
        <v>37</v>
      </c>
      <c r="C56" s="10">
        <f t="shared" si="15"/>
        <v>7.1556867199700447E-2</v>
      </c>
      <c r="D56" s="10">
        <f t="shared" si="15"/>
        <v>0.25044903519895162</v>
      </c>
      <c r="E56" s="10">
        <f t="shared" si="15"/>
        <v>0.50089807039790324</v>
      </c>
      <c r="F56" s="10">
        <f t="shared" si="15"/>
        <v>1.0733530079955067</v>
      </c>
      <c r="G56" s="10">
        <f t="shared" si="15"/>
        <v>1.6100295119932604</v>
      </c>
      <c r="J56" s="49" t="s">
        <v>59</v>
      </c>
      <c r="K56" s="52">
        <f>SUM(IncomexCredit_Num[Subprime])</f>
        <v>11.897983167082295</v>
      </c>
    </row>
    <row r="57" spans="1:21" x14ac:dyDescent="0.2">
      <c r="A57" t="s">
        <v>51</v>
      </c>
      <c r="B57" t="s">
        <v>35</v>
      </c>
      <c r="C57" s="10">
        <f t="shared" ref="C57:G59" si="16">C40*$K$13/$P$26</f>
        <v>1.0306120336567055</v>
      </c>
      <c r="D57" s="10">
        <f t="shared" si="16"/>
        <v>0.86788381781617319</v>
      </c>
      <c r="E57" s="10">
        <f t="shared" si="16"/>
        <v>0.40682053960133113</v>
      </c>
      <c r="F57" s="10">
        <f t="shared" si="16"/>
        <v>0.29833506237430957</v>
      </c>
      <c r="G57" s="10">
        <f t="shared" si="16"/>
        <v>0.10848547722702165</v>
      </c>
      <c r="J57" s="51" t="s">
        <v>60</v>
      </c>
      <c r="K57" s="52">
        <f>SUM(IncomexCredit_Num[Near Prime])</f>
        <v>9.1919163029925173</v>
      </c>
    </row>
    <row r="58" spans="1:21" x14ac:dyDescent="0.2">
      <c r="A58" t="s">
        <v>51</v>
      </c>
      <c r="B58" t="s">
        <v>36</v>
      </c>
      <c r="C58" s="10">
        <f t="shared" si="16"/>
        <v>0.20514661997961375</v>
      </c>
      <c r="D58" s="10">
        <f t="shared" si="16"/>
        <v>0.34874925396534345</v>
      </c>
      <c r="E58" s="10">
        <f t="shared" si="16"/>
        <v>0.51286654994903447</v>
      </c>
      <c r="F58" s="10">
        <f t="shared" si="16"/>
        <v>0.59492519794087984</v>
      </c>
      <c r="G58" s="10">
        <f t="shared" si="16"/>
        <v>0.38977857796126608</v>
      </c>
      <c r="J58" s="49" t="s">
        <v>61</v>
      </c>
      <c r="K58" s="52">
        <f>SUM(IncomexCredit_Num[Prime])</f>
        <v>10.241757325436408</v>
      </c>
    </row>
    <row r="59" spans="1:21" x14ac:dyDescent="0.2">
      <c r="A59" t="s">
        <v>51</v>
      </c>
      <c r="B59" t="s">
        <v>37</v>
      </c>
      <c r="C59" s="10">
        <f t="shared" si="16"/>
        <v>2.4334602099483068E-2</v>
      </c>
      <c r="D59" s="10">
        <f t="shared" si="16"/>
        <v>8.5171107348190736E-2</v>
      </c>
      <c r="E59" s="10">
        <f t="shared" si="16"/>
        <v>0.17034221469638147</v>
      </c>
      <c r="F59" s="10">
        <f t="shared" si="16"/>
        <v>0.36501903149224602</v>
      </c>
      <c r="G59" s="10">
        <f t="shared" si="16"/>
        <v>0.54752854723836908</v>
      </c>
      <c r="J59" s="51" t="s">
        <v>62</v>
      </c>
      <c r="K59" s="52">
        <f>SUM(IncomexCredit_Num[Super Prime])</f>
        <v>8.2522537406483778</v>
      </c>
    </row>
    <row r="60" spans="1:21" x14ac:dyDescent="0.2">
      <c r="C60" s="10"/>
      <c r="D60" s="10"/>
      <c r="E60" s="10"/>
      <c r="F60" s="10"/>
      <c r="G60" s="10"/>
      <c r="O60" s="45"/>
      <c r="P60" s="79"/>
    </row>
    <row r="61" spans="1:21" x14ac:dyDescent="0.2">
      <c r="C61" s="10">
        <f>SUM(Table42[Deep Subprime])</f>
        <v>11.528868358901905</v>
      </c>
      <c r="D61" s="10">
        <f>SUM(Table42[Sub Prime])</f>
        <v>11.628264573291077</v>
      </c>
      <c r="E61" s="10">
        <f>SUM(Table42[Near Prime])</f>
        <v>9.2792153457604005</v>
      </c>
      <c r="F61" s="10">
        <f>SUM(Table42[Prime])</f>
        <v>10.563809429422609</v>
      </c>
      <c r="G61" s="10">
        <f>SUM(Table42[Super Prime])</f>
        <v>8.7498422926240131</v>
      </c>
    </row>
    <row r="62" spans="1:21" ht="17" x14ac:dyDescent="0.2">
      <c r="A62" s="62" t="s">
        <v>88</v>
      </c>
      <c r="C62" s="10"/>
      <c r="D62" s="10"/>
      <c r="E62" s="10"/>
      <c r="F62" s="10"/>
      <c r="G62" s="10"/>
    </row>
    <row r="63" spans="1:21" x14ac:dyDescent="0.2">
      <c r="A63" t="s">
        <v>0</v>
      </c>
      <c r="B63" t="s">
        <v>34</v>
      </c>
      <c r="C63" t="s">
        <v>58</v>
      </c>
      <c r="D63" t="s">
        <v>83</v>
      </c>
      <c r="E63" t="s">
        <v>60</v>
      </c>
      <c r="F63" t="s">
        <v>61</v>
      </c>
      <c r="G63" t="s">
        <v>62</v>
      </c>
      <c r="I63" s="10"/>
    </row>
    <row r="64" spans="1:21" x14ac:dyDescent="0.2">
      <c r="A64" t="s">
        <v>29</v>
      </c>
      <c r="B64" t="s">
        <v>35</v>
      </c>
      <c r="C64" s="10">
        <f>C48*$K$55/C$61</f>
        <v>5.0557434508891186</v>
      </c>
      <c r="D64" s="10">
        <f t="shared" ref="D64:D75" si="17">D48*$K$56/D$61</f>
        <v>4.1935572643304333</v>
      </c>
      <c r="E64" s="10">
        <f t="shared" ref="E64:E75" si="18">E48*$K$57/E$61</f>
        <v>1.903093914453746</v>
      </c>
      <c r="F64" s="10">
        <f t="shared" ref="F64:F75" si="19">F48*$K$58/F$61</f>
        <v>1.3659058411910332</v>
      </c>
      <c r="G64" s="10">
        <f t="shared" ref="G64:G75" si="20">G48*$K$59/G$61</f>
        <v>0.48317726709030911</v>
      </c>
      <c r="I64" s="10"/>
    </row>
    <row r="65" spans="1:9" x14ac:dyDescent="0.2">
      <c r="A65" t="s">
        <v>29</v>
      </c>
      <c r="B65" t="s">
        <v>36</v>
      </c>
      <c r="C65" s="10">
        <f>C49*$K$55/C$61</f>
        <v>0.27868483279295159</v>
      </c>
      <c r="D65" s="10">
        <f t="shared" si="17"/>
        <v>0.46665231296781062</v>
      </c>
      <c r="E65" s="10">
        <f t="shared" si="18"/>
        <v>0.66438661134104404</v>
      </c>
      <c r="F65" s="10">
        <f t="shared" si="19"/>
        <v>0.75428935178792</v>
      </c>
      <c r="G65" s="10">
        <f t="shared" si="20"/>
        <v>0.48074193210071003</v>
      </c>
    </row>
    <row r="66" spans="1:9" x14ac:dyDescent="0.2">
      <c r="A66" t="s">
        <v>29</v>
      </c>
      <c r="B66" t="s">
        <v>37</v>
      </c>
      <c r="C66" s="10">
        <f t="shared" ref="C66:C75" si="21">C50*$K$55/C$61</f>
        <v>1.377406014507122E-2</v>
      </c>
      <c r="D66" s="10">
        <f t="shared" si="17"/>
        <v>4.7485518834032812E-2</v>
      </c>
      <c r="E66" s="10">
        <f t="shared" si="18"/>
        <v>9.1944878904742969E-2</v>
      </c>
      <c r="F66" s="10">
        <f t="shared" si="19"/>
        <v>0.19283234374639066</v>
      </c>
      <c r="G66" s="10">
        <f t="shared" si="20"/>
        <v>0.28137762754138329</v>
      </c>
    </row>
    <row r="67" spans="1:9" x14ac:dyDescent="0.2">
      <c r="A67" t="s">
        <v>30</v>
      </c>
      <c r="B67" t="s">
        <v>35</v>
      </c>
      <c r="C67" s="10">
        <f t="shared" si="21"/>
        <v>2.9315722745322801</v>
      </c>
      <c r="D67" s="10">
        <f t="shared" si="17"/>
        <v>2.4316337106884891</v>
      </c>
      <c r="E67" s="10">
        <f t="shared" si="18"/>
        <v>1.1035087934421515</v>
      </c>
      <c r="F67" s="10">
        <f t="shared" si="19"/>
        <v>0.79202034924322051</v>
      </c>
      <c r="G67" s="10">
        <f t="shared" si="20"/>
        <v>0.28017028428076668</v>
      </c>
    </row>
    <row r="68" spans="1:9" x14ac:dyDescent="0.2">
      <c r="A68" t="s">
        <v>30</v>
      </c>
      <c r="B68" t="s">
        <v>36</v>
      </c>
      <c r="C68" s="10">
        <f t="shared" si="21"/>
        <v>0.70024659954231205</v>
      </c>
      <c r="D68" s="10">
        <f t="shared" si="17"/>
        <v>1.1725492630847212</v>
      </c>
      <c r="E68" s="10">
        <f t="shared" si="18"/>
        <v>1.6693928432002287</v>
      </c>
      <c r="F68" s="10">
        <f t="shared" si="19"/>
        <v>1.8952899171692013</v>
      </c>
      <c r="G68" s="10">
        <f t="shared" si="20"/>
        <v>1.2079520074241996</v>
      </c>
    </row>
    <row r="69" spans="1:9" x14ac:dyDescent="0.2">
      <c r="A69" t="s">
        <v>30</v>
      </c>
      <c r="B69" t="s">
        <v>37</v>
      </c>
      <c r="C69" s="10">
        <f t="shared" si="21"/>
        <v>0.10382953404905948</v>
      </c>
      <c r="D69" s="10">
        <f t="shared" si="17"/>
        <v>0.35794814620289817</v>
      </c>
      <c r="E69" s="10">
        <f t="shared" si="18"/>
        <v>0.69308496073996928</v>
      </c>
      <c r="F69" s="10">
        <f t="shared" si="19"/>
        <v>1.453579568399096</v>
      </c>
      <c r="G69" s="10">
        <f t="shared" si="20"/>
        <v>2.1210382161650263</v>
      </c>
    </row>
    <row r="70" spans="1:9" x14ac:dyDescent="0.2">
      <c r="A70" t="s">
        <v>32</v>
      </c>
      <c r="B70" t="s">
        <v>35</v>
      </c>
      <c r="C70" s="10">
        <f t="shared" si="21"/>
        <v>1.049369170973969</v>
      </c>
      <c r="D70" s="10">
        <f t="shared" si="17"/>
        <v>0.87041396634324697</v>
      </c>
      <c r="E70" s="10">
        <f t="shared" si="18"/>
        <v>0.39500581916290206</v>
      </c>
      <c r="F70" s="10">
        <f t="shared" si="19"/>
        <v>0.28350716252167923</v>
      </c>
      <c r="G70" s="10">
        <f t="shared" si="20"/>
        <v>0.10028818375087005</v>
      </c>
    </row>
    <row r="71" spans="1:9" x14ac:dyDescent="0.2">
      <c r="A71" t="s">
        <v>32</v>
      </c>
      <c r="B71" t="s">
        <v>36</v>
      </c>
      <c r="C71" s="10">
        <f t="shared" si="21"/>
        <v>0.45953663387673843</v>
      </c>
      <c r="D71" s="10">
        <f t="shared" si="17"/>
        <v>0.76948512390461754</v>
      </c>
      <c r="E71" s="10">
        <f t="shared" si="18"/>
        <v>1.0955385835269544</v>
      </c>
      <c r="F71" s="10">
        <f t="shared" si="19"/>
        <v>1.243783474744071</v>
      </c>
      <c r="G71" s="10">
        <f t="shared" si="20"/>
        <v>0.79271816491387936</v>
      </c>
    </row>
    <row r="72" spans="1:9" x14ac:dyDescent="0.2">
      <c r="A72" t="s">
        <v>32</v>
      </c>
      <c r="B72" t="s">
        <v>37</v>
      </c>
      <c r="C72" s="10">
        <f t="shared" si="21"/>
        <v>7.4332475452994554E-2</v>
      </c>
      <c r="D72" s="10">
        <f t="shared" si="17"/>
        <v>0.25625822204402787</v>
      </c>
      <c r="E72" s="10">
        <f t="shared" si="18"/>
        <v>0.49618561137624734</v>
      </c>
      <c r="F72" s="10">
        <f t="shared" si="19"/>
        <v>1.0406303811008861</v>
      </c>
      <c r="G72" s="10">
        <f t="shared" si="20"/>
        <v>1.518469889920288</v>
      </c>
    </row>
    <row r="73" spans="1:9" x14ac:dyDescent="0.2">
      <c r="A73" t="s">
        <v>51</v>
      </c>
      <c r="B73" t="s">
        <v>35</v>
      </c>
      <c r="C73" s="10">
        <f t="shared" si="21"/>
        <v>1.0705882844137222</v>
      </c>
      <c r="D73" s="10">
        <f t="shared" si="17"/>
        <v>0.88801445738325013</v>
      </c>
      <c r="E73" s="10">
        <f t="shared" si="18"/>
        <v>0.40299316386295725</v>
      </c>
      <c r="F73" s="10">
        <f t="shared" si="19"/>
        <v>0.28923991207153171</v>
      </c>
      <c r="G73" s="10">
        <f t="shared" si="20"/>
        <v>0.10231609385775969</v>
      </c>
    </row>
    <row r="74" spans="1:9" x14ac:dyDescent="0.2">
      <c r="A74" t="s">
        <v>51</v>
      </c>
      <c r="B74" t="s">
        <v>36</v>
      </c>
      <c r="C74" s="10">
        <f t="shared" si="21"/>
        <v>0.21310402048964042</v>
      </c>
      <c r="D74" s="10">
        <f t="shared" si="17"/>
        <v>0.35683852281302036</v>
      </c>
      <c r="E74" s="10">
        <f t="shared" si="18"/>
        <v>0.50804149123341003</v>
      </c>
      <c r="F74" s="10">
        <f t="shared" si="19"/>
        <v>0.57678809380327334</v>
      </c>
      <c r="G74" s="10">
        <f t="shared" si="20"/>
        <v>0.36761253751018674</v>
      </c>
    </row>
    <row r="75" spans="1:9" x14ac:dyDescent="0.2">
      <c r="A75" t="s">
        <v>51</v>
      </c>
      <c r="B75" t="s">
        <v>37</v>
      </c>
      <c r="C75" s="10">
        <f t="shared" si="21"/>
        <v>2.5278513216210045E-2</v>
      </c>
      <c r="D75" s="10">
        <f t="shared" si="17"/>
        <v>8.7146658485749109E-2</v>
      </c>
      <c r="E75" s="10">
        <f t="shared" si="18"/>
        <v>0.16873963174816381</v>
      </c>
      <c r="F75" s="10">
        <f t="shared" si="19"/>
        <v>0.35389092965810415</v>
      </c>
      <c r="G75" s="10">
        <f t="shared" si="20"/>
        <v>0.51639153609299915</v>
      </c>
    </row>
    <row r="76" spans="1:9" x14ac:dyDescent="0.2">
      <c r="C76" s="10"/>
      <c r="D76" s="10"/>
      <c r="E76" s="10"/>
      <c r="F76" s="10"/>
      <c r="G76" s="10"/>
    </row>
    <row r="77" spans="1:9" x14ac:dyDescent="0.2">
      <c r="A77" t="s">
        <v>87</v>
      </c>
    </row>
    <row r="78" spans="1:9" x14ac:dyDescent="0.2">
      <c r="A78" t="s">
        <v>0</v>
      </c>
      <c r="B78" t="s">
        <v>34</v>
      </c>
      <c r="C78" t="s">
        <v>58</v>
      </c>
      <c r="D78" t="s">
        <v>83</v>
      </c>
      <c r="E78" t="s">
        <v>60</v>
      </c>
      <c r="F78" t="s">
        <v>61</v>
      </c>
      <c r="G78" t="s">
        <v>62</v>
      </c>
    </row>
    <row r="79" spans="1:9" x14ac:dyDescent="0.2">
      <c r="A79" t="s">
        <v>29</v>
      </c>
      <c r="B79" t="s">
        <v>35</v>
      </c>
      <c r="C79" s="65">
        <f>C64/SUM(Portfolio_Num[[Deep Subprime]:[Super Prime]])</f>
        <v>9.8055592603861694E-2</v>
      </c>
      <c r="D79" s="65">
        <f>D64/SUM(Portfolio_Num[[Deep Subprime]:[Super Prime]])</f>
        <v>8.13335855876616E-2</v>
      </c>
      <c r="E79" s="65">
        <f>E64/SUM(Portfolio_Num[[Deep Subprime]:[Super Prime]])</f>
        <v>3.6910298826525169E-2</v>
      </c>
      <c r="F79" s="65">
        <f>F64/SUM(Portfolio_Num[[Deep Subprime]:[Super Prime]])</f>
        <v>2.6491594757544274E-2</v>
      </c>
      <c r="G79" s="65">
        <f>G64/SUM(Portfolio_Num[[Deep Subprime]:[Super Prime]])</f>
        <v>9.371170376321715E-3</v>
      </c>
      <c r="I79" s="61"/>
    </row>
    <row r="80" spans="1:9" x14ac:dyDescent="0.2">
      <c r="A80" t="s">
        <v>29</v>
      </c>
      <c r="B80" t="s">
        <v>36</v>
      </c>
      <c r="C80" s="65">
        <f>C65/SUM(Portfolio_Num[[Deep Subprime]:[Super Prime]])</f>
        <v>5.4050619250498632E-3</v>
      </c>
      <c r="D80" s="65">
        <f>D65/SUM(Portfolio_Num[[Deep Subprime]:[Super Prime]])</f>
        <v>9.0506706941338739E-3</v>
      </c>
      <c r="E80" s="65">
        <f>E65/SUM(Portfolio_Num[[Deep Subprime]:[Super Prime]])</f>
        <v>1.2885705836529482E-2</v>
      </c>
      <c r="F80" s="65">
        <f>F65/SUM(Portfolio_Num[[Deep Subprime]:[Super Prime]])</f>
        <v>1.462935967831595E-2</v>
      </c>
      <c r="G80" s="65">
        <f>G65/SUM(Portfolio_Num[[Deep Subprime]:[Super Prime]])</f>
        <v>9.323937319914934E-3</v>
      </c>
    </row>
    <row r="81" spans="1:13" x14ac:dyDescent="0.2">
      <c r="A81" t="s">
        <v>29</v>
      </c>
      <c r="B81" t="s">
        <v>37</v>
      </c>
      <c r="C81" s="65">
        <f>C66/SUM(Portfolio_Num[[Deep Subprime]:[Super Prime]])</f>
        <v>2.6714639364239636E-4</v>
      </c>
      <c r="D81" s="65">
        <f>D66/SUM(Portfolio_Num[[Deep Subprime]:[Super Prime]])</f>
        <v>9.2097645669779113E-4</v>
      </c>
      <c r="E81" s="65">
        <f>E66/SUM(Portfolio_Num[[Deep Subprime]:[Super Prime]])</f>
        <v>1.7832608943615096E-3</v>
      </c>
      <c r="F81" s="65">
        <f>F66/SUM(Portfolio_Num[[Deep Subprime]:[Super Prime]])</f>
        <v>3.7399622672544095E-3</v>
      </c>
      <c r="G81" s="65">
        <f>G66/SUM(Portfolio_Num[[Deep Subprime]:[Super Prime]])</f>
        <v>5.4572883853880759E-3</v>
      </c>
    </row>
    <row r="82" spans="1:13" x14ac:dyDescent="0.2">
      <c r="A82" t="s">
        <v>30</v>
      </c>
      <c r="B82" t="s">
        <v>35</v>
      </c>
      <c r="C82" s="65">
        <f>C67/SUM(Portfolio_Num[[Deep Subprime]:[Super Prime]])</f>
        <v>5.6857524404202192E-2</v>
      </c>
      <c r="D82" s="65">
        <f>D67/SUM(Portfolio_Num[[Deep Subprime]:[Super Prime]])</f>
        <v>4.7161270506151778E-2</v>
      </c>
      <c r="E82" s="65">
        <f>E67/SUM(Portfolio_Num[[Deep Subprime]:[Super Prime]])</f>
        <v>2.1402432646283363E-2</v>
      </c>
      <c r="F82" s="65">
        <f>F67/SUM(Portfolio_Num[[Deep Subprime]:[Super Prime]])</f>
        <v>1.5361148257177411E-2</v>
      </c>
      <c r="G82" s="65">
        <f>G67/SUM(Portfolio_Num[[Deep Subprime]:[Super Prime]])</f>
        <v>5.433872094580198E-3</v>
      </c>
    </row>
    <row r="83" spans="1:13" x14ac:dyDescent="0.2">
      <c r="A83" t="s">
        <v>30</v>
      </c>
      <c r="B83" t="s">
        <v>36</v>
      </c>
      <c r="C83" s="65">
        <f>C68/SUM(Portfolio_Num[[Deep Subprime]:[Super Prime]])</f>
        <v>1.3581206395052569E-2</v>
      </c>
      <c r="D83" s="65">
        <f>D68/SUM(Portfolio_Num[[Deep Subprime]:[Super Prime]])</f>
        <v>2.2741465022077776E-2</v>
      </c>
      <c r="E83" s="65">
        <f>E68/SUM(Portfolio_Num[[Deep Subprime]:[Super Prime]])</f>
        <v>3.237769204840811E-2</v>
      </c>
      <c r="F83" s="65">
        <f>F68/SUM(Portfolio_Num[[Deep Subprime]:[Super Prime]])</f>
        <v>3.6758941150676253E-2</v>
      </c>
      <c r="G83" s="65">
        <f>G68/SUM(Portfolio_Num[[Deep Subprime]:[Super Prime]])</f>
        <v>2.3428097385790787E-2</v>
      </c>
    </row>
    <row r="84" spans="1:13" x14ac:dyDescent="0.2">
      <c r="A84" t="s">
        <v>30</v>
      </c>
      <c r="B84" t="s">
        <v>37</v>
      </c>
      <c r="C84" s="65">
        <f>C69/SUM(Portfolio_Num[[Deep Subprime]:[Super Prime]])</f>
        <v>2.0137624841649925E-3</v>
      </c>
      <c r="D84" s="65">
        <f>D69/SUM(Portfolio_Num[[Deep Subprime]:[Super Prime]])</f>
        <v>6.9423652403102698E-3</v>
      </c>
      <c r="E84" s="65">
        <f>E69/SUM(Portfolio_Num[[Deep Subprime]:[Super Prime]])</f>
        <v>1.3442307191878991E-2</v>
      </c>
      <c r="F84" s="65">
        <f>F69/SUM(Portfolio_Num[[Deep Subprime]:[Super Prime]])</f>
        <v>2.8192017130768934E-2</v>
      </c>
      <c r="G84" s="65">
        <f>G69/SUM(Portfolio_Num[[Deep Subprime]:[Super Prime]])</f>
        <v>4.1137304778572858E-2</v>
      </c>
    </row>
    <row r="85" spans="1:13" x14ac:dyDescent="0.2">
      <c r="A85" t="s">
        <v>32</v>
      </c>
      <c r="B85" t="s">
        <v>35</v>
      </c>
      <c r="C85" s="65">
        <f>C70/SUM(Portfolio_Num[[Deep Subprime]:[Super Prime]])</f>
        <v>2.0352400575622542E-2</v>
      </c>
      <c r="D85" s="65">
        <f>D70/SUM(Portfolio_Num[[Deep Subprime]:[Super Prime]])</f>
        <v>1.6881583907398443E-2</v>
      </c>
      <c r="E85" s="65">
        <f>E70/SUM(Portfolio_Num[[Deep Subprime]:[Super Prime]])</f>
        <v>7.6610947640510857E-3</v>
      </c>
      <c r="F85" s="65">
        <f>F70/SUM(Portfolio_Num[[Deep Subprime]:[Super Prime]])</f>
        <v>5.4985904839798955E-3</v>
      </c>
      <c r="G85" s="65">
        <f>G70/SUM(Portfolio_Num[[Deep Subprime]:[Super Prime]])</f>
        <v>1.9450783815241123E-3</v>
      </c>
    </row>
    <row r="86" spans="1:13" x14ac:dyDescent="0.2">
      <c r="A86" t="s">
        <v>32</v>
      </c>
      <c r="B86" t="s">
        <v>36</v>
      </c>
      <c r="C86" s="65">
        <f>C71/SUM(Portfolio_Num[[Deep Subprime]:[Super Prime]])</f>
        <v>8.9126628745457796E-3</v>
      </c>
      <c r="D86" s="65">
        <f>D71/SUM(Portfolio_Num[[Deep Subprime]:[Super Prime]])</f>
        <v>1.4924080020526743E-2</v>
      </c>
      <c r="E86" s="65">
        <f>E71/SUM(Portfolio_Num[[Deep Subprime]:[Super Prime]])</f>
        <v>2.1247851294598205E-2</v>
      </c>
      <c r="F86" s="65">
        <f>F71/SUM(Portfolio_Num[[Deep Subprime]:[Super Prime]])</f>
        <v>2.4123044784931064E-2</v>
      </c>
      <c r="G86" s="65">
        <f>G71/SUM(Portfolio_Num[[Deep Subprime]:[Super Prime]])</f>
        <v>1.5374682315972004E-2</v>
      </c>
    </row>
    <row r="87" spans="1:13" x14ac:dyDescent="0.2">
      <c r="A87" t="s">
        <v>32</v>
      </c>
      <c r="B87" t="s">
        <v>37</v>
      </c>
      <c r="C87" s="65">
        <f>C72/SUM(Portfolio_Num[[Deep Subprime]:[Super Prime]])</f>
        <v>1.4416702510831653E-3</v>
      </c>
      <c r="D87" s="65">
        <f>D72/SUM(Portfolio_Num[[Deep Subprime]:[Super Prime]])</f>
        <v>4.9701002565152152E-3</v>
      </c>
      <c r="E87" s="65">
        <f>E72/SUM(Portfolio_Num[[Deep Subprime]:[Super Prime]])</f>
        <v>9.6234657944225688E-3</v>
      </c>
      <c r="F87" s="65">
        <f>F72/SUM(Portfolio_Num[[Deep Subprime]:[Super Prime]])</f>
        <v>2.0182912699513032E-2</v>
      </c>
      <c r="G87" s="65">
        <f>G72/SUM(Portfolio_Num[[Deep Subprime]:[Super Prime]])</f>
        <v>2.9450557836566933E-2</v>
      </c>
    </row>
    <row r="88" spans="1:13" x14ac:dyDescent="0.2">
      <c r="A88" t="s">
        <v>51</v>
      </c>
      <c r="B88" t="s">
        <v>35</v>
      </c>
      <c r="C88" s="65">
        <f>C73/SUM(Portfolio_Num[[Deep Subprime]:[Super Prime]])</f>
        <v>2.0763942965594417E-2</v>
      </c>
      <c r="D88" s="65">
        <f>D73/SUM(Portfolio_Num[[Deep Subprime]:[Super Prime]])</f>
        <v>1.7222943510750738E-2</v>
      </c>
      <c r="E88" s="65">
        <f>E73/SUM(Portfolio_Num[[Deep Subprime]:[Super Prime]])</f>
        <v>7.8160084430190097E-3</v>
      </c>
      <c r="F88" s="65">
        <f>F73/SUM(Portfolio_Num[[Deep Subprime]:[Super Prime]])</f>
        <v>5.6097765360058243E-3</v>
      </c>
      <c r="G88" s="65">
        <f>G73/SUM(Portfolio_Num[[Deep Subprime]:[Super Prime]])</f>
        <v>1.9844094767843858E-3</v>
      </c>
      <c r="H88" s="61"/>
      <c r="I88" s="64"/>
    </row>
    <row r="89" spans="1:13" x14ac:dyDescent="0.2">
      <c r="A89" t="s">
        <v>51</v>
      </c>
      <c r="B89" t="s">
        <v>36</v>
      </c>
      <c r="C89" s="65">
        <f>C74/SUM(Portfolio_Num[[Deep Subprime]:[Super Prime]])</f>
        <v>4.133129225871288E-3</v>
      </c>
      <c r="D89" s="65">
        <f>D74/SUM(Portfolio_Num[[Deep Subprime]:[Super Prime]])</f>
        <v>6.920844215733273E-3</v>
      </c>
      <c r="E89" s="65">
        <f>E74/SUM(Portfolio_Num[[Deep Subprime]:[Super Prime]])</f>
        <v>9.8534092906713416E-3</v>
      </c>
      <c r="F89" s="65">
        <f>F74/SUM(Portfolio_Num[[Deep Subprime]:[Super Prime]])</f>
        <v>1.1186742146654098E-2</v>
      </c>
      <c r="G89" s="65">
        <f>G74/SUM(Portfolio_Num[[Deep Subprime]:[Super Prime]])</f>
        <v>7.1298050552449331E-3</v>
      </c>
    </row>
    <row r="90" spans="1:13" ht="17" x14ac:dyDescent="0.2">
      <c r="A90" s="62" t="s">
        <v>51</v>
      </c>
      <c r="B90" t="s">
        <v>37</v>
      </c>
      <c r="C90" s="65">
        <f>C75/SUM(Portfolio_Num[[Deep Subprime]:[Super Prime]])</f>
        <v>4.9027400571999248E-4</v>
      </c>
      <c r="D90" s="65">
        <f>D75/SUM(Portfolio_Num[[Deep Subprime]:[Super Prime]])</f>
        <v>1.6901999328632258E-3</v>
      </c>
      <c r="E90" s="65">
        <f>E75/SUM(Portfolio_Num[[Deep Subprime]:[Super Prime]])</f>
        <v>3.2726867467758459E-3</v>
      </c>
      <c r="F90" s="65">
        <f>F75/SUM(Portfolio_Num[[Deep Subprime]:[Super Prime]])</f>
        <v>6.8636759681020435E-3</v>
      </c>
      <c r="G90" s="65">
        <f>G75/SUM(Portfolio_Num[[Deep Subprime]:[Super Prime]])</f>
        <v>1.0015357499659646E-2</v>
      </c>
    </row>
    <row r="91" spans="1:13" ht="20" customHeight="1" x14ac:dyDescent="0.2">
      <c r="A91" s="62"/>
    </row>
    <row r="92" spans="1:13" ht="39" customHeight="1" x14ac:dyDescent="0.2">
      <c r="A92" s="62" t="s">
        <v>73</v>
      </c>
      <c r="J92" s="62" t="s">
        <v>89</v>
      </c>
      <c r="K92" s="62"/>
      <c r="L92" s="62"/>
      <c r="M92" s="62"/>
    </row>
    <row r="93" spans="1:13" x14ac:dyDescent="0.2">
      <c r="A93" t="s">
        <v>0</v>
      </c>
      <c r="B93" t="s">
        <v>34</v>
      </c>
      <c r="C93" t="s">
        <v>58</v>
      </c>
      <c r="D93" t="s">
        <v>83</v>
      </c>
      <c r="E93" t="s">
        <v>60</v>
      </c>
      <c r="F93" t="s">
        <v>61</v>
      </c>
      <c r="G93" t="s">
        <v>62</v>
      </c>
      <c r="J93" t="s">
        <v>0</v>
      </c>
      <c r="K93" t="s">
        <v>35</v>
      </c>
      <c r="L93" t="s">
        <v>36</v>
      </c>
      <c r="M93" t="s">
        <v>37</v>
      </c>
    </row>
    <row r="94" spans="1:13" x14ac:dyDescent="0.2">
      <c r="A94" t="s">
        <v>29</v>
      </c>
      <c r="B94" t="s">
        <v>35</v>
      </c>
      <c r="C94" s="61">
        <f>'Default Rates'!$D$11 * INDEX($K$94:$M$97,
             MATCH($A94,$J$94:$J$97,0),
             MATCH($B94,$K$93:$M$93,0))</f>
        <v>3.8500000000000006E-2</v>
      </c>
      <c r="D94" s="61">
        <f>'Default Rates'!$D$12 * INDEX($K$94:$M$97,
             MATCH($A94,$J$94:$J$97,0),
             MATCH($B94,$K$93:$M$93,0))</f>
        <v>1.21E-2</v>
      </c>
      <c r="E94" s="61">
        <f>'Default Rates'!$D$13 * INDEX($K$94:$M$97,
             MATCH($A94,$J$94:$J$97,0),
             MATCH($B94,$K$93:$M$93,0))</f>
        <v>8.8000000000000005E-3</v>
      </c>
      <c r="F94" s="61">
        <f>'Default Rates'!$D$14 * INDEX($K$94:$M$97,
             MATCH($A94,$J$94:$J$97,0),
             MATCH($B94,$K$93:$M$93,0))</f>
        <v>7.7000000000000011E-3</v>
      </c>
      <c r="G94" s="61">
        <f>'Default Rates'!$D$15 * INDEX($K$94:$M$97,
             MATCH($A94,$J$94:$J$97,0),
             MATCH($B94,$K$93:$M$93,0))</f>
        <v>8.8000000000000005E-3</v>
      </c>
      <c r="J94" t="s">
        <v>29</v>
      </c>
      <c r="K94">
        <v>1.1000000000000001</v>
      </c>
      <c r="L94">
        <v>1.08</v>
      </c>
      <c r="M94">
        <v>1</v>
      </c>
    </row>
    <row r="95" spans="1:13" x14ac:dyDescent="0.2">
      <c r="A95" t="s">
        <v>29</v>
      </c>
      <c r="B95" t="s">
        <v>36</v>
      </c>
      <c r="C95" s="61">
        <f>'Default Rates'!$D$11 * INDEX($K$94:$M$97,
             MATCH($A95,$J$94:$J$97,0),
             MATCH($B95,$K$93:$M$93,0))</f>
        <v>3.7800000000000007E-2</v>
      </c>
      <c r="D95" s="61">
        <f>'Default Rates'!$D$12 * INDEX($K$94:$M$97,
             MATCH($A95,$J$94:$J$97,0),
             MATCH($B95,$K$93:$M$93,0))</f>
        <v>1.188E-2</v>
      </c>
      <c r="E95" s="61">
        <f>'Default Rates'!$D$13 * INDEX($K$94:$M$97,
             MATCH($A95,$J$94:$J$97,0),
             MATCH($B95,$K$93:$M$93,0))</f>
        <v>8.6400000000000001E-3</v>
      </c>
      <c r="F95" s="61">
        <f>'Default Rates'!$D$14 * INDEX($K$94:$M$97,
             MATCH($A95,$J$94:$J$97,0),
             MATCH($B95,$K$93:$M$93,0))</f>
        <v>7.5600000000000007E-3</v>
      </c>
      <c r="G95" s="61">
        <f>'Default Rates'!$D$15 * INDEX($K$94:$M$97,
             MATCH($A95,$J$94:$J$97,0),
             MATCH($B95,$K$93:$M$93,0))</f>
        <v>8.6400000000000001E-3</v>
      </c>
      <c r="J95" t="s">
        <v>30</v>
      </c>
      <c r="K95">
        <v>1.1000000000000001</v>
      </c>
      <c r="L95" s="66">
        <v>1.04</v>
      </c>
      <c r="M95">
        <v>1</v>
      </c>
    </row>
    <row r="96" spans="1:13" x14ac:dyDescent="0.2">
      <c r="A96" t="s">
        <v>29</v>
      </c>
      <c r="B96" t="s">
        <v>37</v>
      </c>
      <c r="C96" s="61">
        <f>'Default Rates'!$D$11 * INDEX($K$94:$M$97,
             MATCH($A96,$J$94:$J$97,0),
             MATCH($B96,$K$93:$M$93,0))</f>
        <v>3.5000000000000003E-2</v>
      </c>
      <c r="D96" s="61">
        <f>'Default Rates'!$D$12 * INDEX($K$94:$M$97,
             MATCH($A96,$J$94:$J$97,0),
             MATCH($B96,$K$93:$M$93,0))</f>
        <v>1.0999999999999999E-2</v>
      </c>
      <c r="E96" s="61">
        <f>'Default Rates'!$D$13 * INDEX($K$94:$M$97,
             MATCH($A96,$J$94:$J$97,0),
             MATCH($B96,$K$93:$M$93,0))</f>
        <v>8.0000000000000002E-3</v>
      </c>
      <c r="F96" s="61">
        <f>'Default Rates'!$D$14 * INDEX($K$94:$M$97,
             MATCH($A96,$J$94:$J$97,0),
             MATCH($B96,$K$93:$M$93,0))</f>
        <v>7.0000000000000001E-3</v>
      </c>
      <c r="G96" s="61">
        <f>'Default Rates'!$D$15 * INDEX($K$94:$M$97,
             MATCH($A96,$J$94:$J$97,0),
             MATCH($B96,$K$93:$M$93,0))</f>
        <v>8.0000000000000002E-3</v>
      </c>
      <c r="J96" t="s">
        <v>32</v>
      </c>
      <c r="K96">
        <v>1</v>
      </c>
      <c r="L96">
        <v>1</v>
      </c>
      <c r="M96">
        <v>1</v>
      </c>
    </row>
    <row r="97" spans="1:13" x14ac:dyDescent="0.2">
      <c r="A97" t="s">
        <v>30</v>
      </c>
      <c r="B97" t="s">
        <v>35</v>
      </c>
      <c r="C97" s="61">
        <f>'Default Rates'!$D$11 * INDEX($K$94:$M$97,
             MATCH($A97,$J$94:$J$97,0),
             MATCH($B97,$K$93:$M$93,0))</f>
        <v>3.8500000000000006E-2</v>
      </c>
      <c r="D97" s="61">
        <f>'Default Rates'!$D$12 * INDEX($K$94:$M$97,
             MATCH($A97,$J$94:$J$97,0),
             MATCH($B97,$K$93:$M$93,0))</f>
        <v>1.21E-2</v>
      </c>
      <c r="E97" s="61">
        <f>'Default Rates'!$D$13 * INDEX($K$94:$M$97,
             MATCH($A97,$J$94:$J$97,0),
             MATCH($B97,$K$93:$M$93,0))</f>
        <v>8.8000000000000005E-3</v>
      </c>
      <c r="F97" s="61">
        <f>'Default Rates'!$D$14 * INDEX($K$94:$M$97,
             MATCH($A97,$J$94:$J$97,0),
             MATCH($B97,$K$93:$M$93,0))</f>
        <v>7.7000000000000011E-3</v>
      </c>
      <c r="G97" s="61">
        <f>'Default Rates'!$D$15 * INDEX($K$94:$M$97,
             MATCH($A97,$J$94:$J$97,0),
             MATCH($B97,$K$93:$M$93,0))</f>
        <v>8.8000000000000005E-3</v>
      </c>
      <c r="J97" t="s">
        <v>51</v>
      </c>
      <c r="K97">
        <v>1.05</v>
      </c>
      <c r="L97">
        <v>1</v>
      </c>
      <c r="M97">
        <v>1</v>
      </c>
    </row>
    <row r="98" spans="1:13" x14ac:dyDescent="0.2">
      <c r="A98" t="s">
        <v>30</v>
      </c>
      <c r="B98" t="s">
        <v>36</v>
      </c>
      <c r="C98" s="61">
        <f>'Default Rates'!$D$11 * INDEX($K$94:$M$97,
             MATCH($A98,$J$94:$J$97,0),
             MATCH($B98,$K$93:$M$93,0))</f>
        <v>3.6400000000000002E-2</v>
      </c>
      <c r="D98" s="61">
        <f>'Default Rates'!$D$12 * INDEX($K$94:$M$97,
             MATCH($A98,$J$94:$J$97,0),
             MATCH($B98,$K$93:$M$93,0))</f>
        <v>1.1440000000000001E-2</v>
      </c>
      <c r="E98" s="61">
        <f>'Default Rates'!$D$13 * INDEX($K$94:$M$97,
             MATCH($A98,$J$94:$J$97,0),
             MATCH($B98,$K$93:$M$93,0))</f>
        <v>8.320000000000001E-3</v>
      </c>
      <c r="F98" s="61">
        <f>'Default Rates'!$D$14 * INDEX($K$94:$M$97,
             MATCH($A98,$J$94:$J$97,0),
             MATCH($B98,$K$93:$M$93,0))</f>
        <v>7.28E-3</v>
      </c>
      <c r="G98" s="61">
        <f>'Default Rates'!$D$15 * INDEX($K$94:$M$97,
             MATCH($A98,$J$94:$J$97,0),
             MATCH($B98,$K$93:$M$93,0))</f>
        <v>8.320000000000001E-3</v>
      </c>
    </row>
    <row r="99" spans="1:13" x14ac:dyDescent="0.2">
      <c r="A99" t="s">
        <v>30</v>
      </c>
      <c r="B99" t="s">
        <v>37</v>
      </c>
      <c r="C99" s="61">
        <f>'Default Rates'!$D$11 * INDEX($K$94:$M$97,
             MATCH($A99,$J$94:$J$97,0),
             MATCH($B99,$K$93:$M$93,0))</f>
        <v>3.5000000000000003E-2</v>
      </c>
      <c r="D99" s="61">
        <f>'Default Rates'!$D$12 * INDEX($K$94:$M$97,
             MATCH($A99,$J$94:$J$97,0),
             MATCH($B99,$K$93:$M$93,0))</f>
        <v>1.0999999999999999E-2</v>
      </c>
      <c r="E99" s="61">
        <f>'Default Rates'!$D$13 * INDEX($K$94:$M$97,
             MATCH($A99,$J$94:$J$97,0),
             MATCH($B99,$K$93:$M$93,0))</f>
        <v>8.0000000000000002E-3</v>
      </c>
      <c r="F99" s="61">
        <f>'Default Rates'!$D$14 * INDEX($K$94:$M$97,
             MATCH($A99,$J$94:$J$97,0),
             MATCH($B99,$K$93:$M$93,0))</f>
        <v>7.0000000000000001E-3</v>
      </c>
      <c r="G99" s="61">
        <f>'Default Rates'!$D$15 * INDEX($K$94:$M$97,
             MATCH($A99,$J$94:$J$97,0),
             MATCH($B99,$K$93:$M$93,0))</f>
        <v>8.0000000000000002E-3</v>
      </c>
    </row>
    <row r="100" spans="1:13" x14ac:dyDescent="0.2">
      <c r="A100" t="s">
        <v>32</v>
      </c>
      <c r="B100" t="s">
        <v>35</v>
      </c>
      <c r="C100" s="61">
        <f>'Default Rates'!$D$11 * INDEX($K$94:$M$97,
             MATCH($A100,$J$94:$J$97,0),
             MATCH($B100,$K$93:$M$93,0))</f>
        <v>3.5000000000000003E-2</v>
      </c>
      <c r="D100" s="61">
        <f>'Default Rates'!$D$12 * INDEX($K$94:$M$97,
             MATCH($A100,$J$94:$J$97,0),
             MATCH($B100,$K$93:$M$93,0))</f>
        <v>1.0999999999999999E-2</v>
      </c>
      <c r="E100" s="61">
        <f>'Default Rates'!$D$13 * INDEX($K$94:$M$97,
             MATCH($A100,$J$94:$J$97,0),
             MATCH($B100,$K$93:$M$93,0))</f>
        <v>8.0000000000000002E-3</v>
      </c>
      <c r="F100" s="61">
        <f>'Default Rates'!$D$14 * INDEX($K$94:$M$97,
             MATCH($A100,$J$94:$J$97,0),
             MATCH($B100,$K$93:$M$93,0))</f>
        <v>7.0000000000000001E-3</v>
      </c>
      <c r="G100" s="61">
        <f>'Default Rates'!$D$15 * INDEX($K$94:$M$97,
             MATCH($A100,$J$94:$J$97,0),
             MATCH($B100,$K$93:$M$93,0))</f>
        <v>8.0000000000000002E-3</v>
      </c>
    </row>
    <row r="101" spans="1:13" x14ac:dyDescent="0.2">
      <c r="A101" t="s">
        <v>32</v>
      </c>
      <c r="B101" t="s">
        <v>36</v>
      </c>
      <c r="C101" s="61">
        <f>'Default Rates'!$D$11 * INDEX($K$94:$M$97,
             MATCH($A101,$J$94:$J$97,0),
             MATCH($B101,$K$93:$M$93,0))</f>
        <v>3.5000000000000003E-2</v>
      </c>
      <c r="D101" s="61">
        <f>'Default Rates'!$D$12 * INDEX($K$94:$M$97,
             MATCH($A101,$J$94:$J$97,0),
             MATCH($B101,$K$93:$M$93,0))</f>
        <v>1.0999999999999999E-2</v>
      </c>
      <c r="E101" s="61">
        <f>'Default Rates'!$D$13 * INDEX($K$94:$M$97,
             MATCH($A101,$J$94:$J$97,0),
             MATCH($B101,$K$93:$M$93,0))</f>
        <v>8.0000000000000002E-3</v>
      </c>
      <c r="F101" s="61">
        <f>'Default Rates'!$D$14 * INDEX($K$94:$M$97,
             MATCH($A101,$J$94:$J$97,0),
             MATCH($B101,$K$93:$M$93,0))</f>
        <v>7.0000000000000001E-3</v>
      </c>
      <c r="G101" s="61">
        <f>'Default Rates'!$D$15 * INDEX($K$94:$M$97,
             MATCH($A101,$J$94:$J$97,0),
             MATCH($B101,$K$93:$M$93,0))</f>
        <v>8.0000000000000002E-3</v>
      </c>
    </row>
    <row r="102" spans="1:13" x14ac:dyDescent="0.2">
      <c r="A102" t="s">
        <v>32</v>
      </c>
      <c r="B102" t="s">
        <v>37</v>
      </c>
      <c r="C102" s="61">
        <f>'Default Rates'!$D$11 * INDEX($K$94:$M$97,
             MATCH($A102,$J$94:$J$97,0),
             MATCH($B102,$K$93:$M$93,0))</f>
        <v>3.5000000000000003E-2</v>
      </c>
      <c r="D102" s="61">
        <f>'Default Rates'!$D$12 * INDEX($K$94:$M$97,
             MATCH($A102,$J$94:$J$97,0),
             MATCH($B102,$K$93:$M$93,0))</f>
        <v>1.0999999999999999E-2</v>
      </c>
      <c r="E102" s="61">
        <f>'Default Rates'!$D$13 * INDEX($K$94:$M$97,
             MATCH($A102,$J$94:$J$97,0),
             MATCH($B102,$K$93:$M$93,0))</f>
        <v>8.0000000000000002E-3</v>
      </c>
      <c r="F102" s="61">
        <f>'Default Rates'!$D$14 * INDEX($K$94:$M$97,
             MATCH($A102,$J$94:$J$97,0),
             MATCH($B102,$K$93:$M$93,0))</f>
        <v>7.0000000000000001E-3</v>
      </c>
      <c r="G102" s="61">
        <f>'Default Rates'!$D$15 * INDEX($K$94:$M$97,
             MATCH($A102,$J$94:$J$97,0),
             MATCH($B102,$K$93:$M$93,0))</f>
        <v>8.0000000000000002E-3</v>
      </c>
    </row>
    <row r="103" spans="1:13" x14ac:dyDescent="0.2">
      <c r="A103" t="s">
        <v>51</v>
      </c>
      <c r="B103" t="s">
        <v>35</v>
      </c>
      <c r="C103" s="61">
        <f>'Default Rates'!$D$11 * INDEX($K$94:$M$97,
             MATCH($A103,$J$94:$J$97,0),
             MATCH($B103,$K$93:$M$93,0))</f>
        <v>3.6750000000000005E-2</v>
      </c>
      <c r="D103" s="61">
        <f>'Default Rates'!$D$12 * INDEX($K$94:$M$97,
             MATCH($A103,$J$94:$J$97,0),
             MATCH($B103,$K$93:$M$93,0))</f>
        <v>1.155E-2</v>
      </c>
      <c r="E103" s="61">
        <f>'Default Rates'!$D$13 * INDEX($K$94:$M$97,
             MATCH($A103,$J$94:$J$97,0),
             MATCH($B103,$K$93:$M$93,0))</f>
        <v>8.4000000000000012E-3</v>
      </c>
      <c r="F103" s="61">
        <f>'Default Rates'!$D$14 * INDEX($K$94:$M$97,
             MATCH($A103,$J$94:$J$97,0),
             MATCH($B103,$K$93:$M$93,0))</f>
        <v>7.3500000000000006E-3</v>
      </c>
      <c r="G103" s="61">
        <f>'Default Rates'!$D$15 * INDEX($K$94:$M$97,
             MATCH($A103,$J$94:$J$97,0),
             MATCH($B103,$K$93:$M$93,0))</f>
        <v>8.4000000000000012E-3</v>
      </c>
    </row>
    <row r="104" spans="1:13" x14ac:dyDescent="0.2">
      <c r="A104" t="s">
        <v>51</v>
      </c>
      <c r="B104" t="s">
        <v>36</v>
      </c>
      <c r="C104" s="61">
        <f>'Default Rates'!$D$11 * INDEX($K$94:$M$97,
             MATCH($A104,$J$94:$J$97,0),
             MATCH($B104,$K$93:$M$93,0))</f>
        <v>3.5000000000000003E-2</v>
      </c>
      <c r="D104" s="61">
        <f>'Default Rates'!$D$12 * INDEX($K$94:$M$97,
             MATCH($A104,$J$94:$J$97,0),
             MATCH($B104,$K$93:$M$93,0))</f>
        <v>1.0999999999999999E-2</v>
      </c>
      <c r="E104" s="61">
        <f>'Default Rates'!$D$13 * INDEX($K$94:$M$97,
             MATCH($A104,$J$94:$J$97,0),
             MATCH($B104,$K$93:$M$93,0))</f>
        <v>8.0000000000000002E-3</v>
      </c>
      <c r="F104" s="61">
        <f>'Default Rates'!$D$14 * INDEX($K$94:$M$97,
             MATCH($A104,$J$94:$J$97,0),
             MATCH($B104,$K$93:$M$93,0))</f>
        <v>7.0000000000000001E-3</v>
      </c>
      <c r="G104" s="61">
        <f>'Default Rates'!$D$15 * INDEX($K$94:$M$97,
             MATCH($A104,$J$94:$J$97,0),
             MATCH($B104,$K$93:$M$93,0))</f>
        <v>8.0000000000000002E-3</v>
      </c>
    </row>
    <row r="105" spans="1:13" x14ac:dyDescent="0.2">
      <c r="A105" t="s">
        <v>51</v>
      </c>
      <c r="B105" t="s">
        <v>37</v>
      </c>
      <c r="C105" s="61">
        <f>'Default Rates'!$D$11 * INDEX($K$94:$M$97,
             MATCH($A105,$J$94:$J$97,0),
             MATCH($B105,$K$93:$M$93,0))</f>
        <v>3.5000000000000003E-2</v>
      </c>
      <c r="D105" s="61">
        <f>'Default Rates'!$D$12 * INDEX($K$94:$M$97,
             MATCH($A105,$J$94:$J$97,0),
             MATCH($B105,$K$93:$M$93,0))</f>
        <v>1.0999999999999999E-2</v>
      </c>
      <c r="E105" s="61">
        <f>'Default Rates'!$D$13 * INDEX($K$94:$M$97,
             MATCH($A105,$J$94:$J$97,0),
             MATCH($B105,$K$93:$M$93,0))</f>
        <v>8.0000000000000002E-3</v>
      </c>
      <c r="F105" s="61">
        <f>'Default Rates'!$D$14 * INDEX($K$94:$M$97,
             MATCH($A105,$J$94:$J$97,0),
             MATCH($B105,$K$93:$M$93,0))</f>
        <v>7.0000000000000001E-3</v>
      </c>
      <c r="G105" s="61">
        <f>'Default Rates'!$D$15 * INDEX($K$94:$M$97,
             MATCH($A105,$J$94:$J$97,0),
             MATCH($B105,$K$93:$M$93,0))</f>
        <v>8.0000000000000002E-3</v>
      </c>
    </row>
    <row r="106" spans="1:13" hidden="1" x14ac:dyDescent="0.2">
      <c r="J106" t="s">
        <v>57</v>
      </c>
      <c r="K106" s="82" t="s">
        <v>94</v>
      </c>
      <c r="L106" t="s">
        <v>98</v>
      </c>
      <c r="M106" t="s">
        <v>100</v>
      </c>
    </row>
    <row r="107" spans="1:13" hidden="1" x14ac:dyDescent="0.2">
      <c r="C107" s="61"/>
      <c r="K107" s="81"/>
      <c r="L107" s="10">
        <f>Table54[[#This Row],[Loan Originations]]*'User Segmentation'!$I$47</f>
        <v>0</v>
      </c>
      <c r="M107" s="10"/>
    </row>
    <row r="108" spans="1:13" hidden="1" x14ac:dyDescent="0.2">
      <c r="A108" s="65" t="s">
        <v>90</v>
      </c>
      <c r="C108" cm="1">
        <f t="array" ref="C108:H111">TRANSPOSE(Table54[])</f>
        <v>0</v>
      </c>
      <c r="D108" t="str">
        <v>Deep Subprime</v>
      </c>
      <c r="E108" t="str">
        <v>Subprime</v>
      </c>
      <c r="F108" t="str">
        <v>Near Prime</v>
      </c>
      <c r="G108" t="str">
        <v>Prime</v>
      </c>
      <c r="H108" t="str">
        <v>Super Prime</v>
      </c>
      <c r="J108" t="s">
        <v>58</v>
      </c>
      <c r="K108" s="81">
        <v>0.46879999999999999</v>
      </c>
      <c r="L108" s="10">
        <f>Table54[[#This Row],[Loan Originations]]*'User Segmentation'!$I$47</f>
        <v>157.42304000000001</v>
      </c>
      <c r="M108" s="10">
        <f>Table54[[#This Row],[Loan Count (in M)]]/SUM(Portfolio_Num[Deep Subprime])</f>
        <v>13.144810727969348</v>
      </c>
    </row>
    <row r="109" spans="1:13" hidden="1" x14ac:dyDescent="0.2">
      <c r="A109" s="65">
        <f>SUMPRODUCT(C94:G105,Portfolio_Perc[[Deep Subprime]:[Super Prime]])</f>
        <v>1.5690750755928434E-2</v>
      </c>
      <c r="C109" s="65">
        <v>0</v>
      </c>
      <c r="D109" s="65">
        <v>0.46879999999999999</v>
      </c>
      <c r="E109" s="65">
        <v>0.16669999999999999</v>
      </c>
      <c r="F109" s="65">
        <v>0.1323</v>
      </c>
      <c r="G109" s="65">
        <v>0.13750000000000001</v>
      </c>
      <c r="H109">
        <v>9.4799999999999995E-2</v>
      </c>
      <c r="J109" t="s">
        <v>59</v>
      </c>
      <c r="K109" s="81">
        <v>0.16669999999999999</v>
      </c>
      <c r="L109" s="10">
        <f>Table54[[#This Row],[Loan Originations]]*'User Segmentation'!$I$47</f>
        <v>55.97786</v>
      </c>
      <c r="M109" s="10">
        <f>Table54[[#This Row],[Loan Count (in M)]]/SUM(Portfolio_Num[Sub Prime])</f>
        <v>4.7048192297726432</v>
      </c>
    </row>
    <row r="110" spans="1:13" hidden="1" x14ac:dyDescent="0.2">
      <c r="C110" s="10">
        <v>0</v>
      </c>
      <c r="D110" s="10">
        <v>157.42304000000001</v>
      </c>
      <c r="E110" s="10">
        <v>55.97786</v>
      </c>
      <c r="F110" s="10">
        <v>44.426340000000003</v>
      </c>
      <c r="G110" s="10">
        <v>46.172500000000007</v>
      </c>
      <c r="H110">
        <v>31.833839999999999</v>
      </c>
      <c r="J110" t="s">
        <v>60</v>
      </c>
      <c r="K110" s="81">
        <v>0.1323</v>
      </c>
      <c r="L110" s="10">
        <f>Table54[[#This Row],[Loan Originations]]*'User Segmentation'!$I$47</f>
        <v>44.426340000000003</v>
      </c>
      <c r="M110" s="10">
        <f>Table54[[#This Row],[Loan Count (in M)]]/SUM(Portfolio_Num[Near Prime])</f>
        <v>4.8331967497937924</v>
      </c>
    </row>
    <row r="111" spans="1:13" hidden="1" x14ac:dyDescent="0.2">
      <c r="C111">
        <v>0</v>
      </c>
      <c r="D111">
        <v>13.144810727969348</v>
      </c>
      <c r="E111">
        <v>4.7048192297726432</v>
      </c>
      <c r="F111">
        <v>4.8331967497937924</v>
      </c>
      <c r="G111">
        <v>4.5082595235220113</v>
      </c>
      <c r="H111">
        <v>3.8575934527067526</v>
      </c>
      <c r="J111" t="s">
        <v>61</v>
      </c>
      <c r="K111" s="81">
        <v>0.13750000000000001</v>
      </c>
      <c r="L111" s="10">
        <f>Table54[[#This Row],[Loan Originations]]*'User Segmentation'!$I$47</f>
        <v>46.172500000000007</v>
      </c>
      <c r="M111" s="10">
        <f>Table54[[#This Row],[Loan Count (in M)]]/SUM(Portfolio_Num[Prime])</f>
        <v>4.5082595235220113</v>
      </c>
    </row>
    <row r="112" spans="1:13" hidden="1" x14ac:dyDescent="0.2">
      <c r="J112" t="s">
        <v>62</v>
      </c>
      <c r="K112" s="81">
        <v>9.4799999999999995E-2</v>
      </c>
      <c r="L112" s="10">
        <f>Table54[[#This Row],[Loan Originations]]*'User Segmentation'!$I$47</f>
        <v>31.833839999999999</v>
      </c>
      <c r="M112" s="10">
        <f>Table54[[#This Row],[Loan Count (in M)]]/SUM(Portfolio_Num[Super Prime])</f>
        <v>3.8575934527067526</v>
      </c>
    </row>
    <row r="113" spans="1:13" hidden="1" x14ac:dyDescent="0.2">
      <c r="K113" s="81"/>
      <c r="L113" s="10"/>
      <c r="M113" s="10"/>
    </row>
    <row r="114" spans="1:13" hidden="1" x14ac:dyDescent="0.2">
      <c r="A114" t="s">
        <v>93</v>
      </c>
      <c r="K114" s="81"/>
      <c r="L114" s="10"/>
      <c r="M114" s="10"/>
    </row>
    <row r="115" spans="1:13" hidden="1" x14ac:dyDescent="0.2">
      <c r="A115" s="67" t="s">
        <v>0</v>
      </c>
      <c r="B115" s="71" t="s">
        <v>34</v>
      </c>
      <c r="C115" s="71" t="s">
        <v>58</v>
      </c>
      <c r="D115" s="71" t="s">
        <v>83</v>
      </c>
      <c r="E115" s="71" t="s">
        <v>60</v>
      </c>
      <c r="F115" s="71" t="s">
        <v>61</v>
      </c>
      <c r="G115" s="68" t="s">
        <v>62</v>
      </c>
    </row>
    <row r="116" spans="1:13" hidden="1" x14ac:dyDescent="0.2">
      <c r="A116" s="69" t="s">
        <v>29</v>
      </c>
      <c r="B116" s="73" t="s">
        <v>35</v>
      </c>
      <c r="C116" s="83">
        <f>C79*'User Segmentation'!$I$47</f>
        <v>32.927067996376756</v>
      </c>
      <c r="D116" s="83">
        <f>D79*'User Segmentation'!$I$47</f>
        <v>27.311818040336767</v>
      </c>
      <c r="E116" s="83">
        <f>E79*'User Segmentation'!$I$47</f>
        <v>12.394478345947151</v>
      </c>
      <c r="F116" s="83">
        <f>F79*'User Segmentation'!$I$47</f>
        <v>8.895877519583367</v>
      </c>
      <c r="G116" s="83">
        <f>G79*'User Segmentation'!$I$47</f>
        <v>3.1468390123688321</v>
      </c>
    </row>
    <row r="117" spans="1:13" hidden="1" x14ac:dyDescent="0.2">
      <c r="A117" s="70" t="s">
        <v>29</v>
      </c>
      <c r="B117" s="74" t="s">
        <v>36</v>
      </c>
      <c r="C117" s="83">
        <f>C80*'User Segmentation'!$I$47</f>
        <v>1.8150197944317441</v>
      </c>
      <c r="D117" s="83">
        <f>D80*'User Segmentation'!$I$47</f>
        <v>3.0392152190901549</v>
      </c>
      <c r="E117" s="83">
        <f>E80*'User Segmentation'!$I$47</f>
        <v>4.3270200199066</v>
      </c>
      <c r="F117" s="83">
        <f>F80*'User Segmentation'!$I$47</f>
        <v>4.9125389799784962</v>
      </c>
      <c r="G117" s="83">
        <f>G80*'User Segmentation'!$I$47</f>
        <v>3.1309781520274349</v>
      </c>
    </row>
    <row r="118" spans="1:13" hidden="1" x14ac:dyDescent="0.2">
      <c r="A118" s="69" t="s">
        <v>29</v>
      </c>
      <c r="B118" s="73" t="s">
        <v>37</v>
      </c>
      <c r="C118" s="83">
        <f>C81*'User Segmentation'!$I$47</f>
        <v>8.9707758985116695E-2</v>
      </c>
      <c r="D118" s="83">
        <f>D81*'User Segmentation'!$I$47</f>
        <v>0.30926389415911826</v>
      </c>
      <c r="E118" s="83">
        <f>E81*'User Segmentation'!$I$47</f>
        <v>0.59881900832659496</v>
      </c>
      <c r="F118" s="83">
        <f>F81*'User Segmentation'!$I$47</f>
        <v>1.2558793293440307</v>
      </c>
      <c r="G118" s="83">
        <f>G81*'User Segmentation'!$I$47</f>
        <v>1.832557439813316</v>
      </c>
    </row>
    <row r="119" spans="1:13" hidden="1" x14ac:dyDescent="0.2">
      <c r="A119" s="70" t="s">
        <v>30</v>
      </c>
      <c r="B119" s="74" t="s">
        <v>35</v>
      </c>
      <c r="C119" s="83">
        <f>C82*'User Segmentation'!$I$47</f>
        <v>19.092756694931097</v>
      </c>
      <c r="D119" s="83">
        <f>D82*'User Segmentation'!$I$47</f>
        <v>15.836754635965768</v>
      </c>
      <c r="E119" s="83">
        <f>E82*'User Segmentation'!$I$47</f>
        <v>7.1869368826219535</v>
      </c>
      <c r="F119" s="83">
        <f>F82*'User Segmentation'!$I$47</f>
        <v>5.1582735847601748</v>
      </c>
      <c r="G119" s="83">
        <f>G82*'User Segmentation'!$I$47</f>
        <v>1.8246942493600307</v>
      </c>
    </row>
    <row r="120" spans="1:13" hidden="1" x14ac:dyDescent="0.2">
      <c r="A120" s="69" t="s">
        <v>30</v>
      </c>
      <c r="B120" s="73" t="s">
        <v>36</v>
      </c>
      <c r="C120" s="83">
        <f>C83*'User Segmentation'!$I$47</f>
        <v>4.5605691074586527</v>
      </c>
      <c r="D120" s="83">
        <f>D83*'User Segmentation'!$I$47</f>
        <v>7.6365839544137177</v>
      </c>
      <c r="E120" s="83">
        <f>E83*'User Segmentation'!$I$47</f>
        <v>10.872428989855443</v>
      </c>
      <c r="F120" s="83">
        <f>F83*'User Segmentation'!$I$47</f>
        <v>12.343652438397086</v>
      </c>
      <c r="G120" s="83">
        <f>G83*'User Segmentation'!$I$47</f>
        <v>7.8671551021485469</v>
      </c>
    </row>
    <row r="121" spans="1:13" hidden="1" x14ac:dyDescent="0.2">
      <c r="A121" s="70" t="s">
        <v>30</v>
      </c>
      <c r="B121" s="74" t="s">
        <v>37</v>
      </c>
      <c r="C121" s="83">
        <f>C84*'User Segmentation'!$I$47</f>
        <v>0.67622144218260449</v>
      </c>
      <c r="D121" s="83">
        <f>D84*'User Segmentation'!$I$47</f>
        <v>2.3312462476961886</v>
      </c>
      <c r="E121" s="83">
        <f>E84*'User Segmentation'!$I$47</f>
        <v>4.5139267550329656</v>
      </c>
      <c r="F121" s="83">
        <f>F84*'User Segmentation'!$I$47</f>
        <v>9.4668793525122084</v>
      </c>
      <c r="G121" s="83">
        <f>G84*'User Segmentation'!$I$47</f>
        <v>13.813906944644767</v>
      </c>
    </row>
    <row r="122" spans="1:13" hidden="1" x14ac:dyDescent="0.2">
      <c r="A122" s="69" t="s">
        <v>32</v>
      </c>
      <c r="B122" s="73" t="s">
        <v>35</v>
      </c>
      <c r="C122" s="83">
        <f>C85*'User Segmentation'!$I$47</f>
        <v>6.8343361132940501</v>
      </c>
      <c r="D122" s="83">
        <f>D85*'User Segmentation'!$I$47</f>
        <v>5.6688358761043975</v>
      </c>
      <c r="E122" s="83">
        <f>E85*'User Segmentation'!$I$47</f>
        <v>2.5725956217683548</v>
      </c>
      <c r="F122" s="83">
        <f>F85*'User Segmentation'!$I$47</f>
        <v>1.8464266845204489</v>
      </c>
      <c r="G122" s="83">
        <f>G85*'User Segmentation'!$I$47</f>
        <v>0.65315732051579689</v>
      </c>
    </row>
    <row r="123" spans="1:13" hidden="1" x14ac:dyDescent="0.2">
      <c r="A123" s="70" t="s">
        <v>32</v>
      </c>
      <c r="B123" s="74" t="s">
        <v>36</v>
      </c>
      <c r="C123" s="83">
        <f>C86*'User Segmentation'!$I$47</f>
        <v>2.9928721932724729</v>
      </c>
      <c r="D123" s="83">
        <f>D86*'User Segmentation'!$I$47</f>
        <v>5.0115060708928807</v>
      </c>
      <c r="E123" s="83">
        <f>E86*'User Segmentation'!$I$47</f>
        <v>7.1350284647260773</v>
      </c>
      <c r="F123" s="83">
        <f>F86*'User Segmentation'!$I$47</f>
        <v>8.1005184387798526</v>
      </c>
      <c r="G123" s="83">
        <f>G86*'User Segmentation'!$I$47</f>
        <v>5.1628183217033996</v>
      </c>
    </row>
    <row r="124" spans="1:13" hidden="1" x14ac:dyDescent="0.2">
      <c r="A124" s="69" t="s">
        <v>32</v>
      </c>
      <c r="B124" s="73" t="s">
        <v>37</v>
      </c>
      <c r="C124" s="83">
        <f>C87*'User Segmentation'!$I$47</f>
        <v>0.48411287031372691</v>
      </c>
      <c r="D124" s="83">
        <f>D87*'User Segmentation'!$I$47</f>
        <v>1.6689596661378092</v>
      </c>
      <c r="E124" s="83">
        <f>E87*'User Segmentation'!$I$47</f>
        <v>3.2315598137670989</v>
      </c>
      <c r="F124" s="83">
        <f>F87*'User Segmentation'!$I$47</f>
        <v>6.7774220844964761</v>
      </c>
      <c r="G124" s="83">
        <f>G87*'User Segmentation'!$I$47</f>
        <v>9.8894973215191762</v>
      </c>
    </row>
    <row r="125" spans="1:13" hidden="1" x14ac:dyDescent="0.2">
      <c r="A125" s="70" t="s">
        <v>51</v>
      </c>
      <c r="B125" s="74" t="s">
        <v>35</v>
      </c>
      <c r="C125" s="83">
        <f>C88*'User Segmentation'!$I$47</f>
        <v>6.972532047846606</v>
      </c>
      <c r="D125" s="83">
        <f>D88*'User Segmentation'!$I$47</f>
        <v>5.7834644309100982</v>
      </c>
      <c r="E125" s="83">
        <f>E88*'User Segmentation'!$I$47</f>
        <v>2.6246156351657834</v>
      </c>
      <c r="F125" s="83">
        <f>F88*'User Segmentation'!$I$47</f>
        <v>1.8837629607907558</v>
      </c>
      <c r="G125" s="83">
        <f>G88*'User Segmentation'!$I$47</f>
        <v>0.66636470230419675</v>
      </c>
    </row>
    <row r="126" spans="1:13" hidden="1" x14ac:dyDescent="0.2">
      <c r="A126" s="69" t="s">
        <v>51</v>
      </c>
      <c r="B126" s="73" t="s">
        <v>36</v>
      </c>
      <c r="C126" s="83">
        <f>C89*'User Segmentation'!$I$47</f>
        <v>1.3879047940475786</v>
      </c>
      <c r="D126" s="83">
        <f>D89*'User Segmentation'!$I$47</f>
        <v>2.3240194876432332</v>
      </c>
      <c r="E126" s="83">
        <f>E89*'User Segmentation'!$I$47</f>
        <v>3.3087748398074366</v>
      </c>
      <c r="F126" s="83">
        <f>F89*'User Segmentation'!$I$47</f>
        <v>3.7565080128464463</v>
      </c>
      <c r="G126" s="83">
        <f>G89*'User Segmentation'!$I$47</f>
        <v>2.3941885375512486</v>
      </c>
    </row>
    <row r="127" spans="1:13" ht="17" hidden="1" x14ac:dyDescent="0.2">
      <c r="A127" s="80" t="s">
        <v>51</v>
      </c>
      <c r="B127" s="74" t="s">
        <v>37</v>
      </c>
      <c r="C127" s="83">
        <f>C90*'User Segmentation'!$I$47</f>
        <v>0.16463401112077347</v>
      </c>
      <c r="D127" s="83">
        <f>D90*'User Segmentation'!$I$47</f>
        <v>0.56756913745547122</v>
      </c>
      <c r="E127" s="83">
        <f>E90*'User Segmentation'!$I$47</f>
        <v>1.098968209567329</v>
      </c>
      <c r="F127" s="83">
        <f>F90*'User Segmentation'!$I$47</f>
        <v>2.3048223900886664</v>
      </c>
      <c r="G127" s="83">
        <f>G90*'User Segmentation'!$I$47</f>
        <v>3.3631570483857094</v>
      </c>
    </row>
    <row r="128" spans="1:13" hidden="1" x14ac:dyDescent="0.2"/>
    <row r="129" spans="1:16" hidden="1" x14ac:dyDescent="0.2">
      <c r="C129" s="10">
        <f>SUM(C116:C127)</f>
        <v>77.997734824261187</v>
      </c>
      <c r="D129" s="10">
        <f t="shared" ref="D129:G129" si="22">SUM(D116:D127)</f>
        <v>77.489236660805588</v>
      </c>
      <c r="E129" s="10">
        <f t="shared" si="22"/>
        <v>59.865152586492783</v>
      </c>
      <c r="F129" s="10">
        <f t="shared" si="22"/>
        <v>66.702561776098008</v>
      </c>
      <c r="G129" s="10">
        <f t="shared" si="22"/>
        <v>53.745314152342445</v>
      </c>
    </row>
    <row r="130" spans="1:16" ht="34" customHeight="1" x14ac:dyDescent="0.2">
      <c r="A130" s="9" t="s">
        <v>99</v>
      </c>
      <c r="B130" s="9"/>
      <c r="C130" s="9"/>
      <c r="D130" s="9"/>
      <c r="E130" s="9"/>
      <c r="F130" s="9"/>
      <c r="G130" s="9"/>
      <c r="J130" s="9" t="s">
        <v>99</v>
      </c>
      <c r="K130" s="9"/>
      <c r="L130" s="9"/>
      <c r="M130" s="9"/>
      <c r="N130" s="9"/>
      <c r="O130" s="9"/>
      <c r="P130" s="9"/>
    </row>
    <row r="131" spans="1:16" x14ac:dyDescent="0.2">
      <c r="A131" s="75" t="s">
        <v>0</v>
      </c>
      <c r="B131" s="75" t="s">
        <v>34</v>
      </c>
      <c r="C131" s="75" t="s">
        <v>58</v>
      </c>
      <c r="D131" s="75" t="s">
        <v>83</v>
      </c>
      <c r="E131" s="75" t="s">
        <v>60</v>
      </c>
      <c r="F131" s="75" t="s">
        <v>61</v>
      </c>
      <c r="G131" s="76" t="s">
        <v>62</v>
      </c>
      <c r="J131" s="67" t="s">
        <v>0</v>
      </c>
      <c r="K131" s="71" t="s">
        <v>34</v>
      </c>
      <c r="L131" s="71" t="s">
        <v>58</v>
      </c>
      <c r="M131" s="71" t="s">
        <v>83</v>
      </c>
      <c r="N131" s="71" t="s">
        <v>60</v>
      </c>
      <c r="O131" s="71" t="s">
        <v>61</v>
      </c>
      <c r="P131" s="68" t="s">
        <v>62</v>
      </c>
    </row>
    <row r="132" spans="1:16" x14ac:dyDescent="0.2">
      <c r="A132" s="85" t="s">
        <v>29</v>
      </c>
      <c r="B132" s="85" t="s">
        <v>35</v>
      </c>
      <c r="C132" s="86">
        <f t="shared" ref="C132:G143" si="23">C64*B$146</f>
        <v>66.490434711700573</v>
      </c>
      <c r="D132" s="86">
        <f t="shared" si="23"/>
        <v>19.726584995350581</v>
      </c>
      <c r="E132" s="86">
        <f t="shared" si="23"/>
        <v>9.1999452987435308</v>
      </c>
      <c r="F132" s="86">
        <f t="shared" si="23"/>
        <v>6.1589147902727532</v>
      </c>
      <c r="G132" s="86">
        <f t="shared" si="23"/>
        <v>1.8644106439018384</v>
      </c>
      <c r="I132" s="65"/>
      <c r="J132" s="69" t="s">
        <v>29</v>
      </c>
      <c r="K132" s="73" t="s">
        <v>35</v>
      </c>
      <c r="L132" s="65">
        <f>Portfolio_Loans[[#This Row],[Deep Subprime]]/SUM(Portfolio_Loans[[Deep Subprime]:[Super Prime]])</f>
        <v>0.19792962668108063</v>
      </c>
      <c r="M132" s="65">
        <f>Portfolio_Loans[[#This Row],[Sub Prime]]/SUM(Portfolio_Loans[[Deep Subprime]:[Super Prime]])</f>
        <v>5.8722365416198158E-2</v>
      </c>
      <c r="N132" s="65">
        <f>Portfolio_Loans[[#This Row],[Near Prime]]/SUM(Portfolio_Loans[[Deep Subprime]:[Super Prime]])</f>
        <v>2.7386521781098114E-2</v>
      </c>
      <c r="O132" s="65">
        <f>Portfolio_Loans[[#This Row],[Prime]]/SUM(Portfolio_Loans[[Deep Subprime]:[Super Prime]])</f>
        <v>1.8333940971884705E-2</v>
      </c>
      <c r="P132" s="65">
        <f>Portfolio_Loans[[#This Row],[Super Prime]]/SUM(Portfolio_Loans[[Deep Subprime]:[Super Prime]])</f>
        <v>5.5500028587237649E-3</v>
      </c>
    </row>
    <row r="133" spans="1:16" x14ac:dyDescent="0.2">
      <c r="A133" s="88" t="s">
        <v>29</v>
      </c>
      <c r="B133" s="88" t="s">
        <v>36</v>
      </c>
      <c r="C133" s="86">
        <f t="shared" si="23"/>
        <v>3.6651139164710225</v>
      </c>
      <c r="D133" s="86">
        <f t="shared" si="23"/>
        <v>2.1951426759654016</v>
      </c>
      <c r="E133" s="86">
        <f t="shared" si="23"/>
        <v>3.2117807929145901</v>
      </c>
      <c r="F133" s="86">
        <f t="shared" si="23"/>
        <v>3.4011157319753655</v>
      </c>
      <c r="G133" s="86">
        <f t="shared" si="23"/>
        <v>1.8550135451860448</v>
      </c>
      <c r="J133" s="70" t="s">
        <v>29</v>
      </c>
      <c r="K133" s="74" t="s">
        <v>36</v>
      </c>
      <c r="L133" s="65">
        <f>Portfolio_Loans[[#This Row],[Deep Subprime]]/SUM(Portfolio_Loans[[Deep Subprime]:[Super Prime]])</f>
        <v>1.0910360751530556E-2</v>
      </c>
      <c r="M133" s="65">
        <f>Portfolio_Loans[[#This Row],[Sub Prime]]/SUM(Portfolio_Loans[[Deep Subprime]:[Super Prime]])</f>
        <v>6.5345304516272401E-3</v>
      </c>
      <c r="N133" s="65">
        <f>Portfolio_Loans[[#This Row],[Near Prime]]/SUM(Portfolio_Loans[[Deep Subprime]:[Super Prime]])</f>
        <v>9.5608725688054834E-3</v>
      </c>
      <c r="O133" s="65">
        <f>Portfolio_Loans[[#This Row],[Prime]]/SUM(Portfolio_Loans[[Deep Subprime]:[Super Prime]])</f>
        <v>1.0124487379995608E-2</v>
      </c>
      <c r="P133" s="65">
        <f>Portfolio_Loans[[#This Row],[Super Prime]]/SUM(Portfolio_Loans[[Deep Subprime]:[Super Prime]])</f>
        <v>5.5220294479802947E-3</v>
      </c>
    </row>
    <row r="134" spans="1:16" x14ac:dyDescent="0.2">
      <c r="A134" s="85" t="s">
        <v>29</v>
      </c>
      <c r="B134" s="85" t="s">
        <v>37</v>
      </c>
      <c r="C134" s="86">
        <f t="shared" si="23"/>
        <v>0.18114907445112388</v>
      </c>
      <c r="D134" s="86">
        <f t="shared" si="23"/>
        <v>0.22337291809402113</v>
      </c>
      <c r="E134" s="86">
        <f t="shared" si="23"/>
        <v>0.44448035380641343</v>
      </c>
      <c r="F134" s="86">
        <f t="shared" si="23"/>
        <v>0.86948744058888916</v>
      </c>
      <c r="G134" s="86">
        <f t="shared" si="23"/>
        <v>1.0857370151190291</v>
      </c>
      <c r="J134" s="69" t="s">
        <v>29</v>
      </c>
      <c r="K134" s="73" t="s">
        <v>37</v>
      </c>
      <c r="L134" s="65">
        <f>Portfolio_Loans[[#This Row],[Deep Subprime]]/SUM(Portfolio_Loans[[Deep Subprime]:[Super Prime]])</f>
        <v>5.3924701854031845E-4</v>
      </c>
      <c r="M134" s="65">
        <f>Portfolio_Loans[[#This Row],[Sub Prime]]/SUM(Portfolio_Loans[[Deep Subprime]:[Super Prime]])</f>
        <v>6.6493952823011137E-4</v>
      </c>
      <c r="N134" s="65">
        <f>Portfolio_Loans[[#This Row],[Near Prime]]/SUM(Portfolio_Loans[[Deep Subprime]:[Super Prime]])</f>
        <v>1.3231351378200059E-3</v>
      </c>
      <c r="O134" s="65">
        <f>Portfolio_Loans[[#This Row],[Prime]]/SUM(Portfolio_Loans[[Deep Subprime]:[Super Prime]])</f>
        <v>2.5883019905923775E-3</v>
      </c>
      <c r="P134" s="65">
        <f>Portfolio_Loans[[#This Row],[Super Prime]]/SUM(Portfolio_Loans[[Deep Subprime]:[Super Prime]])</f>
        <v>3.2320366532138725E-3</v>
      </c>
    </row>
    <row r="135" spans="1:16" x14ac:dyDescent="0.2">
      <c r="A135" s="88" t="s">
        <v>30</v>
      </c>
      <c r="B135" s="88" t="s">
        <v>35</v>
      </c>
      <c r="C135" s="86">
        <f t="shared" si="23"/>
        <v>38.554471130876038</v>
      </c>
      <c r="D135" s="86">
        <f t="shared" si="23"/>
        <v>11.438458103210143</v>
      </c>
      <c r="E135" s="86">
        <f t="shared" si="23"/>
        <v>5.3345872524973661</v>
      </c>
      <c r="F135" s="86">
        <f t="shared" si="23"/>
        <v>3.5712460522883402</v>
      </c>
      <c r="G135" s="86">
        <f t="shared" si="23"/>
        <v>1.0810783033392051</v>
      </c>
      <c r="J135" s="70" t="s">
        <v>30</v>
      </c>
      <c r="K135" s="74" t="s">
        <v>35</v>
      </c>
      <c r="L135" s="65">
        <f>Portfolio_Loans[[#This Row],[Deep Subprime]]/SUM(Portfolio_Loans[[Deep Subprime]:[Super Prime]])</f>
        <v>0.11476947189334477</v>
      </c>
      <c r="M135" s="65">
        <f>Portfolio_Loans[[#This Row],[Sub Prime]]/SUM(Portfolio_Loans[[Deep Subprime]:[Super Prime]])</f>
        <v>3.4050157018708123E-2</v>
      </c>
      <c r="N135" s="65">
        <f>Portfolio_Loans[[#This Row],[Near Prime]]/SUM(Portfolio_Loans[[Deep Subprime]:[Super Prime]])</f>
        <v>1.5880071591690907E-2</v>
      </c>
      <c r="O135" s="65">
        <f>Portfolio_Loans[[#This Row],[Prime]]/SUM(Portfolio_Loans[[Deep Subprime]:[Super Prime]])</f>
        <v>1.0630933621965419E-2</v>
      </c>
      <c r="P135" s="65">
        <f>Portfolio_Loans[[#This Row],[Super Prime]]/SUM(Portfolio_Loans[[Deep Subprime]:[Super Prime]])</f>
        <v>3.2181685368841556E-3</v>
      </c>
    </row>
    <row r="136" spans="1:16" x14ac:dyDescent="0.2">
      <c r="A136" s="85" t="s">
        <v>30</v>
      </c>
      <c r="B136" s="85" t="s">
        <v>36</v>
      </c>
      <c r="C136" s="86">
        <f t="shared" si="23"/>
        <v>9.2092688763252628</v>
      </c>
      <c r="D136" s="86">
        <f t="shared" si="23"/>
        <v>5.5156973522739223</v>
      </c>
      <c r="E136" s="86">
        <f t="shared" si="23"/>
        <v>8.0701865120326506</v>
      </c>
      <c r="F136" s="86">
        <f t="shared" si="23"/>
        <v>8.5459251660639612</v>
      </c>
      <c r="G136" s="86">
        <f t="shared" si="23"/>
        <v>4.6610607190328226</v>
      </c>
      <c r="I136" s="64"/>
      <c r="J136" s="69" t="s">
        <v>30</v>
      </c>
      <c r="K136" s="73" t="s">
        <v>36</v>
      </c>
      <c r="L136" s="65">
        <f>Portfolio_Loans[[#This Row],[Deep Subprime]]/SUM(Portfolio_Loans[[Deep Subprime]:[Super Prime]])</f>
        <v>2.7414276333133845E-2</v>
      </c>
      <c r="M136" s="65">
        <f>Portfolio_Loans[[#This Row],[Sub Prime]]/SUM(Portfolio_Loans[[Deep Subprime]:[Super Prime]])</f>
        <v>1.6419202589892049E-2</v>
      </c>
      <c r="N136" s="65">
        <f>Portfolio_Loans[[#This Row],[Near Prime]]/SUM(Portfolio_Loans[[Deep Subprime]:[Super Prime]])</f>
        <v>2.4023440521922571E-2</v>
      </c>
      <c r="O136" s="65">
        <f>Portfolio_Loans[[#This Row],[Prime]]/SUM(Portfolio_Loans[[Deep Subprime]:[Super Prime]])</f>
        <v>2.5439625791254358E-2</v>
      </c>
      <c r="P136" s="65">
        <f>Portfolio_Loans[[#This Row],[Super Prime]]/SUM(Portfolio_Loans[[Deep Subprime]:[Super Prime]])</f>
        <v>1.3875108683770856E-2</v>
      </c>
    </row>
    <row r="137" spans="1:16" x14ac:dyDescent="0.2">
      <c r="A137" s="88" t="s">
        <v>30</v>
      </c>
      <c r="B137" s="88" t="s">
        <v>37</v>
      </c>
      <c r="C137" s="86">
        <f t="shared" si="23"/>
        <v>1.3655105172753932</v>
      </c>
      <c r="D137" s="86">
        <f t="shared" si="23"/>
        <v>1.683795900454232</v>
      </c>
      <c r="E137" s="86">
        <f t="shared" si="23"/>
        <v>3.3505144847356401</v>
      </c>
      <c r="F137" s="86">
        <f t="shared" si="23"/>
        <v>6.5542385372956318</v>
      </c>
      <c r="G137" s="86">
        <f t="shared" si="23"/>
        <v>8.1843383281554996</v>
      </c>
      <c r="J137" s="70" t="s">
        <v>30</v>
      </c>
      <c r="K137" s="74" t="s">
        <v>37</v>
      </c>
      <c r="L137" s="65">
        <f>Portfolio_Loans[[#This Row],[Deep Subprime]]/SUM(Portfolio_Loans[[Deep Subprime]:[Super Prime]])</f>
        <v>4.0648702040422448E-3</v>
      </c>
      <c r="M137" s="65">
        <f>Portfolio_Loans[[#This Row],[Sub Prime]]/SUM(Portfolio_Loans[[Deep Subprime]:[Super Prime]])</f>
        <v>5.0123464439523783E-3</v>
      </c>
      <c r="N137" s="65">
        <f>Portfolio_Loans[[#This Row],[Near Prime]]/SUM(Portfolio_Loans[[Deep Subprime]:[Super Prime]])</f>
        <v>9.9738569018045335E-3</v>
      </c>
      <c r="O137" s="65">
        <f>Portfolio_Loans[[#This Row],[Prime]]/SUM(Portfolio_Loans[[Deep Subprime]:[Super Prime]])</f>
        <v>1.9510746056791678E-2</v>
      </c>
      <c r="P137" s="65">
        <f>Portfolio_Loans[[#This Row],[Super Prime]]/SUM(Portfolio_Loans[[Deep Subprime]:[Super Prime]])</f>
        <v>2.4363249194374926E-2</v>
      </c>
    </row>
    <row r="138" spans="1:16" x14ac:dyDescent="0.2">
      <c r="A138" s="85" t="s">
        <v>32</v>
      </c>
      <c r="B138" s="85" t="s">
        <v>35</v>
      </c>
      <c r="C138" s="86">
        <f t="shared" si="23"/>
        <v>13.80074227042623</v>
      </c>
      <c r="D138" s="86">
        <f t="shared" si="23"/>
        <v>4.0944463151266373</v>
      </c>
      <c r="E138" s="86">
        <f t="shared" si="23"/>
        <v>1.9095389362469646</v>
      </c>
      <c r="F138" s="86">
        <f t="shared" si="23"/>
        <v>1.2783432091340075</v>
      </c>
      <c r="G138" s="86">
        <f t="shared" si="23"/>
        <v>0.38697672671706634</v>
      </c>
      <c r="J138" s="69" t="s">
        <v>32</v>
      </c>
      <c r="K138" s="73" t="s">
        <v>35</v>
      </c>
      <c r="L138" s="65">
        <f>Portfolio_Loans[[#This Row],[Deep Subprime]]/SUM(Portfolio_Loans[[Deep Subprime]:[Super Prime]])</f>
        <v>4.1082236525468031E-2</v>
      </c>
      <c r="M138" s="65">
        <f>Portfolio_Loans[[#This Row],[Sub Prime]]/SUM(Portfolio_Loans[[Deep Subprime]:[Super Prime]])</f>
        <v>1.2188403251274431E-2</v>
      </c>
      <c r="N138" s="65">
        <f>Portfolio_Loans[[#This Row],[Near Prime]]/SUM(Portfolio_Loans[[Deep Subprime]:[Super Prime]])</f>
        <v>5.6843413706519127E-3</v>
      </c>
      <c r="O138" s="65">
        <f>Portfolio_Loans[[#This Row],[Prime]]/SUM(Portfolio_Loans[[Deep Subprime]:[Super Prime]])</f>
        <v>3.80538938046172E-3</v>
      </c>
      <c r="P138" s="65">
        <f>Portfolio_Loans[[#This Row],[Super Prime]]/SUM(Portfolio_Loans[[Deep Subprime]:[Super Prime]])</f>
        <v>1.1519575617979368E-3</v>
      </c>
    </row>
    <row r="139" spans="1:16" x14ac:dyDescent="0.2">
      <c r="A139" s="88" t="s">
        <v>32</v>
      </c>
      <c r="B139" s="88" t="s">
        <v>36</v>
      </c>
      <c r="C139" s="86">
        <f t="shared" si="23"/>
        <v>6.0435801082909908</v>
      </c>
      <c r="D139" s="86">
        <f t="shared" si="23"/>
        <v>3.6196748351273382</v>
      </c>
      <c r="E139" s="86">
        <f t="shared" si="23"/>
        <v>5.2960576272999873</v>
      </c>
      <c r="F139" s="86">
        <f t="shared" si="23"/>
        <v>5.6082609851192018</v>
      </c>
      <c r="G139" s="86">
        <f t="shared" si="23"/>
        <v>3.0588197850863095</v>
      </c>
      <c r="J139" s="70" t="s">
        <v>32</v>
      </c>
      <c r="K139" s="74" t="s">
        <v>36</v>
      </c>
      <c r="L139" s="65">
        <f>Portfolio_Loans[[#This Row],[Deep Subprime]]/SUM(Portfolio_Loans[[Deep Subprime]:[Super Prime]])</f>
        <v>1.7990611128321291E-2</v>
      </c>
      <c r="M139" s="65">
        <f>Portfolio_Loans[[#This Row],[Sub Prime]]/SUM(Portfolio_Loans[[Deep Subprime]:[Super Prime]])</f>
        <v>1.0775097078701779E-2</v>
      </c>
      <c r="N139" s="65">
        <f>Portfolio_Loans[[#This Row],[Near Prime]]/SUM(Portfolio_Loans[[Deep Subprime]:[Super Prime]])</f>
        <v>1.5765376081508943E-2</v>
      </c>
      <c r="O139" s="65">
        <f>Portfolio_Loans[[#This Row],[Prime]]/SUM(Portfolio_Loans[[Deep Subprime]:[Super Prime]])</f>
        <v>1.6694747265945834E-2</v>
      </c>
      <c r="P139" s="65">
        <f>Portfolio_Loans[[#This Row],[Super Prime]]/SUM(Portfolio_Loans[[Deep Subprime]:[Super Prime]])</f>
        <v>9.1055361688031876E-3</v>
      </c>
    </row>
    <row r="140" spans="1:16" x14ac:dyDescent="0.2">
      <c r="A140" s="85" t="s">
        <v>32</v>
      </c>
      <c r="B140" s="85" t="s">
        <v>37</v>
      </c>
      <c r="C140" s="86">
        <f t="shared" si="23"/>
        <v>0.97758097381251308</v>
      </c>
      <c r="D140" s="86">
        <f t="shared" si="23"/>
        <v>1.2054442754142438</v>
      </c>
      <c r="E140" s="86">
        <f t="shared" si="23"/>
        <v>2.3986627501750855</v>
      </c>
      <c r="F140" s="86">
        <f t="shared" si="23"/>
        <v>4.692236940564519</v>
      </c>
      <c r="G140" s="86">
        <f t="shared" si="23"/>
        <v>5.859239699459402</v>
      </c>
      <c r="J140" s="69" t="s">
        <v>32</v>
      </c>
      <c r="K140" s="73" t="s">
        <v>37</v>
      </c>
      <c r="L140" s="65">
        <f>Portfolio_Loans[[#This Row],[Deep Subprime]]/SUM(Portfolio_Loans[[Deep Subprime]:[Super Prime]])</f>
        <v>2.9100762844492039E-3</v>
      </c>
      <c r="M140" s="65">
        <f>Portfolio_Loans[[#This Row],[Sub Prime]]/SUM(Portfolio_Loans[[Deep Subprime]:[Super Prime]])</f>
        <v>3.5883828471285494E-3</v>
      </c>
      <c r="N140" s="65">
        <f>Portfolio_Loans[[#This Row],[Near Prime]]/SUM(Portfolio_Loans[[Deep Subprime]:[Super Prime]])</f>
        <v>7.1403717652702061E-3</v>
      </c>
      <c r="O140" s="65">
        <f>Portfolio_Loans[[#This Row],[Prime]]/SUM(Portfolio_Loans[[Deep Subprime]:[Super Prime]])</f>
        <v>1.3967914482316936E-2</v>
      </c>
      <c r="P140" s="65">
        <f>Portfolio_Loans[[#This Row],[Super Prime]]/SUM(Portfolio_Loans[[Deep Subprime]:[Super Prime]])</f>
        <v>1.7441864102369701E-2</v>
      </c>
    </row>
    <row r="141" spans="1:16" x14ac:dyDescent="0.2">
      <c r="A141" s="88" t="s">
        <v>51</v>
      </c>
      <c r="B141" s="88" t="s">
        <v>35</v>
      </c>
      <c r="C141" s="86">
        <f t="shared" si="23"/>
        <v>14.079804705162307</v>
      </c>
      <c r="D141" s="86">
        <f t="shared" si="23"/>
        <v>4.1772394095273553</v>
      </c>
      <c r="E141" s="86">
        <f t="shared" si="23"/>
        <v>1.9481513944996143</v>
      </c>
      <c r="F141" s="86">
        <f t="shared" si="23"/>
        <v>1.3041923671994922</v>
      </c>
      <c r="G141" s="86">
        <f t="shared" si="23"/>
        <v>0.39480171652035212</v>
      </c>
      <c r="J141" s="70" t="s">
        <v>51</v>
      </c>
      <c r="K141" s="74" t="s">
        <v>35</v>
      </c>
      <c r="L141" s="65">
        <f>Portfolio_Loans[[#This Row],[Deep Subprime]]/SUM(Portfolio_Loans[[Deep Subprime]:[Super Prime]])</f>
        <v>4.1912953361168091E-2</v>
      </c>
      <c r="M141" s="65">
        <f>Portfolio_Loans[[#This Row],[Sub Prime]]/SUM(Portfolio_Loans[[Deep Subprime]:[Super Prime]])</f>
        <v>1.2434862856141803E-2</v>
      </c>
      <c r="N141" s="65">
        <f>Portfolio_Loans[[#This Row],[Near Prime]]/SUM(Portfolio_Loans[[Deep Subprime]:[Super Prime]])</f>
        <v>5.7992834593948049E-3</v>
      </c>
      <c r="O141" s="65">
        <f>Portfolio_Loans[[#This Row],[Prime]]/SUM(Portfolio_Loans[[Deep Subprime]:[Super Prime]])</f>
        <v>3.8823375043250353E-3</v>
      </c>
      <c r="P141" s="65">
        <f>Portfolio_Loans[[#This Row],[Super Prime]]/SUM(Portfolio_Loans[[Deep Subprime]:[Super Prime]])</f>
        <v>1.1752510974360048E-3</v>
      </c>
    </row>
    <row r="142" spans="1:16" x14ac:dyDescent="0.2">
      <c r="A142" s="85" t="s">
        <v>51</v>
      </c>
      <c r="B142" s="85" t="s">
        <v>36</v>
      </c>
      <c r="C142" s="86">
        <f t="shared" si="23"/>
        <v>2.8026301371513358</v>
      </c>
      <c r="D142" s="86">
        <f t="shared" si="23"/>
        <v>1.6785762077843744</v>
      </c>
      <c r="E142" s="86">
        <f t="shared" si="23"/>
        <v>2.4559764987641453</v>
      </c>
      <c r="F142" s="86">
        <f t="shared" si="23"/>
        <v>2.600756666126137</v>
      </c>
      <c r="G142" s="86">
        <f t="shared" si="23"/>
        <v>1.4184871152840344</v>
      </c>
      <c r="J142" s="69" t="s">
        <v>51</v>
      </c>
      <c r="K142" s="73" t="s">
        <v>36</v>
      </c>
      <c r="L142" s="65">
        <f>Portfolio_Loans[[#This Row],[Deep Subprime]]/SUM(Portfolio_Loans[[Deep Subprime]:[Super Prime]])</f>
        <v>8.3429073546708657E-3</v>
      </c>
      <c r="M142" s="65">
        <f>Portfolio_Loans[[#This Row],[Sub Prime]]/SUM(Portfolio_Loans[[Deep Subprime]:[Super Prime]])</f>
        <v>4.9968083921105681E-3</v>
      </c>
      <c r="N142" s="65">
        <f>Portfolio_Loans[[#This Row],[Near Prime]]/SUM(Portfolio_Loans[[Deep Subprime]:[Super Prime]])</f>
        <v>7.3109841084006639E-3</v>
      </c>
      <c r="O142" s="65">
        <f>Portfolio_Loans[[#This Row],[Prime]]/SUM(Portfolio_Loans[[Deep Subprime]:[Super Prime]])</f>
        <v>7.7419676716911686E-3</v>
      </c>
      <c r="P142" s="65">
        <f>Portfolio_Loans[[#This Row],[Super Prime]]/SUM(Portfolio_Loans[[Deep Subprime]:[Super Prime]])</f>
        <v>4.2225716585770103E-3</v>
      </c>
    </row>
    <row r="143" spans="1:16" ht="17" x14ac:dyDescent="0.2">
      <c r="A143" s="90" t="s">
        <v>51</v>
      </c>
      <c r="B143" s="88" t="s">
        <v>37</v>
      </c>
      <c r="C143" s="86">
        <f t="shared" si="23"/>
        <v>0.33244949015672209</v>
      </c>
      <c r="D143" s="86">
        <f t="shared" si="23"/>
        <v>0.40993978556160288</v>
      </c>
      <c r="E143" s="86">
        <f t="shared" si="23"/>
        <v>0.81572189896830472</v>
      </c>
      <c r="F143" s="86">
        <f t="shared" si="23"/>
        <v>1.5957059521131658</v>
      </c>
      <c r="G143" s="86">
        <f t="shared" si="23"/>
        <v>1.9925727924046983</v>
      </c>
      <c r="J143" s="80" t="s">
        <v>51</v>
      </c>
      <c r="K143" s="74" t="s">
        <v>37</v>
      </c>
      <c r="L143" s="65">
        <f>Portfolio_Loans[[#This Row],[Deep Subprime]]/SUM(Portfolio_Loans[[Deep Subprime]:[Super Prime]])</f>
        <v>9.8964014541863478E-4</v>
      </c>
      <c r="M143" s="65">
        <f>Portfolio_Loans[[#This Row],[Sub Prime]]/SUM(Portfolio_Loans[[Deep Subprime]:[Super Prime]])</f>
        <v>1.2203143064073235E-3</v>
      </c>
      <c r="N143" s="65">
        <f>Portfolio_Loans[[#This Row],[Near Prime]]/SUM(Portfolio_Loans[[Deep Subprime]:[Super Prime]])</f>
        <v>2.4282519980271203E-3</v>
      </c>
      <c r="O143" s="65">
        <f>Portfolio_Loans[[#This Row],[Prime]]/SUM(Portfolio_Loans[[Deep Subprime]:[Super Prime]])</f>
        <v>4.7501190925280283E-3</v>
      </c>
      <c r="P143" s="65">
        <f>Portfolio_Loans[[#This Row],[Super Prime]]/SUM(Portfolio_Loans[[Deep Subprime]:[Super Prime]])</f>
        <v>5.9315176783787541E-3</v>
      </c>
    </row>
    <row r="145" spans="1:15" x14ac:dyDescent="0.2">
      <c r="A145" t="s">
        <v>57</v>
      </c>
      <c r="B145" t="s">
        <v>58</v>
      </c>
      <c r="C145" t="s">
        <v>83</v>
      </c>
      <c r="D145" t="s">
        <v>60</v>
      </c>
      <c r="E145" t="s">
        <v>61</v>
      </c>
      <c r="F145" t="s">
        <v>62</v>
      </c>
    </row>
    <row r="146" spans="1:15" x14ac:dyDescent="0.2">
      <c r="A146" t="s">
        <v>136</v>
      </c>
      <c r="B146" s="10">
        <v>13.151465329991648</v>
      </c>
      <c r="C146" s="10">
        <v>4.7040218487394947</v>
      </c>
      <c r="D146" s="10">
        <v>4.8342045701849843</v>
      </c>
      <c r="E146" s="10">
        <v>4.5090332031250009</v>
      </c>
      <c r="F146" s="10">
        <v>3.8586472727272731</v>
      </c>
    </row>
    <row r="147" spans="1:15" x14ac:dyDescent="0.2">
      <c r="J147" s="91"/>
      <c r="K147" s="91"/>
      <c r="L147" s="91"/>
      <c r="M147" s="91"/>
      <c r="N147" s="91"/>
      <c r="O147" s="91"/>
    </row>
    <row r="148" spans="1:15" x14ac:dyDescent="0.2">
      <c r="J148" s="92"/>
      <c r="K148" s="93"/>
      <c r="L148" s="93"/>
      <c r="M148" s="93"/>
      <c r="N148" s="93"/>
      <c r="O148" s="93"/>
    </row>
    <row r="149" spans="1:15" x14ac:dyDescent="0.2">
      <c r="J149" s="92"/>
      <c r="K149" s="93"/>
      <c r="L149" s="93"/>
      <c r="M149" s="93"/>
      <c r="N149" s="93"/>
      <c r="O149" s="93"/>
    </row>
    <row r="150" spans="1:15" x14ac:dyDescent="0.2">
      <c r="J150" s="92"/>
      <c r="K150" s="93"/>
      <c r="L150" s="93"/>
      <c r="M150" s="93"/>
      <c r="N150" s="93"/>
      <c r="O150" s="93"/>
    </row>
    <row r="151" spans="1:15" x14ac:dyDescent="0.2">
      <c r="J151" s="92"/>
      <c r="K151" s="93"/>
      <c r="L151" s="93"/>
      <c r="M151" s="93"/>
      <c r="N151" s="93"/>
      <c r="O151" s="93"/>
    </row>
    <row r="152" spans="1:15" x14ac:dyDescent="0.2">
      <c r="J152" s="92"/>
      <c r="K152" s="93"/>
      <c r="L152" s="93"/>
      <c r="M152" s="93"/>
      <c r="N152" s="93"/>
      <c r="O152" s="93"/>
    </row>
    <row r="153" spans="1:15" x14ac:dyDescent="0.2">
      <c r="J153" s="92"/>
      <c r="K153" s="93"/>
      <c r="L153" s="93"/>
      <c r="M153" s="93"/>
      <c r="N153" s="93"/>
      <c r="O153" s="93"/>
    </row>
    <row r="154" spans="1:15" x14ac:dyDescent="0.2">
      <c r="J154" s="92"/>
      <c r="K154" s="93"/>
      <c r="L154" s="93"/>
      <c r="M154" s="93"/>
      <c r="N154" s="93"/>
      <c r="O154" s="93"/>
    </row>
    <row r="155" spans="1:15" x14ac:dyDescent="0.2">
      <c r="J155" s="92"/>
      <c r="K155" s="93"/>
      <c r="L155" s="93"/>
      <c r="M155" s="93"/>
      <c r="N155" s="93"/>
      <c r="O155" s="93"/>
    </row>
    <row r="156" spans="1:15" x14ac:dyDescent="0.2">
      <c r="J156" s="92"/>
      <c r="K156" s="93"/>
      <c r="L156" s="93"/>
      <c r="M156" s="93"/>
      <c r="N156" s="93"/>
      <c r="O156" s="93"/>
    </row>
    <row r="157" spans="1:15" x14ac:dyDescent="0.2">
      <c r="J157" s="92"/>
      <c r="K157" s="93"/>
      <c r="L157" s="93"/>
      <c r="M157" s="93"/>
      <c r="N157" s="93"/>
      <c r="O157" s="93"/>
    </row>
    <row r="158" spans="1:15" x14ac:dyDescent="0.2">
      <c r="J158" s="92"/>
      <c r="K158" s="93"/>
      <c r="L158" s="93"/>
      <c r="M158" s="93"/>
      <c r="N158" s="93"/>
      <c r="O158" s="93"/>
    </row>
    <row r="159" spans="1:15" x14ac:dyDescent="0.2">
      <c r="J159" s="92"/>
      <c r="K159" s="93"/>
      <c r="L159" s="93"/>
      <c r="M159" s="93"/>
      <c r="N159" s="93"/>
      <c r="O159" s="93"/>
    </row>
  </sheetData>
  <phoneticPr fontId="10" type="noConversion"/>
  <conditionalFormatting sqref="C79:G90">
    <cfRule type="colorScale" priority="7">
      <colorScale>
        <cfvo type="min"/>
        <cfvo type="percentile" val="50"/>
        <cfvo type="max"/>
        <color rgb="FF6BC17C"/>
        <color rgb="FFFFEB84"/>
        <color rgb="FFC25353"/>
      </colorScale>
    </cfRule>
  </conditionalFormatting>
  <conditionalFormatting sqref="C94:G105">
    <cfRule type="colorScale" priority="2">
      <colorScale>
        <cfvo type="min"/>
        <cfvo type="percentile" val="50"/>
        <cfvo type="max"/>
        <color rgb="FF6BC17C"/>
        <color rgb="FFFFEB84"/>
        <color rgb="FFC25353"/>
      </colorScale>
    </cfRule>
  </conditionalFormatting>
  <conditionalFormatting sqref="C132:G1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9:E90">
    <cfRule type="colorScale" priority="5">
      <colorScale>
        <cfvo type="min"/>
        <cfvo type="percentile" val="50"/>
        <cfvo type="max"/>
        <color rgb="FFE7AE71"/>
        <color rgb="FFFFEB84"/>
        <color rgb="FFFFFF00"/>
      </colorScale>
    </cfRule>
  </conditionalFormatting>
  <conditionalFormatting sqref="F79:F9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9:G9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5833-39E9-714A-BCDD-C8687347EA01}">
  <sheetPr codeName="Sheet4">
    <tabColor theme="1" tint="0.249977111117893"/>
  </sheetPr>
  <dimension ref="A1:O77"/>
  <sheetViews>
    <sheetView topLeftCell="A16" zoomScale="84" zoomScaleNormal="125" workbookViewId="0">
      <selection activeCell="D33" sqref="D33"/>
    </sheetView>
  </sheetViews>
  <sheetFormatPr baseColWidth="10" defaultRowHeight="16" x14ac:dyDescent="0.2"/>
  <cols>
    <col min="1" max="1" width="30.1640625" bestFit="1" customWidth="1"/>
    <col min="2" max="2" width="18.1640625" customWidth="1"/>
    <col min="3" max="3" width="19.33203125" bestFit="1" customWidth="1"/>
    <col min="4" max="4" width="14.5" bestFit="1" customWidth="1"/>
    <col min="5" max="5" width="15.1640625" bestFit="1" customWidth="1"/>
    <col min="6" max="6" width="10.1640625" bestFit="1" customWidth="1"/>
    <col min="7" max="7" width="16.5" bestFit="1" customWidth="1"/>
    <col min="9" max="9" width="24.6640625" bestFit="1" customWidth="1"/>
    <col min="10" max="10" width="19.33203125" bestFit="1" customWidth="1"/>
    <col min="11" max="11" width="19" bestFit="1" customWidth="1"/>
    <col min="12" max="12" width="14.1640625" bestFit="1" customWidth="1"/>
    <col min="13" max="13" width="14.83203125" bestFit="1" customWidth="1"/>
    <col min="14" max="14" width="9.83203125" bestFit="1" customWidth="1"/>
    <col min="15" max="15" width="16" bestFit="1" customWidth="1"/>
  </cols>
  <sheetData>
    <row r="1" spans="1:9" hidden="1" x14ac:dyDescent="0.2">
      <c r="A1" t="s">
        <v>174</v>
      </c>
      <c r="I1" t="s">
        <v>178</v>
      </c>
    </row>
    <row r="2" spans="1:9" hidden="1" x14ac:dyDescent="0.2">
      <c r="A2" s="122" t="s">
        <v>0</v>
      </c>
      <c r="B2" s="122" t="s">
        <v>34</v>
      </c>
      <c r="C2" s="122" t="s">
        <v>58</v>
      </c>
      <c r="D2" s="122" t="s">
        <v>83</v>
      </c>
      <c r="E2" s="122" t="s">
        <v>60</v>
      </c>
      <c r="F2" s="122" t="s">
        <v>61</v>
      </c>
      <c r="G2" s="122" t="s">
        <v>62</v>
      </c>
      <c r="I2">
        <f>145/126</f>
        <v>1.1507936507936507</v>
      </c>
    </row>
    <row r="3" spans="1:9" hidden="1" x14ac:dyDescent="0.2">
      <c r="A3" s="122" t="s">
        <v>29</v>
      </c>
      <c r="B3" s="121" t="s">
        <v>175</v>
      </c>
      <c r="C3" s="121">
        <v>49.84</v>
      </c>
      <c r="D3" s="121">
        <v>58.91</v>
      </c>
      <c r="E3" s="121">
        <v>77.03</v>
      </c>
      <c r="F3" s="121">
        <v>99.69</v>
      </c>
      <c r="G3" s="121">
        <v>131.41</v>
      </c>
    </row>
    <row r="4" spans="1:9" hidden="1" x14ac:dyDescent="0.2">
      <c r="A4" s="122" t="s">
        <v>29</v>
      </c>
      <c r="B4" s="121" t="s">
        <v>176</v>
      </c>
      <c r="C4" s="121">
        <v>72.5</v>
      </c>
      <c r="D4" s="121">
        <v>86.09</v>
      </c>
      <c r="E4" s="121">
        <v>108.75</v>
      </c>
      <c r="F4" s="121">
        <v>145</v>
      </c>
      <c r="G4" s="121">
        <v>185</v>
      </c>
    </row>
    <row r="5" spans="1:9" hidden="1" x14ac:dyDescent="0.2">
      <c r="A5" s="122" t="s">
        <v>29</v>
      </c>
      <c r="B5" s="121" t="s">
        <v>177</v>
      </c>
      <c r="C5" s="121">
        <v>95</v>
      </c>
      <c r="D5" s="121">
        <v>118</v>
      </c>
      <c r="E5" s="121">
        <v>158</v>
      </c>
      <c r="F5" s="121">
        <v>220</v>
      </c>
      <c r="G5" s="121">
        <v>290</v>
      </c>
    </row>
    <row r="6" spans="1:9" hidden="1" x14ac:dyDescent="0.2">
      <c r="A6" s="122" t="s">
        <v>30</v>
      </c>
      <c r="B6" s="121" t="s">
        <v>175</v>
      </c>
      <c r="C6" s="121">
        <v>63.44</v>
      </c>
      <c r="D6" s="121">
        <v>77.03</v>
      </c>
      <c r="E6" s="121">
        <v>104.22</v>
      </c>
      <c r="F6" s="121">
        <v>135.94</v>
      </c>
      <c r="G6" s="121">
        <v>168</v>
      </c>
    </row>
    <row r="7" spans="1:9" hidden="1" x14ac:dyDescent="0.2">
      <c r="A7" s="122" t="s">
        <v>30</v>
      </c>
      <c r="B7" s="121" t="s">
        <v>176</v>
      </c>
      <c r="C7" s="121">
        <v>86.09</v>
      </c>
      <c r="D7" s="121">
        <v>113.28</v>
      </c>
      <c r="E7" s="121">
        <v>163.13</v>
      </c>
      <c r="F7" s="121">
        <v>218</v>
      </c>
      <c r="G7" s="121">
        <v>292</v>
      </c>
    </row>
    <row r="8" spans="1:9" hidden="1" x14ac:dyDescent="0.2">
      <c r="A8" s="122" t="s">
        <v>30</v>
      </c>
      <c r="B8" s="121" t="s">
        <v>177</v>
      </c>
      <c r="C8" s="121">
        <v>132</v>
      </c>
      <c r="D8" s="121">
        <v>182</v>
      </c>
      <c r="E8" s="121">
        <v>265</v>
      </c>
      <c r="F8" s="121">
        <v>338</v>
      </c>
      <c r="G8" s="121">
        <v>395</v>
      </c>
    </row>
    <row r="9" spans="1:9" hidden="1" x14ac:dyDescent="0.2">
      <c r="A9" s="122" t="s">
        <v>32</v>
      </c>
      <c r="B9" s="121" t="s">
        <v>175</v>
      </c>
      <c r="C9" s="121">
        <v>67.97</v>
      </c>
      <c r="D9" s="121">
        <v>81.56</v>
      </c>
      <c r="E9" s="121">
        <v>108.75</v>
      </c>
      <c r="F9" s="121">
        <v>140.47</v>
      </c>
      <c r="G9" s="121">
        <v>167.66</v>
      </c>
    </row>
    <row r="10" spans="1:9" hidden="1" x14ac:dyDescent="0.2">
      <c r="A10" s="122" t="s">
        <v>32</v>
      </c>
      <c r="B10" s="121" t="s">
        <v>176</v>
      </c>
      <c r="C10" s="121">
        <v>99.69</v>
      </c>
      <c r="D10" s="121">
        <v>135.94</v>
      </c>
      <c r="E10" s="121">
        <v>199.38</v>
      </c>
      <c r="F10" s="121">
        <v>275</v>
      </c>
      <c r="G10" s="121">
        <v>360</v>
      </c>
    </row>
    <row r="11" spans="1:9" hidden="1" x14ac:dyDescent="0.2">
      <c r="A11" s="122" t="s">
        <v>32</v>
      </c>
      <c r="B11" s="121" t="s">
        <v>177</v>
      </c>
      <c r="C11" s="121">
        <v>158</v>
      </c>
      <c r="D11" s="121">
        <v>224</v>
      </c>
      <c r="E11" s="121">
        <v>328</v>
      </c>
      <c r="F11" s="121">
        <v>368</v>
      </c>
      <c r="G11" s="121">
        <v>395</v>
      </c>
    </row>
    <row r="12" spans="1:9" hidden="1" x14ac:dyDescent="0.2">
      <c r="A12" s="122" t="s">
        <v>51</v>
      </c>
      <c r="B12" s="121" t="s">
        <v>175</v>
      </c>
      <c r="C12" s="121">
        <v>54.38</v>
      </c>
      <c r="D12" s="121">
        <v>67.97</v>
      </c>
      <c r="E12" s="121">
        <v>86.09</v>
      </c>
      <c r="F12" s="121">
        <v>108.75</v>
      </c>
      <c r="G12" s="121">
        <v>135.94</v>
      </c>
    </row>
    <row r="13" spans="1:9" hidden="1" x14ac:dyDescent="0.2">
      <c r="A13" s="122" t="s">
        <v>51</v>
      </c>
      <c r="B13" s="121" t="s">
        <v>176</v>
      </c>
      <c r="C13" s="121">
        <v>81.56</v>
      </c>
      <c r="D13" s="121">
        <v>104.22</v>
      </c>
      <c r="E13" s="121">
        <v>145</v>
      </c>
      <c r="F13" s="121">
        <v>192</v>
      </c>
      <c r="G13" s="121">
        <v>255</v>
      </c>
    </row>
    <row r="14" spans="1:9" hidden="1" x14ac:dyDescent="0.2">
      <c r="A14" s="122" t="s">
        <v>51</v>
      </c>
      <c r="B14" s="121" t="s">
        <v>177</v>
      </c>
      <c r="C14" s="121">
        <v>124</v>
      </c>
      <c r="D14" s="121">
        <v>168</v>
      </c>
      <c r="E14" s="121">
        <v>245</v>
      </c>
      <c r="F14" s="121">
        <v>318</v>
      </c>
      <c r="G14" s="121">
        <v>375</v>
      </c>
    </row>
    <row r="15" spans="1:9" hidden="1" x14ac:dyDescent="0.2"/>
    <row r="16" spans="1:9" x14ac:dyDescent="0.2">
      <c r="A16" s="92" t="s">
        <v>102</v>
      </c>
      <c r="B16" s="91"/>
      <c r="C16" s="91"/>
      <c r="D16" s="91"/>
      <c r="E16" s="91"/>
      <c r="F16" s="91"/>
      <c r="I16" t="s">
        <v>124</v>
      </c>
    </row>
    <row r="17" spans="1:15" s="95" customFormat="1" x14ac:dyDescent="0.2">
      <c r="A17" s="8" t="s">
        <v>0</v>
      </c>
      <c r="B17" s="8" t="s">
        <v>34</v>
      </c>
      <c r="C17" s="8" t="s">
        <v>58</v>
      </c>
      <c r="D17" s="8" t="s">
        <v>83</v>
      </c>
      <c r="E17" s="8" t="s">
        <v>60</v>
      </c>
      <c r="F17" s="8" t="s">
        <v>61</v>
      </c>
      <c r="G17" s="8" t="s">
        <v>62</v>
      </c>
      <c r="I17" s="8" t="s">
        <v>0</v>
      </c>
      <c r="J17" s="8" t="s">
        <v>34</v>
      </c>
      <c r="K17" s="8" t="s">
        <v>58</v>
      </c>
      <c r="L17" s="8" t="s">
        <v>83</v>
      </c>
      <c r="M17" s="8" t="s">
        <v>60</v>
      </c>
      <c r="N17" s="8" t="s">
        <v>61</v>
      </c>
      <c r="O17" s="8" t="s">
        <v>62</v>
      </c>
    </row>
    <row r="18" spans="1:15" x14ac:dyDescent="0.2">
      <c r="A18" s="69" t="s">
        <v>29</v>
      </c>
      <c r="B18" s="73" t="s">
        <v>35</v>
      </c>
      <c r="C18" s="123">
        <f t="shared" ref="C18:G18" si="0">C3*$I$2</f>
        <v>57.355555555555554</v>
      </c>
      <c r="D18" s="123">
        <f t="shared" si="0"/>
        <v>67.793253968253964</v>
      </c>
      <c r="E18" s="123">
        <f t="shared" si="0"/>
        <v>88.645634920634919</v>
      </c>
      <c r="F18" s="123">
        <f t="shared" si="0"/>
        <v>114.72261904761903</v>
      </c>
      <c r="G18" s="123">
        <f t="shared" si="0"/>
        <v>151.22579365079363</v>
      </c>
      <c r="I18" s="69" t="s">
        <v>29</v>
      </c>
      <c r="J18" s="73" t="s">
        <v>35</v>
      </c>
      <c r="K18" s="96">
        <f>ATS_Table[[#This Row],[Deep Subprime]]*'Dynamic PD'!N3*'EAD Estimate'!$E$2*'EAD Estimate'!$F$2</f>
        <v>1.4077204166666673</v>
      </c>
      <c r="L18" s="96">
        <f>ATS_Table[[#This Row],[Sub Prime]]*'Dynamic PD'!O3*'EAD Estimate'!$E$3*'EAD Estimate'!$F$3</f>
        <v>0.46141783482142851</v>
      </c>
      <c r="M18" s="96">
        <f>ATS_Table[[#This Row],[Near Prime]]*'Dynamic PD'!P3*'EAD Estimate'!$E$4*'EAD Estimate'!$F$4</f>
        <v>0.40369222142857142</v>
      </c>
      <c r="N18" s="96">
        <f>ATS_Table[[#This Row],[Prime]]*'Dynamic PD'!Q3*'EAD Estimate'!$E$5*'EAD Estimate'!$F$5</f>
        <v>0.43064003125</v>
      </c>
      <c r="O18" s="96">
        <f>ATS_Table[[#This Row],[Super Prime]]*'Dynamic PD'!R3*'EAD Estimate'!$E$6*'EAD Estimate'!$F$6</f>
        <v>0.5888732404761905</v>
      </c>
    </row>
    <row r="19" spans="1:15" x14ac:dyDescent="0.2">
      <c r="A19" s="87" t="s">
        <v>29</v>
      </c>
      <c r="B19" s="88" t="s">
        <v>36</v>
      </c>
      <c r="C19" s="123">
        <f t="shared" ref="C19:G19" si="1">C4*$I$2</f>
        <v>83.432539682539669</v>
      </c>
      <c r="D19" s="123">
        <f t="shared" si="1"/>
        <v>99.071825396825389</v>
      </c>
      <c r="E19" s="123">
        <f t="shared" si="1"/>
        <v>125.14880952380952</v>
      </c>
      <c r="F19" s="123">
        <f t="shared" si="1"/>
        <v>166.86507936507934</v>
      </c>
      <c r="G19" s="123">
        <f t="shared" si="1"/>
        <v>212.89682539682539</v>
      </c>
      <c r="I19" s="87" t="s">
        <v>29</v>
      </c>
      <c r="J19" s="88" t="s">
        <v>36</v>
      </c>
      <c r="K19" s="96">
        <f>ATS_Table[[#This Row],[Deep Subprime]]*'Dynamic PD'!N4*'EAD Estimate'!$E$2*'EAD Estimate'!$F$2</f>
        <v>2.010515625</v>
      </c>
      <c r="L19" s="96">
        <f>ATS_Table[[#This Row],[Sub Prime]]*'Dynamic PD'!O4*'EAD Estimate'!$E$3*'EAD Estimate'!$F$3</f>
        <v>0.6620474732142857</v>
      </c>
      <c r="M19" s="96">
        <f>ATS_Table[[#This Row],[Near Prime]]*'Dynamic PD'!P4*'EAD Estimate'!$E$4*'EAD Estimate'!$F$4</f>
        <v>0.55956535714285704</v>
      </c>
      <c r="N19" s="96">
        <f>ATS_Table[[#This Row],[Prime]]*'Dynamic PD'!Q4*'EAD Estimate'!$E$5*'EAD Estimate'!$F$5</f>
        <v>0.61498124999999992</v>
      </c>
      <c r="O19" s="96">
        <f>ATS_Table[[#This Row],[Super Prime]]*'Dynamic PD'!R4*'EAD Estimate'!$E$6*'EAD Estimate'!$F$6</f>
        <v>0.81394714285714287</v>
      </c>
    </row>
    <row r="20" spans="1:15" x14ac:dyDescent="0.2">
      <c r="A20" s="84" t="s">
        <v>29</v>
      </c>
      <c r="B20" s="85" t="s">
        <v>37</v>
      </c>
      <c r="C20" s="123">
        <f t="shared" ref="C20:G20" si="2">C5*$I$2</f>
        <v>109.32539682539682</v>
      </c>
      <c r="D20" s="123">
        <f t="shared" si="2"/>
        <v>135.79365079365078</v>
      </c>
      <c r="E20" s="123">
        <f t="shared" si="2"/>
        <v>181.82539682539681</v>
      </c>
      <c r="F20" s="123">
        <f t="shared" si="2"/>
        <v>253.17460317460316</v>
      </c>
      <c r="G20" s="123">
        <f t="shared" si="2"/>
        <v>333.73015873015868</v>
      </c>
      <c r="I20" s="84" t="s">
        <v>29</v>
      </c>
      <c r="J20" s="85" t="s">
        <v>37</v>
      </c>
      <c r="K20" s="96">
        <f>ATS_Table[[#This Row],[Deep Subprime]]*'Dynamic PD'!N5*'EAD Estimate'!$E$2*'EAD Estimate'!$F$2</f>
        <v>2.4393229166666672</v>
      </c>
      <c r="L20" s="96">
        <f>ATS_Table[[#This Row],[Sub Prime]]*'Dynamic PD'!O5*'EAD Estimate'!$E$3*'EAD Estimate'!$F$3</f>
        <v>0.84022321428571423</v>
      </c>
      <c r="M20" s="96">
        <f>ATS_Table[[#This Row],[Near Prime]]*'Dynamic PD'!P5*'EAD Estimate'!$E$4*'EAD Estimate'!$F$4</f>
        <v>0.75275714285714268</v>
      </c>
      <c r="N20" s="96">
        <f>ATS_Table[[#This Row],[Prime]]*'Dynamic PD'!Q5*'EAD Estimate'!$E$5*'EAD Estimate'!$F$5</f>
        <v>0.86395833333333327</v>
      </c>
      <c r="O20" s="96">
        <f>ATS_Table[[#This Row],[Super Prime]]*'Dynamic PD'!R5*'EAD Estimate'!$E$6*'EAD Estimate'!$F$6</f>
        <v>1.1814047619047618</v>
      </c>
    </row>
    <row r="21" spans="1:15" x14ac:dyDescent="0.2">
      <c r="A21" s="87" t="s">
        <v>30</v>
      </c>
      <c r="B21" s="88" t="s">
        <v>35</v>
      </c>
      <c r="C21" s="123">
        <f t="shared" ref="C21:G21" si="3">C6*$I$2</f>
        <v>73.006349206349199</v>
      </c>
      <c r="D21" s="123">
        <f t="shared" si="3"/>
        <v>88.645634920634919</v>
      </c>
      <c r="E21" s="123">
        <f t="shared" si="3"/>
        <v>119.93571428571427</v>
      </c>
      <c r="F21" s="123">
        <f t="shared" si="3"/>
        <v>156.43888888888887</v>
      </c>
      <c r="G21" s="123">
        <f t="shared" si="3"/>
        <v>193.33333333333331</v>
      </c>
      <c r="I21" s="87" t="s">
        <v>30</v>
      </c>
      <c r="J21" s="88" t="s">
        <v>35</v>
      </c>
      <c r="K21" s="96">
        <f>ATS_Table[[#This Row],[Deep Subprime]]*'Dynamic PD'!N6*'EAD Estimate'!$E$2*'EAD Estimate'!$F$2</f>
        <v>1.7918495833333334</v>
      </c>
      <c r="L21" s="96">
        <f>ATS_Table[[#This Row],[Sub Prime]]*'Dynamic PD'!O6*'EAD Estimate'!$E$3*'EAD Estimate'!$F$3</f>
        <v>0.60334435267857134</v>
      </c>
      <c r="M21" s="96">
        <f>ATS_Table[[#This Row],[Near Prime]]*'Dynamic PD'!P6*'EAD Estimate'!$E$4*'EAD Estimate'!$F$4</f>
        <v>0.54618724285714271</v>
      </c>
      <c r="N21" s="96">
        <f>ATS_Table[[#This Row],[Prime]]*'Dynamic PD'!Q6*'EAD Estimate'!$E$5*'EAD Estimate'!$F$5</f>
        <v>0.58723247916666665</v>
      </c>
      <c r="O21" s="96">
        <f>ATS_Table[[#This Row],[Super Prime]]*'Dynamic PD'!R6*'EAD Estimate'!$E$6*'EAD Estimate'!$F$6</f>
        <v>0.75284000000000006</v>
      </c>
    </row>
    <row r="22" spans="1:15" x14ac:dyDescent="0.2">
      <c r="A22" s="84" t="s">
        <v>30</v>
      </c>
      <c r="B22" s="85" t="s">
        <v>36</v>
      </c>
      <c r="C22" s="123">
        <f t="shared" ref="C22:G22" si="4">C7*$I$2</f>
        <v>99.071825396825389</v>
      </c>
      <c r="D22" s="123">
        <f t="shared" si="4"/>
        <v>130.36190476190475</v>
      </c>
      <c r="E22" s="123">
        <f t="shared" si="4"/>
        <v>187.72896825396825</v>
      </c>
      <c r="F22" s="123">
        <f t="shared" si="4"/>
        <v>250.87301587301585</v>
      </c>
      <c r="G22" s="123">
        <f t="shared" si="4"/>
        <v>336.03174603174602</v>
      </c>
      <c r="I22" s="84" t="s">
        <v>30</v>
      </c>
      <c r="J22" s="85" t="s">
        <v>36</v>
      </c>
      <c r="K22" s="96">
        <f>ATS_Table[[#This Row],[Deep Subprime]]*'Dynamic PD'!N7*'EAD Estimate'!$E$2*'EAD Estimate'!$F$2</f>
        <v>2.2989617083333336</v>
      </c>
      <c r="L22" s="96">
        <f>ATS_Table[[#This Row],[Sub Prime]]*'Dynamic PD'!O7*'EAD Estimate'!$E$3*'EAD Estimate'!$F$3</f>
        <v>0.83887885714285715</v>
      </c>
      <c r="M22" s="96">
        <f>ATS_Table[[#This Row],[Near Prime]]*'Dynamic PD'!P7*'EAD Estimate'!$E$4*'EAD Estimate'!$F$4</f>
        <v>0.80828584571428574</v>
      </c>
      <c r="N22" s="96">
        <f>ATS_Table[[#This Row],[Prime]]*'Dynamic PD'!Q7*'EAD Estimate'!$E$5*'EAD Estimate'!$F$5</f>
        <v>0.89034833333333319</v>
      </c>
      <c r="O22" s="96">
        <f>ATS_Table[[#This Row],[Super Prime]]*'Dynamic PD'!R7*'EAD Estimate'!$E$6*'EAD Estimate'!$F$6</f>
        <v>1.2371344761904763</v>
      </c>
    </row>
    <row r="23" spans="1:15" x14ac:dyDescent="0.2">
      <c r="A23" s="87" t="s">
        <v>30</v>
      </c>
      <c r="B23" s="88" t="s">
        <v>37</v>
      </c>
      <c r="C23" s="123">
        <f t="shared" ref="C23:G23" si="5">C8*$I$2</f>
        <v>151.9047619047619</v>
      </c>
      <c r="D23" s="123">
        <f t="shared" si="5"/>
        <v>209.44444444444443</v>
      </c>
      <c r="E23" s="123">
        <f t="shared" si="5"/>
        <v>304.96031746031741</v>
      </c>
      <c r="F23" s="123">
        <f t="shared" si="5"/>
        <v>388.96825396825392</v>
      </c>
      <c r="G23" s="123">
        <f t="shared" si="5"/>
        <v>454.56349206349205</v>
      </c>
      <c r="I23" s="87" t="s">
        <v>30</v>
      </c>
      <c r="J23" s="88" t="s">
        <v>37</v>
      </c>
      <c r="K23" s="96">
        <f>ATS_Table[[#This Row],[Deep Subprime]]*'Dynamic PD'!N8*'EAD Estimate'!$E$2*'EAD Estimate'!$F$2</f>
        <v>3.3893750000000007</v>
      </c>
      <c r="L23" s="96">
        <f>ATS_Table[[#This Row],[Sub Prime]]*'Dynamic PD'!O8*'EAD Estimate'!$E$3*'EAD Estimate'!$F$3</f>
        <v>1.2959374999999997</v>
      </c>
      <c r="M23" s="96">
        <f>ATS_Table[[#This Row],[Near Prime]]*'Dynamic PD'!P8*'EAD Estimate'!$E$4*'EAD Estimate'!$F$4</f>
        <v>1.2625357142857141</v>
      </c>
      <c r="N23" s="96">
        <f>ATS_Table[[#This Row],[Prime]]*'Dynamic PD'!Q8*'EAD Estimate'!$E$5*'EAD Estimate'!$F$5</f>
        <v>1.3273541666666666</v>
      </c>
      <c r="O23" s="96">
        <f>ATS_Table[[#This Row],[Super Prime]]*'Dynamic PD'!R8*'EAD Estimate'!$E$6*'EAD Estimate'!$F$6</f>
        <v>1.6091547619047619</v>
      </c>
    </row>
    <row r="24" spans="1:15" x14ac:dyDescent="0.2">
      <c r="A24" s="84" t="s">
        <v>32</v>
      </c>
      <c r="B24" s="85" t="s">
        <v>35</v>
      </c>
      <c r="C24" s="123">
        <f t="shared" ref="C24:G24" si="6">C9*$I$2</f>
        <v>78.219444444444434</v>
      </c>
      <c r="D24" s="123">
        <f t="shared" si="6"/>
        <v>93.858730158730154</v>
      </c>
      <c r="E24" s="123">
        <f t="shared" si="6"/>
        <v>125.14880952380952</v>
      </c>
      <c r="F24" s="123">
        <f t="shared" si="6"/>
        <v>161.6519841269841</v>
      </c>
      <c r="G24" s="123">
        <f t="shared" si="6"/>
        <v>192.94206349206348</v>
      </c>
      <c r="I24" s="84" t="s">
        <v>32</v>
      </c>
      <c r="J24" s="85" t="s">
        <v>35</v>
      </c>
      <c r="K24" s="96">
        <f>ATS_Table[[#This Row],[Deep Subprime]]*'Dynamic PD'!N9*'EAD Estimate'!$E$2*'EAD Estimate'!$F$2</f>
        <v>1.7452713541666667</v>
      </c>
      <c r="L24" s="96">
        <f>ATS_Table[[#This Row],[Sub Prime]]*'Dynamic PD'!O9*'EAD Estimate'!$E$3*'EAD Estimate'!$F$3</f>
        <v>0.58075089285714276</v>
      </c>
      <c r="M24" s="96">
        <f>ATS_Table[[#This Row],[Near Prime]]*'Dynamic PD'!P9*'EAD Estimate'!$E$4*'EAD Estimate'!$F$4</f>
        <v>0.51811607142857141</v>
      </c>
      <c r="N24" s="96">
        <f>ATS_Table[[#This Row],[Prime]]*'Dynamic PD'!Q9*'EAD Estimate'!$E$5*'EAD Estimate'!$F$5</f>
        <v>0.55163739583333327</v>
      </c>
      <c r="O24" s="96">
        <f>ATS_Table[[#This Row],[Super Prime]]*'Dynamic PD'!R9*'EAD Estimate'!$E$6*'EAD Estimate'!$F$6</f>
        <v>0.68301490476190474</v>
      </c>
    </row>
    <row r="25" spans="1:15" x14ac:dyDescent="0.2">
      <c r="A25" s="87" t="s">
        <v>32</v>
      </c>
      <c r="B25" s="88" t="s">
        <v>36</v>
      </c>
      <c r="C25" s="123">
        <f t="shared" ref="C25:G25" si="7">C10*$I$2</f>
        <v>114.72261904761903</v>
      </c>
      <c r="D25" s="123">
        <f t="shared" si="7"/>
        <v>156.43888888888887</v>
      </c>
      <c r="E25" s="123">
        <f t="shared" si="7"/>
        <v>229.44523809523807</v>
      </c>
      <c r="F25" s="123">
        <f t="shared" si="7"/>
        <v>316.46825396825392</v>
      </c>
      <c r="G25" s="123">
        <f t="shared" si="7"/>
        <v>414.28571428571428</v>
      </c>
      <c r="I25" s="87" t="s">
        <v>32</v>
      </c>
      <c r="J25" s="88" t="s">
        <v>36</v>
      </c>
      <c r="K25" s="96">
        <f>ATS_Table[[#This Row],[Deep Subprime]]*'Dynamic PD'!N10*'EAD Estimate'!$E$2*'EAD Estimate'!$F$2</f>
        <v>2.5597484375000001</v>
      </c>
      <c r="L25" s="96">
        <f>ATS_Table[[#This Row],[Sub Prime]]*'Dynamic PD'!O10*'EAD Estimate'!$E$3*'EAD Estimate'!$F$3</f>
        <v>0.96796562499999983</v>
      </c>
      <c r="M25" s="96">
        <f>ATS_Table[[#This Row],[Near Prime]]*'Dynamic PD'!P10*'EAD Estimate'!$E$4*'EAD Estimate'!$F$4</f>
        <v>0.94990328571428551</v>
      </c>
      <c r="N25" s="96">
        <f>ATS_Table[[#This Row],[Prime]]*'Dynamic PD'!Q10*'EAD Estimate'!$E$5*'EAD Estimate'!$F$5</f>
        <v>1.0799479166666666</v>
      </c>
      <c r="O25" s="96">
        <f>ATS_Table[[#This Row],[Super Prime]]*'Dynamic PD'!R10*'EAD Estimate'!$E$6*'EAD Estimate'!$F$6</f>
        <v>1.4665714285714286</v>
      </c>
    </row>
    <row r="26" spans="1:15" x14ac:dyDescent="0.2">
      <c r="A26" s="84" t="s">
        <v>32</v>
      </c>
      <c r="B26" s="85" t="s">
        <v>37</v>
      </c>
      <c r="C26" s="123">
        <f t="shared" ref="C26:G26" si="8">C11*$I$2</f>
        <v>181.82539682539681</v>
      </c>
      <c r="D26" s="123">
        <f t="shared" si="8"/>
        <v>257.77777777777777</v>
      </c>
      <c r="E26" s="123">
        <f t="shared" si="8"/>
        <v>377.46031746031741</v>
      </c>
      <c r="F26" s="123">
        <f t="shared" si="8"/>
        <v>423.49206349206344</v>
      </c>
      <c r="G26" s="123">
        <f t="shared" si="8"/>
        <v>454.56349206349205</v>
      </c>
      <c r="I26" s="84" t="s">
        <v>32</v>
      </c>
      <c r="J26" s="85" t="s">
        <v>37</v>
      </c>
      <c r="K26" s="96">
        <f>ATS_Table[[#This Row],[Deep Subprime]]*'Dynamic PD'!N11*'EAD Estimate'!$E$2*'EAD Estimate'!$F$2</f>
        <v>4.0569791666666672</v>
      </c>
      <c r="L26" s="96">
        <f>ATS_Table[[#This Row],[Sub Prime]]*'Dynamic PD'!O11*'EAD Estimate'!$E$3*'EAD Estimate'!$F$3</f>
        <v>1.5949999999999998</v>
      </c>
      <c r="M26" s="96">
        <f>ATS_Table[[#This Row],[Near Prime]]*'Dynamic PD'!P11*'EAD Estimate'!$E$4*'EAD Estimate'!$F$4</f>
        <v>1.562685714285714</v>
      </c>
      <c r="N26" s="96">
        <f>ATS_Table[[#This Row],[Prime]]*'Dynamic PD'!Q11*'EAD Estimate'!$E$5*'EAD Estimate'!$F$5</f>
        <v>1.4451666666666665</v>
      </c>
      <c r="O26" s="96">
        <f>ATS_Table[[#This Row],[Super Prime]]*'Dynamic PD'!R11*'EAD Estimate'!$E$6*'EAD Estimate'!$F$6</f>
        <v>1.6091547619047619</v>
      </c>
    </row>
    <row r="27" spans="1:15" x14ac:dyDescent="0.2">
      <c r="A27" s="87" t="s">
        <v>51</v>
      </c>
      <c r="B27" s="88" t="s">
        <v>35</v>
      </c>
      <c r="C27" s="123">
        <f t="shared" ref="C27:G27" si="9">C12*$I$2</f>
        <v>62.580158730158729</v>
      </c>
      <c r="D27" s="123">
        <f t="shared" si="9"/>
        <v>78.219444444444434</v>
      </c>
      <c r="E27" s="123">
        <f t="shared" si="9"/>
        <v>99.071825396825389</v>
      </c>
      <c r="F27" s="123">
        <f t="shared" si="9"/>
        <v>125.14880952380952</v>
      </c>
      <c r="G27" s="123">
        <f t="shared" si="9"/>
        <v>156.43888888888887</v>
      </c>
      <c r="I27" s="87" t="s">
        <v>51</v>
      </c>
      <c r="J27" s="88" t="s">
        <v>35</v>
      </c>
      <c r="K27" s="96">
        <f>ATS_Table[[#This Row],[Deep Subprime]]*'Dynamic PD'!N12*'EAD Estimate'!$E$2*'EAD Estimate'!$F$2</f>
        <v>1.4661357812500002</v>
      </c>
      <c r="L27" s="96">
        <f>ATS_Table[[#This Row],[Sub Prime]]*'Dynamic PD'!O12*'EAD Estimate'!$E$3*'EAD Estimate'!$F$3</f>
        <v>0.50818195312499992</v>
      </c>
      <c r="M27" s="96">
        <f>ATS_Table[[#This Row],[Near Prime]]*'Dynamic PD'!P12*'EAD Estimate'!$E$4*'EAD Estimate'!$F$4</f>
        <v>0.43066522499999998</v>
      </c>
      <c r="N27" s="96">
        <f>ATS_Table[[#This Row],[Prime]]*'Dynamic PD'!Q12*'EAD Estimate'!$E$5*'EAD Estimate'!$F$5</f>
        <v>0.44842382812500003</v>
      </c>
      <c r="O27" s="96">
        <f>ATS_Table[[#This Row],[Super Prime]]*'Dynamic PD'!R12*'EAD Estimate'!$E$6*'EAD Estimate'!$F$6</f>
        <v>0.58148334999999995</v>
      </c>
    </row>
    <row r="28" spans="1:15" x14ac:dyDescent="0.2">
      <c r="A28" s="84" t="s">
        <v>51</v>
      </c>
      <c r="B28" s="85" t="s">
        <v>36</v>
      </c>
      <c r="C28" s="123">
        <f t="shared" ref="C28:G28" si="10">C13*$I$2</f>
        <v>93.858730158730154</v>
      </c>
      <c r="D28" s="123">
        <f t="shared" si="10"/>
        <v>119.93571428571427</v>
      </c>
      <c r="E28" s="123">
        <f t="shared" si="10"/>
        <v>166.86507936507934</v>
      </c>
      <c r="F28" s="123">
        <f t="shared" si="10"/>
        <v>220.95238095238093</v>
      </c>
      <c r="G28" s="123">
        <f t="shared" si="10"/>
        <v>293.45238095238091</v>
      </c>
      <c r="I28" s="84" t="s">
        <v>51</v>
      </c>
      <c r="J28" s="85" t="s">
        <v>36</v>
      </c>
      <c r="K28" s="96">
        <f>ATS_Table[[#This Row],[Deep Subprime]]*'Dynamic PD'!N13*'EAD Estimate'!$E$2*'EAD Estimate'!$F$2</f>
        <v>2.0942229166666668</v>
      </c>
      <c r="L28" s="96">
        <f>ATS_Table[[#This Row],[Sub Prime]]*'Dynamic PD'!O13*'EAD Estimate'!$E$3*'EAD Estimate'!$F$3</f>
        <v>0.74210223214285698</v>
      </c>
      <c r="M28" s="96">
        <f>ATS_Table[[#This Row],[Near Prime]]*'Dynamic PD'!P13*'EAD Estimate'!$E$4*'EAD Estimate'!$F$4</f>
        <v>0.69082142857142848</v>
      </c>
      <c r="N28" s="96">
        <f>ATS_Table[[#This Row],[Prime]]*'Dynamic PD'!Q13*'EAD Estimate'!$E$5*'EAD Estimate'!$F$5</f>
        <v>0.754</v>
      </c>
      <c r="O28" s="96">
        <f>ATS_Table[[#This Row],[Super Prime]]*'Dynamic PD'!R13*'EAD Estimate'!$E$6*'EAD Estimate'!$F$6</f>
        <v>1.0388214285714283</v>
      </c>
    </row>
    <row r="29" spans="1:15" ht="17" x14ac:dyDescent="0.2">
      <c r="A29" s="89" t="s">
        <v>51</v>
      </c>
      <c r="B29" s="88" t="s">
        <v>37</v>
      </c>
      <c r="C29" s="123">
        <f t="shared" ref="C29:G29" si="11">C14*$I$2</f>
        <v>142.69841269841268</v>
      </c>
      <c r="D29" s="123">
        <f t="shared" si="11"/>
        <v>193.33333333333331</v>
      </c>
      <c r="E29" s="123">
        <f t="shared" si="11"/>
        <v>281.9444444444444</v>
      </c>
      <c r="F29" s="123">
        <f t="shared" si="11"/>
        <v>365.95238095238091</v>
      </c>
      <c r="G29" s="123">
        <f t="shared" si="11"/>
        <v>431.54761904761904</v>
      </c>
      <c r="I29" s="89" t="s">
        <v>51</v>
      </c>
      <c r="J29" s="88" t="s">
        <v>37</v>
      </c>
      <c r="K29" s="96">
        <f>ATS_Table[[#This Row],[Deep Subprime]]*'Dynamic PD'!N14*'EAD Estimate'!$E$2*'EAD Estimate'!$F$2</f>
        <v>3.1839583333333339</v>
      </c>
      <c r="L29" s="96">
        <f>ATS_Table[[#This Row],[Sub Prime]]*'Dynamic PD'!O14*'EAD Estimate'!$E$3*'EAD Estimate'!$F$3</f>
        <v>1.1962499999999998</v>
      </c>
      <c r="M29" s="96">
        <f>ATS_Table[[#This Row],[Near Prime]]*'Dynamic PD'!P14*'EAD Estimate'!$E$4*'EAD Estimate'!$F$4</f>
        <v>1.1672499999999997</v>
      </c>
      <c r="N29" s="96">
        <f>ATS_Table[[#This Row],[Prime]]*'Dynamic PD'!Q14*'EAD Estimate'!$E$5*'EAD Estimate'!$F$5</f>
        <v>1.2488124999999999</v>
      </c>
      <c r="O29" s="96">
        <f>ATS_Table[[#This Row],[Super Prime]]*'Dynamic PD'!R14*'EAD Estimate'!$E$6*'EAD Estimate'!$F$6</f>
        <v>1.5276785714285714</v>
      </c>
    </row>
    <row r="31" spans="1:15" x14ac:dyDescent="0.2">
      <c r="A31" t="s">
        <v>103</v>
      </c>
      <c r="C31" s="10"/>
      <c r="I31" t="s">
        <v>125</v>
      </c>
    </row>
    <row r="32" spans="1:15" x14ac:dyDescent="0.2">
      <c r="A32" t="s">
        <v>0</v>
      </c>
      <c r="B32" t="s">
        <v>38</v>
      </c>
      <c r="C32" t="s">
        <v>58</v>
      </c>
      <c r="D32" t="s">
        <v>83</v>
      </c>
      <c r="E32" t="s">
        <v>60</v>
      </c>
      <c r="F32" t="s">
        <v>61</v>
      </c>
      <c r="G32" t="s">
        <v>62</v>
      </c>
      <c r="H32" s="1"/>
      <c r="I32" s="8" t="s">
        <v>0</v>
      </c>
      <c r="J32" s="8" t="s">
        <v>34</v>
      </c>
      <c r="K32" s="8" t="s">
        <v>58</v>
      </c>
      <c r="L32" s="8" t="s">
        <v>83</v>
      </c>
      <c r="M32" s="8" t="s">
        <v>60</v>
      </c>
      <c r="N32" s="8" t="s">
        <v>61</v>
      </c>
      <c r="O32" s="8" t="s">
        <v>62</v>
      </c>
    </row>
    <row r="33" spans="1:15" x14ac:dyDescent="0.2">
      <c r="A33" s="69" t="s">
        <v>29</v>
      </c>
      <c r="B33" s="73" t="s">
        <v>35</v>
      </c>
      <c r="C33" s="96">
        <f>C18*'Portfolio x PD x Loan Count'!C132*'User Segmentation'!$I$49/'Portfolio x PD x Loan Count'!C64</f>
        <v>37.715480018564939</v>
      </c>
      <c r="D33" s="96">
        <f>D18*'Portfolio x PD x Loan Count'!D132*'User Segmentation'!$I$49/'Portfolio x PD x Loan Count'!D64</f>
        <v>15.945047393190604</v>
      </c>
      <c r="E33" s="96">
        <f>E18*'Portfolio x PD x Loan Count'!E132*'User Segmentation'!$I$49/'Portfolio x PD x Loan Count'!E64</f>
        <v>21.426556673014151</v>
      </c>
      <c r="F33" s="96">
        <f>F18*'Portfolio x PD x Loan Count'!F132*'User Segmentation'!$I$49/'Portfolio x PD x Loan Count'!F64</f>
        <v>25.864404921758741</v>
      </c>
      <c r="G33" s="96">
        <f>G18*'Portfolio x PD x Loan Count'!G132*'User Segmentation'!$I$49/'Portfolio x PD x Loan Count'!G64</f>
        <v>29.176349811832612</v>
      </c>
      <c r="H33" s="94"/>
      <c r="I33" s="69" t="s">
        <v>29</v>
      </c>
      <c r="J33" s="73" t="s">
        <v>35</v>
      </c>
      <c r="K33" s="96" cm="1">
        <f t="array" ref="K33">C18*Dynamic_Row_Table[[Funding Rate]:[Funding Rate]]*Dynamic_Row_Table[[Tenure (in months)]:[Tenure (in months)]]/12</f>
        <v>0.68109722222222224</v>
      </c>
      <c r="L33" s="96" cm="1">
        <f t="array" ref="L33">D18*Dynamic_Row_Table[[Funding Rate]:[Funding Rate]]*Dynamic_Row_Table[[Tenure (in months)]:[Tenure (in months)]]/12</f>
        <v>0.80504489087301578</v>
      </c>
      <c r="M33" s="96" cm="1">
        <f t="array" ref="M33">E18*Dynamic_Row_Table[[Funding Rate]:[Funding Rate]]*Dynamic_Row_Table[[Tenure (in months)]:[Tenure (in months)]]/12</f>
        <v>1.0526669146825396</v>
      </c>
      <c r="N33" s="96" cm="1">
        <f t="array" ref="N33">F18*Dynamic_Row_Table[[Funding Rate]:[Funding Rate]]*Dynamic_Row_Table[[Tenure (in months)]:[Tenure (in months)]]/12</f>
        <v>1.362331101190476</v>
      </c>
      <c r="O33" s="96" cm="1">
        <f t="array" ref="O33">G18*Dynamic_Row_Table[[Funding Rate]:[Funding Rate]]*Dynamic_Row_Table[[Tenure (in months)]:[Tenure (in months)]]/12</f>
        <v>1.7958062996031743</v>
      </c>
    </row>
    <row r="34" spans="1:15" x14ac:dyDescent="0.2">
      <c r="A34" s="87" t="s">
        <v>29</v>
      </c>
      <c r="B34" s="88" t="s">
        <v>36</v>
      </c>
      <c r="C34" s="96">
        <f>C19*'Portfolio x PD x Loan Count'!C133*'User Segmentation'!$I$49/'Portfolio x PD x Loan Count'!C65</f>
        <v>54.863007651403649</v>
      </c>
      <c r="D34" s="96">
        <f>D19*'Portfolio x PD x Loan Count'!D133*'User Segmentation'!$I$49/'Portfolio x PD x Loan Count'!D65</f>
        <v>23.301801563058547</v>
      </c>
      <c r="E34" s="96">
        <f>E19*'Portfolio x PD x Loan Count'!E133*'User Segmentation'!$I$49/'Portfolio x PD x Loan Count'!E65</f>
        <v>30.249747347660506</v>
      </c>
      <c r="F34" s="96">
        <f>F19*'Portfolio x PD x Loan Count'!F133*'User Segmentation'!$I$49/'Portfolio x PD x Loan Count'!F65</f>
        <v>37.620009164961559</v>
      </c>
      <c r="G34" s="96">
        <f>G19*'Portfolio x PD x Loan Count'!G133*'User Segmentation'!$I$49/'Portfolio x PD x Loan Count'!G65</f>
        <v>41.074687734487746</v>
      </c>
      <c r="H34" s="94"/>
      <c r="I34" s="87" t="s">
        <v>29</v>
      </c>
      <c r="J34" s="88" t="s">
        <v>36</v>
      </c>
      <c r="K34" s="96" cm="1">
        <f t="array" ref="K34">C19*Dynamic_Row_Table[[Funding Rate]:[Funding Rate]]*Dynamic_Row_Table[[Tenure (in months)]:[Tenure (in months)]]/12</f>
        <v>0.99076140873015861</v>
      </c>
      <c r="L34" s="96" cm="1">
        <f t="array" ref="L34">D19*Dynamic_Row_Table[[Funding Rate]:[Funding Rate]]*Dynamic_Row_Table[[Tenure (in months)]:[Tenure (in months)]]/12</f>
        <v>1.1764779265873015</v>
      </c>
      <c r="M34" s="96" cm="1">
        <f t="array" ref="M34">E19*Dynamic_Row_Table[[Funding Rate]:[Funding Rate]]*Dynamic_Row_Table[[Tenure (in months)]:[Tenure (in months)]]/12</f>
        <v>1.4861421130952381</v>
      </c>
      <c r="N34" s="96" cm="1">
        <f t="array" ref="N34">F19*Dynamic_Row_Table[[Funding Rate]:[Funding Rate]]*Dynamic_Row_Table[[Tenure (in months)]:[Tenure (in months)]]/12</f>
        <v>1.9815228174603172</v>
      </c>
      <c r="O34" s="96" cm="1">
        <f t="array" ref="O34">G19*Dynamic_Row_Table[[Funding Rate]:[Funding Rate]]*Dynamic_Row_Table[[Tenure (in months)]:[Tenure (in months)]]/12</f>
        <v>2.5281498015873014</v>
      </c>
    </row>
    <row r="35" spans="1:15" x14ac:dyDescent="0.2">
      <c r="A35" s="84" t="s">
        <v>29</v>
      </c>
      <c r="B35" s="85" t="s">
        <v>37</v>
      </c>
      <c r="C35" s="96">
        <f>C20*'Portfolio x PD x Loan Count'!C134*'User Segmentation'!$I$49/'Portfolio x PD x Loan Count'!C66</f>
        <v>71.889458301839255</v>
      </c>
      <c r="D35" s="96">
        <f>D20*'Portfolio x PD x Loan Count'!D134*'User Segmentation'!$I$49/'Portfolio x PD x Loan Count'!D66</f>
        <v>31.938815012671725</v>
      </c>
      <c r="E35" s="96">
        <f>E20*'Portfolio x PD x Loan Count'!E134*'User Segmentation'!$I$49/'Portfolio x PD x Loan Count'!E66</f>
        <v>43.949058215451586</v>
      </c>
      <c r="F35" s="96">
        <f>F20*'Portfolio x PD x Loan Count'!F134*'User Segmentation'!$I$49/'Portfolio x PD x Loan Count'!F66</f>
        <v>57.078634595114103</v>
      </c>
      <c r="G35" s="96">
        <f>G20*'Portfolio x PD x Loan Count'!G134*'User Segmentation'!$I$49/'Portfolio x PD x Loan Count'!G66</f>
        <v>64.387348340548343</v>
      </c>
      <c r="H35" s="94"/>
      <c r="I35" s="84" t="s">
        <v>29</v>
      </c>
      <c r="J35" s="85" t="s">
        <v>37</v>
      </c>
      <c r="K35" s="96" cm="1">
        <f t="array" ref="K35">C20*Dynamic_Row_Table[[Funding Rate]:[Funding Rate]]*Dynamic_Row_Table[[Tenure (in months)]:[Tenure (in months)]]/12</f>
        <v>1.2982390873015872</v>
      </c>
      <c r="L35" s="96" cm="1">
        <f t="array" ref="L35">D20*Dynamic_Row_Table[[Funding Rate]:[Funding Rate]]*Dynamic_Row_Table[[Tenure (in months)]:[Tenure (in months)]]/12</f>
        <v>1.6125496031746032</v>
      </c>
      <c r="M35" s="96" cm="1">
        <f t="array" ref="M35">E20*Dynamic_Row_Table[[Funding Rate]:[Funding Rate]]*Dynamic_Row_Table[[Tenure (in months)]:[Tenure (in months)]]/12</f>
        <v>2.1591765873015869</v>
      </c>
      <c r="N35" s="96" cm="1">
        <f t="array" ref="N35">F20*Dynamic_Row_Table[[Funding Rate]:[Funding Rate]]*Dynamic_Row_Table[[Tenure (in months)]:[Tenure (in months)]]/12</f>
        <v>3.0064484126984126</v>
      </c>
      <c r="O35" s="96" cm="1">
        <f t="array" ref="O35">G20*Dynamic_Row_Table[[Funding Rate]:[Funding Rate]]*Dynamic_Row_Table[[Tenure (in months)]:[Tenure (in months)]]/12</f>
        <v>3.9630456349206344</v>
      </c>
    </row>
    <row r="36" spans="1:15" x14ac:dyDescent="0.2">
      <c r="A36" s="87" t="s">
        <v>30</v>
      </c>
      <c r="B36" s="88" t="s">
        <v>35</v>
      </c>
      <c r="C36" s="96">
        <f>C21*'Portfolio x PD x Loan Count'!C135*'User Segmentation'!$I$49/'Portfolio x PD x Loan Count'!C67</f>
        <v>48.007023522828234</v>
      </c>
      <c r="D36" s="96">
        <f>D21*'Portfolio x PD x Loan Count'!D135*'User Segmentation'!$I$49/'Portfolio x PD x Loan Count'!D67</f>
        <v>20.849550173102568</v>
      </c>
      <c r="E36" s="96">
        <f>E21*'Portfolio x PD x Loan Count'!E135*'User Segmentation'!$I$49/'Portfolio x PD x Loan Count'!E67</f>
        <v>28.989688906420021</v>
      </c>
      <c r="F36" s="96">
        <f>F21*'Portfolio x PD x Loan Count'!F135*'User Segmentation'!$I$49/'Portfolio x PD x Loan Count'!F67</f>
        <v>35.269407212999134</v>
      </c>
      <c r="G36" s="96">
        <f>G21*'Portfolio x PD x Loan Count'!G135*'User Segmentation'!$I$49/'Portfolio x PD x Loan Count'!G67</f>
        <v>37.300256969696967</v>
      </c>
      <c r="H36" s="94"/>
      <c r="I36" s="87" t="s">
        <v>30</v>
      </c>
      <c r="J36" s="88" t="s">
        <v>35</v>
      </c>
      <c r="K36" s="96" cm="1">
        <f t="array" ref="K36">C21*Dynamic_Row_Table[[Funding Rate]:[Funding Rate]]*Dynamic_Row_Table[[Tenure (in months)]:[Tenure (in months)]]/12</f>
        <v>0.86695039682539676</v>
      </c>
      <c r="L36" s="96" cm="1">
        <f t="array" ref="L36">D21*Dynamic_Row_Table[[Funding Rate]:[Funding Rate]]*Dynamic_Row_Table[[Tenure (in months)]:[Tenure (in months)]]/12</f>
        <v>1.0526669146825396</v>
      </c>
      <c r="M36" s="96" cm="1">
        <f t="array" ref="M36">E21*Dynamic_Row_Table[[Funding Rate]:[Funding Rate]]*Dynamic_Row_Table[[Tenure (in months)]:[Tenure (in months)]]/12</f>
        <v>1.4242366071428567</v>
      </c>
      <c r="N36" s="96" cm="1">
        <f t="array" ref="N36">F21*Dynamic_Row_Table[[Funding Rate]:[Funding Rate]]*Dynamic_Row_Table[[Tenure (in months)]:[Tenure (in months)]]/12</f>
        <v>1.8577118055555555</v>
      </c>
      <c r="O36" s="96" cm="1">
        <f t="array" ref="O36">G21*Dynamic_Row_Table[[Funding Rate]:[Funding Rate]]*Dynamic_Row_Table[[Tenure (in months)]:[Tenure (in months)]]/12</f>
        <v>2.2958333333333329</v>
      </c>
    </row>
    <row r="37" spans="1:15" x14ac:dyDescent="0.2">
      <c r="A37" s="84" t="s">
        <v>30</v>
      </c>
      <c r="B37" s="85" t="s">
        <v>36</v>
      </c>
      <c r="C37" s="96">
        <f>C22*'Portfolio x PD x Loan Count'!C136*'User Segmentation'!$I$49/'Portfolio x PD x Loan Count'!C68</f>
        <v>65.146983844266771</v>
      </c>
      <c r="D37" s="96">
        <f>D22*'Portfolio x PD x Loan Count'!D136*'User Segmentation'!$I$49/'Portfolio x PD x Loan Count'!D68</f>
        <v>30.661262412164863</v>
      </c>
      <c r="E37" s="96">
        <f>E22*'Portfolio x PD x Loan Count'!E136*'User Segmentation'!$I$49/'Portfolio x PD x Loan Count'!E68</f>
        <v>45.376011814472257</v>
      </c>
      <c r="F37" s="96">
        <f>F22*'Portfolio x PD x Loan Count'!F136*'User Segmentation'!$I$49/'Portfolio x PD x Loan Count'!F68</f>
        <v>56.559737916976694</v>
      </c>
      <c r="G37" s="96">
        <f>G22*'Portfolio x PD x Loan Count'!G136*'User Segmentation'!$I$49/'Portfolio x PD x Loan Count'!G68</f>
        <v>64.831399018759029</v>
      </c>
      <c r="H37" s="94"/>
      <c r="I37" s="84" t="s">
        <v>30</v>
      </c>
      <c r="J37" s="85" t="s">
        <v>36</v>
      </c>
      <c r="K37" s="96" cm="1">
        <f t="array" ref="K37">C22*Dynamic_Row_Table[[Funding Rate]:[Funding Rate]]*Dynamic_Row_Table[[Tenure (in months)]:[Tenure (in months)]]/12</f>
        <v>1.1764779265873015</v>
      </c>
      <c r="L37" s="96" cm="1">
        <f t="array" ref="L37">D22*Dynamic_Row_Table[[Funding Rate]:[Funding Rate]]*Dynamic_Row_Table[[Tenure (in months)]:[Tenure (in months)]]/12</f>
        <v>1.5480476190476189</v>
      </c>
      <c r="M37" s="96" cm="1">
        <f t="array" ref="M37">E22*Dynamic_Row_Table[[Funding Rate]:[Funding Rate]]*Dynamic_Row_Table[[Tenure (in months)]:[Tenure (in months)]]/12</f>
        <v>2.2292814980158728</v>
      </c>
      <c r="N37" s="96" cm="1">
        <f t="array" ref="N37">F22*Dynamic_Row_Table[[Funding Rate]:[Funding Rate]]*Dynamic_Row_Table[[Tenure (in months)]:[Tenure (in months)]]/12</f>
        <v>2.9791170634920632</v>
      </c>
      <c r="O37" s="96" cm="1">
        <f t="array" ref="O37">G22*Dynamic_Row_Table[[Funding Rate]:[Funding Rate]]*Dynamic_Row_Table[[Tenure (in months)]:[Tenure (in months)]]/12</f>
        <v>3.9903769841269843</v>
      </c>
    </row>
    <row r="38" spans="1:15" x14ac:dyDescent="0.2">
      <c r="A38" s="87" t="s">
        <v>30</v>
      </c>
      <c r="B38" s="88" t="s">
        <v>37</v>
      </c>
      <c r="C38" s="96">
        <f>C23*'Portfolio x PD x Loan Count'!C137*'User Segmentation'!$I$49/'Portfolio x PD x Loan Count'!C69</f>
        <v>99.888510482555617</v>
      </c>
      <c r="D38" s="96">
        <f>D23*'Portfolio x PD x Loan Count'!D137*'User Segmentation'!$I$49/'Portfolio x PD x Loan Count'!D69</f>
        <v>49.261562138188594</v>
      </c>
      <c r="E38" s="96">
        <f>E23*'Portfolio x PD x Loan Count'!E137*'User Segmentation'!$I$49/'Portfolio x PD x Loan Count'!E69</f>
        <v>73.712028019586512</v>
      </c>
      <c r="F38" s="96">
        <f>F23*'Portfolio x PD x Loan Count'!F137*'User Segmentation'!$I$49/'Portfolio x PD x Loan Count'!F69</f>
        <v>87.693538605220738</v>
      </c>
      <c r="G38" s="96">
        <f>G23*'Portfolio x PD x Loan Count'!G137*'User Segmentation'!$I$49/'Portfolio x PD x Loan Count'!G69</f>
        <v>87.700008946608961</v>
      </c>
      <c r="H38" s="94"/>
      <c r="I38" s="87" t="s">
        <v>30</v>
      </c>
      <c r="J38" s="88" t="s">
        <v>37</v>
      </c>
      <c r="K38" s="96" cm="1">
        <f t="array" ref="K38">C23*Dynamic_Row_Table[[Funding Rate]:[Funding Rate]]*Dynamic_Row_Table[[Tenure (in months)]:[Tenure (in months)]]/12</f>
        <v>1.8038690476190478</v>
      </c>
      <c r="L38" s="96" cm="1">
        <f t="array" ref="L38">D23*Dynamic_Row_Table[[Funding Rate]:[Funding Rate]]*Dynamic_Row_Table[[Tenure (in months)]:[Tenure (in months)]]/12</f>
        <v>2.4871527777777778</v>
      </c>
      <c r="M38" s="96" cm="1">
        <f t="array" ref="M38">E23*Dynamic_Row_Table[[Funding Rate]:[Funding Rate]]*Dynamic_Row_Table[[Tenure (in months)]:[Tenure (in months)]]/12</f>
        <v>3.6214037698412693</v>
      </c>
      <c r="N38" s="96" cm="1">
        <f t="array" ref="N38">F23*Dynamic_Row_Table[[Funding Rate]:[Funding Rate]]*Dynamic_Row_Table[[Tenure (in months)]:[Tenure (in months)]]/12</f>
        <v>4.6189980158730153</v>
      </c>
      <c r="O38" s="96" cm="1">
        <f t="array" ref="O38">G23*Dynamic_Row_Table[[Funding Rate]:[Funding Rate]]*Dynamic_Row_Table[[Tenure (in months)]:[Tenure (in months)]]/12</f>
        <v>5.3979414682539684</v>
      </c>
    </row>
    <row r="39" spans="1:15" x14ac:dyDescent="0.2">
      <c r="A39" s="84" t="s">
        <v>32</v>
      </c>
      <c r="B39" s="85" t="s">
        <v>35</v>
      </c>
      <c r="C39" s="96">
        <f>C24*'Portfolio x PD x Loan Count'!C138*'User Segmentation'!$I$49/'Portfolio x PD x Loan Count'!C70</f>
        <v>51.435015587115942</v>
      </c>
      <c r="D39" s="96">
        <f>D24*'Portfolio x PD x Loan Count'!D138*'User Segmentation'!$I$49/'Portfolio x PD x Loan Count'!D70</f>
        <v>22.075675868080562</v>
      </c>
      <c r="E39" s="96">
        <f>E24*'Portfolio x PD x Loan Count'!E138*'User Segmentation'!$I$49/'Portfolio x PD x Loan Count'!E70</f>
        <v>30.249747347660509</v>
      </c>
      <c r="F39" s="96">
        <f>F24*'Portfolio x PD x Loan Count'!F138*'User Segmentation'!$I$49/'Portfolio x PD x Loan Count'!F70</f>
        <v>36.444708188980343</v>
      </c>
      <c r="G39" s="96">
        <f>G24*'Portfolio x PD x Loan Count'!G138*'User Segmentation'!$I$49/'Portfolio x PD x Loan Count'!G70</f>
        <v>37.224768354401157</v>
      </c>
      <c r="H39" s="94"/>
      <c r="I39" s="84" t="s">
        <v>32</v>
      </c>
      <c r="J39" s="85" t="s">
        <v>35</v>
      </c>
      <c r="K39" s="96" cm="1">
        <f t="array" ref="K39">C24*Dynamic_Row_Table[[Funding Rate]:[Funding Rate]]*Dynamic_Row_Table[[Tenure (in months)]:[Tenure (in months)]]/12</f>
        <v>0.92885590277777774</v>
      </c>
      <c r="L39" s="96" cm="1">
        <f t="array" ref="L39">D24*Dynamic_Row_Table[[Funding Rate]:[Funding Rate]]*Dynamic_Row_Table[[Tenure (in months)]:[Tenure (in months)]]/12</f>
        <v>1.1145724206349206</v>
      </c>
      <c r="M39" s="96" cm="1">
        <f t="array" ref="M39">E24*Dynamic_Row_Table[[Funding Rate]:[Funding Rate]]*Dynamic_Row_Table[[Tenure (in months)]:[Tenure (in months)]]/12</f>
        <v>1.4861421130952381</v>
      </c>
      <c r="N39" s="96" cm="1">
        <f t="array" ref="N39">F24*Dynamic_Row_Table[[Funding Rate]:[Funding Rate]]*Dynamic_Row_Table[[Tenure (in months)]:[Tenure (in months)]]/12</f>
        <v>1.9196173115079362</v>
      </c>
      <c r="O39" s="96" cm="1">
        <f t="array" ref="O39">G24*Dynamic_Row_Table[[Funding Rate]:[Funding Rate]]*Dynamic_Row_Table[[Tenure (in months)]:[Tenure (in months)]]/12</f>
        <v>2.291187003968254</v>
      </c>
    </row>
    <row r="40" spans="1:15" x14ac:dyDescent="0.2">
      <c r="A40" s="87" t="s">
        <v>32</v>
      </c>
      <c r="B40" s="88" t="s">
        <v>36</v>
      </c>
      <c r="C40" s="96">
        <f>C25*'Portfolio x PD x Loan Count'!C139*'User Segmentation'!$I$49/'Portfolio x PD x Loan Count'!C71</f>
        <v>75.438527348530059</v>
      </c>
      <c r="D40" s="96">
        <f>D25*'Portfolio x PD x Loan Count'!D139*'User Segmentation'!$I$49/'Portfolio x PD x Loan Count'!D71</f>
        <v>36.794597566293177</v>
      </c>
      <c r="E40" s="96">
        <f>E25*'Portfolio x PD x Loan Count'!E139*'User Segmentation'!$I$49/'Portfolio x PD x Loan Count'!E71</f>
        <v>55.459260930359093</v>
      </c>
      <c r="F40" s="96">
        <f>F25*'Portfolio x PD x Loan Count'!F139*'User Segmentation'!$I$49/'Portfolio x PD x Loan Count'!F71</f>
        <v>71.348293243892613</v>
      </c>
      <c r="G40" s="96">
        <f>G25*'Portfolio x PD x Loan Count'!G139*'User Segmentation'!$I$49/'Portfolio x PD x Loan Count'!G71</f>
        <v>79.929122077922102</v>
      </c>
      <c r="H40" s="94"/>
      <c r="I40" s="87" t="s">
        <v>32</v>
      </c>
      <c r="J40" s="88" t="s">
        <v>36</v>
      </c>
      <c r="K40" s="96" cm="1">
        <f t="array" ref="K40">C25*Dynamic_Row_Table[[Funding Rate]:[Funding Rate]]*Dynamic_Row_Table[[Tenure (in months)]:[Tenure (in months)]]/12</f>
        <v>1.362331101190476</v>
      </c>
      <c r="L40" s="96" cm="1">
        <f t="array" ref="L40">D25*Dynamic_Row_Table[[Funding Rate]:[Funding Rate]]*Dynamic_Row_Table[[Tenure (in months)]:[Tenure (in months)]]/12</f>
        <v>1.8577118055555555</v>
      </c>
      <c r="M40" s="96" cm="1">
        <f t="array" ref="M40">E25*Dynamic_Row_Table[[Funding Rate]:[Funding Rate]]*Dynamic_Row_Table[[Tenure (in months)]:[Tenure (in months)]]/12</f>
        <v>2.7246622023809519</v>
      </c>
      <c r="N40" s="96" cm="1">
        <f t="array" ref="N40">F25*Dynamic_Row_Table[[Funding Rate]:[Funding Rate]]*Dynamic_Row_Table[[Tenure (in months)]:[Tenure (in months)]]/12</f>
        <v>3.7580605158730154</v>
      </c>
      <c r="O40" s="96" cm="1">
        <f t="array" ref="O40">G25*Dynamic_Row_Table[[Funding Rate]:[Funding Rate]]*Dynamic_Row_Table[[Tenure (in months)]:[Tenure (in months)]]/12</f>
        <v>4.9196428571428568</v>
      </c>
    </row>
    <row r="41" spans="1:15" x14ac:dyDescent="0.2">
      <c r="A41" s="84" t="s">
        <v>32</v>
      </c>
      <c r="B41" s="85" t="s">
        <v>37</v>
      </c>
      <c r="C41" s="96">
        <f>C26*'Portfolio x PD x Loan Count'!C140*'User Segmentation'!$I$49/'Portfolio x PD x Loan Count'!C72</f>
        <v>119.56352012305898</v>
      </c>
      <c r="D41" s="96">
        <f>D26*'Portfolio x PD x Loan Count'!D140*'User Segmentation'!$I$49/'Portfolio x PD x Loan Count'!D72</f>
        <v>60.629614939309036</v>
      </c>
      <c r="E41" s="96">
        <f>E26*'Portfolio x PD x Loan Count'!E140*'User Segmentation'!$I$49/'Portfolio x PD x Loan Count'!E72</f>
        <v>91.236019586507084</v>
      </c>
      <c r="F41" s="96">
        <f>F26*'Portfolio x PD x Loan Count'!F140*'User Segmentation'!$I$49/'Portfolio x PD x Loan Count'!F72</f>
        <v>95.476988777281761</v>
      </c>
      <c r="G41" s="96">
        <f>G26*'Portfolio x PD x Loan Count'!G140*'User Segmentation'!$I$49/'Portfolio x PD x Loan Count'!G72</f>
        <v>87.700008946608961</v>
      </c>
      <c r="H41" s="94"/>
      <c r="I41" s="84" t="s">
        <v>32</v>
      </c>
      <c r="J41" s="85" t="s">
        <v>37</v>
      </c>
      <c r="K41" s="96" cm="1">
        <f t="array" ref="K41">C26*Dynamic_Row_Table[[Funding Rate]:[Funding Rate]]*Dynamic_Row_Table[[Tenure (in months)]:[Tenure (in months)]]/12</f>
        <v>2.1591765873015869</v>
      </c>
      <c r="L41" s="96" cm="1">
        <f t="array" ref="L41">D26*Dynamic_Row_Table[[Funding Rate]:[Funding Rate]]*Dynamic_Row_Table[[Tenure (in months)]:[Tenure (in months)]]/12</f>
        <v>3.0611111111111113</v>
      </c>
      <c r="M41" s="96" cm="1">
        <f t="array" ref="M41">E26*Dynamic_Row_Table[[Funding Rate]:[Funding Rate]]*Dynamic_Row_Table[[Tenure (in months)]:[Tenure (in months)]]/12</f>
        <v>4.4823412698412692</v>
      </c>
      <c r="N41" s="96" cm="1">
        <f t="array" ref="N41">F26*Dynamic_Row_Table[[Funding Rate]:[Funding Rate]]*Dynamic_Row_Table[[Tenure (in months)]:[Tenure (in months)]]/12</f>
        <v>5.0289682539682534</v>
      </c>
      <c r="O41" s="96" cm="1">
        <f t="array" ref="O41">G26*Dynamic_Row_Table[[Funding Rate]:[Funding Rate]]*Dynamic_Row_Table[[Tenure (in months)]:[Tenure (in months)]]/12</f>
        <v>5.3979414682539684</v>
      </c>
    </row>
    <row r="42" spans="1:15" x14ac:dyDescent="0.2">
      <c r="A42" s="87" t="s">
        <v>51</v>
      </c>
      <c r="B42" s="88" t="s">
        <v>35</v>
      </c>
      <c r="C42" s="96">
        <f>C27*'Portfolio x PD x Loan Count'!C141*'User Segmentation'!$I$49/'Portfolio x PD x Loan Count'!C73</f>
        <v>41.151039394252834</v>
      </c>
      <c r="D42" s="96">
        <f>D27*'Portfolio x PD x Loan Count'!D141*'User Segmentation'!$I$49/'Portfolio x PD x Loan Count'!D73</f>
        <v>18.397298783146585</v>
      </c>
      <c r="E42" s="96">
        <f>E27*'Portfolio x PD x Loan Count'!E141*'User Segmentation'!$I$49/'Portfolio x PD x Loan Count'!E73</f>
        <v>23.946673555495106</v>
      </c>
      <c r="F42" s="96">
        <f>F27*'Portfolio x PD x Loan Count'!F141*'User Segmentation'!$I$49/'Portfolio x PD x Loan Count'!F73</f>
        <v>28.215006873721173</v>
      </c>
      <c r="G42" s="96">
        <f>G27*'Portfolio x PD x Loan Count'!G141*'User Segmentation'!$I$49/'Portfolio x PD x Loan Count'!G73</f>
        <v>30.182124597979794</v>
      </c>
      <c r="H42" s="94"/>
      <c r="I42" s="87" t="s">
        <v>51</v>
      </c>
      <c r="J42" s="88" t="s">
        <v>35</v>
      </c>
      <c r="K42" s="96" cm="1">
        <f t="array" ref="K42">C27*Dynamic_Row_Table[[Funding Rate]:[Funding Rate]]*Dynamic_Row_Table[[Tenure (in months)]:[Tenure (in months)]]/12</f>
        <v>0.7431393849206348</v>
      </c>
      <c r="L42" s="96" cm="1">
        <f t="array" ref="L42">D27*Dynamic_Row_Table[[Funding Rate]:[Funding Rate]]*Dynamic_Row_Table[[Tenure (in months)]:[Tenure (in months)]]/12</f>
        <v>0.92885590277777774</v>
      </c>
      <c r="M42" s="96" cm="1">
        <f t="array" ref="M42">E27*Dynamic_Row_Table[[Funding Rate]:[Funding Rate]]*Dynamic_Row_Table[[Tenure (in months)]:[Tenure (in months)]]/12</f>
        <v>1.1764779265873015</v>
      </c>
      <c r="N42" s="96" cm="1">
        <f t="array" ref="N42">F27*Dynamic_Row_Table[[Funding Rate]:[Funding Rate]]*Dynamic_Row_Table[[Tenure (in months)]:[Tenure (in months)]]/12</f>
        <v>1.4861421130952381</v>
      </c>
      <c r="O42" s="96" cm="1">
        <f t="array" ref="O42">G27*Dynamic_Row_Table[[Funding Rate]:[Funding Rate]]*Dynamic_Row_Table[[Tenure (in months)]:[Tenure (in months)]]/12</f>
        <v>1.8577118055555555</v>
      </c>
    </row>
    <row r="43" spans="1:15" x14ac:dyDescent="0.2">
      <c r="A43" s="84" t="s">
        <v>51</v>
      </c>
      <c r="B43" s="85" t="s">
        <v>36</v>
      </c>
      <c r="C43" s="96">
        <f>C28*'Portfolio x PD x Loan Count'!C142*'User Segmentation'!$I$49/'Portfolio x PD x Loan Count'!C74</f>
        <v>61.718991779979063</v>
      </c>
      <c r="D43" s="96">
        <f>D28*'Portfolio x PD x Loan Count'!D142*'User Segmentation'!$I$49/'Portfolio x PD x Loan Count'!D74</f>
        <v>28.209011022208873</v>
      </c>
      <c r="E43" s="96">
        <f>E28*'Portfolio x PD x Loan Count'!E142*'User Segmentation'!$I$49/'Portfolio x PD x Loan Count'!E74</f>
        <v>40.332996463547332</v>
      </c>
      <c r="F43" s="96">
        <f>F28*'Portfolio x PD x Loan Count'!F142*'User Segmentation'!$I$49/'Portfolio x PD x Loan Count'!F74</f>
        <v>49.814081101190482</v>
      </c>
      <c r="G43" s="96">
        <f>G28*'Portfolio x PD x Loan Count'!G142*'User Segmentation'!$I$49/'Portfolio x PD x Loan Count'!G74</f>
        <v>56.616461471861463</v>
      </c>
      <c r="H43" s="94"/>
      <c r="I43" s="84" t="s">
        <v>51</v>
      </c>
      <c r="J43" s="85" t="s">
        <v>36</v>
      </c>
      <c r="K43" s="96" cm="1">
        <f t="array" ref="K43">C28*Dynamic_Row_Table[[Funding Rate]:[Funding Rate]]*Dynamic_Row_Table[[Tenure (in months)]:[Tenure (in months)]]/12</f>
        <v>1.1145724206349206</v>
      </c>
      <c r="L43" s="96" cm="1">
        <f t="array" ref="L43">D28*Dynamic_Row_Table[[Funding Rate]:[Funding Rate]]*Dynamic_Row_Table[[Tenure (in months)]:[Tenure (in months)]]/12</f>
        <v>1.4242366071428567</v>
      </c>
      <c r="M43" s="96" cm="1">
        <f t="array" ref="M43">E28*Dynamic_Row_Table[[Funding Rate]:[Funding Rate]]*Dynamic_Row_Table[[Tenure (in months)]:[Tenure (in months)]]/12</f>
        <v>1.9815228174603172</v>
      </c>
      <c r="N43" s="96" cm="1">
        <f t="array" ref="N43">F28*Dynamic_Row_Table[[Funding Rate]:[Funding Rate]]*Dynamic_Row_Table[[Tenure (in months)]:[Tenure (in months)]]/12</f>
        <v>2.6238095238095238</v>
      </c>
      <c r="O43" s="96" cm="1">
        <f t="array" ref="O43">G28*Dynamic_Row_Table[[Funding Rate]:[Funding Rate]]*Dynamic_Row_Table[[Tenure (in months)]:[Tenure (in months)]]/12</f>
        <v>3.4847470238095233</v>
      </c>
    </row>
    <row r="44" spans="1:15" ht="17" x14ac:dyDescent="0.2">
      <c r="A44" s="89" t="s">
        <v>51</v>
      </c>
      <c r="B44" s="88" t="s">
        <v>37</v>
      </c>
      <c r="C44" s="96">
        <f>C29*'Portfolio x PD x Loan Count'!C143*'User Segmentation'!$I$49/'Portfolio x PD x Loan Count'!C75</f>
        <v>93.834661362400723</v>
      </c>
      <c r="D44" s="96">
        <f>D29*'Portfolio x PD x Loan Count'!D143*'User Segmentation'!$I$49/'Portfolio x PD x Loan Count'!D75</f>
        <v>45.472211204481781</v>
      </c>
      <c r="E44" s="96">
        <f>E29*'Portfolio x PD x Loan Count'!E143*'User Segmentation'!$I$49/'Portfolio x PD x Loan Count'!E75</f>
        <v>68.14885609357998</v>
      </c>
      <c r="F44" s="96">
        <f>F29*'Portfolio x PD x Loan Count'!F143*'User Segmentation'!$I$49/'Portfolio x PD x Loan Count'!F75</f>
        <v>82.504571823846746</v>
      </c>
      <c r="G44" s="96">
        <f>G29*'Portfolio x PD x Loan Count'!G143*'User Segmentation'!$I$49/'Portfolio x PD x Loan Count'!G75</f>
        <v>83.25950216450218</v>
      </c>
      <c r="H44" s="94"/>
      <c r="I44" s="89" t="s">
        <v>51</v>
      </c>
      <c r="J44" s="88" t="s">
        <v>37</v>
      </c>
      <c r="K44" s="96" cm="1">
        <f t="array" ref="K44">C29*Dynamic_Row_Table[[Funding Rate]:[Funding Rate]]*Dynamic_Row_Table[[Tenure (in months)]:[Tenure (in months)]]/12</f>
        <v>1.6945436507936507</v>
      </c>
      <c r="L44" s="96" cm="1">
        <f t="array" ref="L44">D29*Dynamic_Row_Table[[Funding Rate]:[Funding Rate]]*Dynamic_Row_Table[[Tenure (in months)]:[Tenure (in months)]]/12</f>
        <v>2.2958333333333329</v>
      </c>
      <c r="M44" s="96" cm="1">
        <f t="array" ref="M44">E29*Dynamic_Row_Table[[Funding Rate]:[Funding Rate]]*Dynamic_Row_Table[[Tenure (in months)]:[Tenure (in months)]]/12</f>
        <v>3.3480902777777772</v>
      </c>
      <c r="N44" s="96" cm="1">
        <f t="array" ref="N44">F29*Dynamic_Row_Table[[Funding Rate]:[Funding Rate]]*Dynamic_Row_Table[[Tenure (in months)]:[Tenure (in months)]]/12</f>
        <v>4.3456845238095232</v>
      </c>
      <c r="O44" s="96" cm="1">
        <f t="array" ref="O44">G29*Dynamic_Row_Table[[Funding Rate]:[Funding Rate]]*Dynamic_Row_Table[[Tenure (in months)]:[Tenure (in months)]]/12</f>
        <v>5.1246279761904763</v>
      </c>
    </row>
    <row r="46" spans="1:15" ht="17" x14ac:dyDescent="0.2">
      <c r="A46" s="62" t="s">
        <v>109</v>
      </c>
      <c r="D46" s="2"/>
      <c r="I46" s="100" t="s">
        <v>126</v>
      </c>
      <c r="J46" s="9"/>
      <c r="K46" s="9"/>
      <c r="L46" s="2"/>
      <c r="M46" s="9"/>
      <c r="N46" s="9"/>
      <c r="O46" s="9"/>
    </row>
    <row r="47" spans="1:15" x14ac:dyDescent="0.2">
      <c r="A47" t="s">
        <v>0</v>
      </c>
      <c r="B47" t="s">
        <v>38</v>
      </c>
      <c r="C47" t="s">
        <v>58</v>
      </c>
      <c r="D47" t="s">
        <v>83</v>
      </c>
      <c r="E47" t="s">
        <v>60</v>
      </c>
      <c r="F47" t="s">
        <v>61</v>
      </c>
      <c r="G47" t="s">
        <v>62</v>
      </c>
      <c r="I47" s="75" t="s">
        <v>0</v>
      </c>
      <c r="J47" s="75" t="s">
        <v>34</v>
      </c>
      <c r="K47" s="75" t="s">
        <v>58</v>
      </c>
      <c r="L47" s="75" t="s">
        <v>83</v>
      </c>
      <c r="M47" s="75" t="s">
        <v>60</v>
      </c>
      <c r="N47" s="75" t="s">
        <v>61</v>
      </c>
      <c r="O47" s="76" t="s">
        <v>62</v>
      </c>
    </row>
    <row r="48" spans="1:15" x14ac:dyDescent="0.2">
      <c r="A48" s="69" t="s">
        <v>29</v>
      </c>
      <c r="B48" s="73" t="s">
        <v>35</v>
      </c>
      <c r="C48" s="98">
        <f>C33*'Portfolio x PD x Loan Count'!C64</f>
        <v>190.6797911009991</v>
      </c>
      <c r="D48" s="98">
        <f>D33*'Portfolio x PD x Loan Count'!D64</f>
        <v>66.8664693258075</v>
      </c>
      <c r="E48" s="98">
        <f>E33*'Portfolio x PD x Loan Count'!E64</f>
        <v>40.77674961211153</v>
      </c>
      <c r="F48" s="98">
        <f>F33*'Portfolio x PD x Loan Count'!F64</f>
        <v>35.328341761560374</v>
      </c>
      <c r="G48" s="98">
        <f>G33*'Portfolio x PD x Loan Count'!G64</f>
        <v>14.097348965752136</v>
      </c>
      <c r="I48" s="73" t="s">
        <v>29</v>
      </c>
      <c r="J48" s="73" t="s">
        <v>35</v>
      </c>
      <c r="K48" s="101">
        <f>C18*'User Segmentation'!$I$49</f>
        <v>2.867777777777778</v>
      </c>
      <c r="L48" s="101">
        <f>D18*'User Segmentation'!$I$49</f>
        <v>3.3896626984126983</v>
      </c>
      <c r="M48" s="101">
        <f>E18*'User Segmentation'!$I$49</f>
        <v>4.4322817460317463</v>
      </c>
      <c r="N48" s="101">
        <f>F18*'User Segmentation'!$I$49</f>
        <v>5.7361309523809521</v>
      </c>
      <c r="O48" s="101">
        <f>G18*'User Segmentation'!$I$49</f>
        <v>7.561289682539682</v>
      </c>
    </row>
    <row r="49" spans="1:15" x14ac:dyDescent="0.2">
      <c r="A49" s="87" t="s">
        <v>29</v>
      </c>
      <c r="B49" s="88" t="s">
        <v>36</v>
      </c>
      <c r="C49" s="98">
        <f>C34*'Portfolio x PD x Loan Count'!C65</f>
        <v>15.289488113849849</v>
      </c>
      <c r="D49" s="98">
        <f>D34*'Portfolio x PD x Loan Count'!D65</f>
        <v>10.873839595718216</v>
      </c>
      <c r="E49" s="98">
        <f>E34*'Portfolio x PD x Loan Count'!E65</f>
        <v>20.097527134234898</v>
      </c>
      <c r="F49" s="98">
        <f>F34*'Portfolio x PD x Loan Count'!F65</f>
        <v>28.376372327294465</v>
      </c>
      <c r="G49" s="98">
        <f>G34*'Portfolio x PD x Loan Count'!G65</f>
        <v>19.746324741910975</v>
      </c>
      <c r="I49" s="74" t="s">
        <v>29</v>
      </c>
      <c r="J49" s="74" t="s">
        <v>36</v>
      </c>
      <c r="K49" s="101">
        <f>C19*'User Segmentation'!$I$49</f>
        <v>4.1716269841269833</v>
      </c>
      <c r="L49" s="101">
        <f>D19*'User Segmentation'!$I$49</f>
        <v>4.9535912698412696</v>
      </c>
      <c r="M49" s="101">
        <f>E19*'User Segmentation'!$I$49</f>
        <v>6.2574404761904763</v>
      </c>
      <c r="N49" s="101">
        <f>F19*'User Segmentation'!$I$49</f>
        <v>8.3432539682539666</v>
      </c>
      <c r="O49" s="101">
        <f>G19*'User Segmentation'!$I$49</f>
        <v>10.644841269841271</v>
      </c>
    </row>
    <row r="50" spans="1:15" x14ac:dyDescent="0.2">
      <c r="A50" s="84" t="s">
        <v>29</v>
      </c>
      <c r="B50" s="85" t="s">
        <v>37</v>
      </c>
      <c r="C50" s="98">
        <f>C35*'Portfolio x PD x Loan Count'!C66</f>
        <v>0.99020972244612349</v>
      </c>
      <c r="D50" s="98">
        <f>D35*'Portfolio x PD x Loan Count'!D66</f>
        <v>1.5166312018209132</v>
      </c>
      <c r="E50" s="98">
        <f>E35*'Portfolio x PD x Loan Count'!E66</f>
        <v>4.0408908355971951</v>
      </c>
      <c r="F50" s="98">
        <f>F35*'Portfolio x PD x Loan Count'!F66</f>
        <v>11.006606886819668</v>
      </c>
      <c r="G50" s="98">
        <f>G35*'Portfolio x PD x Loan Count'!G66</f>
        <v>18.117159319744115</v>
      </c>
      <c r="I50" s="73" t="s">
        <v>29</v>
      </c>
      <c r="J50" s="73" t="s">
        <v>37</v>
      </c>
      <c r="K50" s="101">
        <f>C20*'User Segmentation'!$I$49</f>
        <v>5.4662698412698418</v>
      </c>
      <c r="L50" s="101">
        <f>D20*'User Segmentation'!$I$49</f>
        <v>6.7896825396825395</v>
      </c>
      <c r="M50" s="101">
        <f>E20*'User Segmentation'!$I$49</f>
        <v>9.0912698412698401</v>
      </c>
      <c r="N50" s="101">
        <f>F20*'User Segmentation'!$I$49</f>
        <v>12.658730158730158</v>
      </c>
      <c r="O50" s="101">
        <f>G20*'User Segmentation'!$I$49</f>
        <v>16.686507936507933</v>
      </c>
    </row>
    <row r="51" spans="1:15" x14ac:dyDescent="0.2">
      <c r="A51" s="87" t="s">
        <v>30</v>
      </c>
      <c r="B51" s="88" t="s">
        <v>35</v>
      </c>
      <c r="C51" s="98">
        <f>C36*'Portfolio x PD x Loan Count'!C67</f>
        <v>140.73605914234224</v>
      </c>
      <c r="D51" s="98">
        <f>D36*'Portfolio x PD x Loan Count'!D67</f>
        <v>50.698469053607226</v>
      </c>
      <c r="E51" s="98">
        <f>E36*'Portfolio x PD x Loan Count'!E67</f>
        <v>31.99037662738688</v>
      </c>
      <c r="F51" s="98">
        <f>F36*'Portfolio x PD x Loan Count'!F67</f>
        <v>27.934088218440934</v>
      </c>
      <c r="G51" s="98">
        <f>G36*'Portfolio x PD x Loan Count'!G67</f>
        <v>10.450423598945648</v>
      </c>
      <c r="I51" s="74" t="s">
        <v>30</v>
      </c>
      <c r="J51" s="74" t="s">
        <v>35</v>
      </c>
      <c r="K51" s="101">
        <f>C21*'User Segmentation'!$I$49</f>
        <v>3.65031746031746</v>
      </c>
      <c r="L51" s="101">
        <f>D21*'User Segmentation'!$I$49</f>
        <v>4.4322817460317463</v>
      </c>
      <c r="M51" s="101">
        <f>E21*'User Segmentation'!$I$49</f>
        <v>5.9967857142857142</v>
      </c>
      <c r="N51" s="101">
        <f>F21*'User Segmentation'!$I$49</f>
        <v>7.8219444444444441</v>
      </c>
      <c r="O51" s="101">
        <f>G21*'User Segmentation'!$I$49</f>
        <v>9.6666666666666661</v>
      </c>
    </row>
    <row r="52" spans="1:15" x14ac:dyDescent="0.2">
      <c r="A52" s="84" t="s">
        <v>30</v>
      </c>
      <c r="B52" s="85" t="s">
        <v>36</v>
      </c>
      <c r="C52" s="98">
        <f>C37*'Portfolio x PD x Loan Count'!C68</f>
        <v>45.618953907385745</v>
      </c>
      <c r="D52" s="98">
        <f>D37*'Portfolio x PD x Loan Count'!D68</f>
        <v>35.951840646631169</v>
      </c>
      <c r="E52" s="98">
        <f>E37*'Portfolio x PD x Loan Count'!E68</f>
        <v>75.750389376049014</v>
      </c>
      <c r="F52" s="98">
        <f>F37*'Portfolio x PD x Loan Count'!F68</f>
        <v>107.19710099177848</v>
      </c>
      <c r="G52" s="98">
        <f>G37*'Portfolio x PD x Loan Count'!G68</f>
        <v>78.313218588829258</v>
      </c>
      <c r="I52" s="73" t="s">
        <v>30</v>
      </c>
      <c r="J52" s="73" t="s">
        <v>36</v>
      </c>
      <c r="K52" s="101">
        <f>C22*'User Segmentation'!$I$49</f>
        <v>4.9535912698412696</v>
      </c>
      <c r="L52" s="101">
        <f>D22*'User Segmentation'!$I$49</f>
        <v>6.5180952380952384</v>
      </c>
      <c r="M52" s="101">
        <f>E22*'User Segmentation'!$I$49</f>
        <v>9.386448412698412</v>
      </c>
      <c r="N52" s="101">
        <f>F22*'User Segmentation'!$I$49</f>
        <v>12.543650793650793</v>
      </c>
      <c r="O52" s="101">
        <f>G22*'User Segmentation'!$I$49</f>
        <v>16.801587301587301</v>
      </c>
    </row>
    <row r="53" spans="1:15" x14ac:dyDescent="0.2">
      <c r="A53" s="87" t="s">
        <v>30</v>
      </c>
      <c r="B53" s="88" t="s">
        <v>37</v>
      </c>
      <c r="C53" s="98">
        <f>C38*'Portfolio x PD x Loan Count'!C69</f>
        <v>10.371377500258344</v>
      </c>
      <c r="D53" s="98">
        <f>D38*'Portfolio x PD x Loan Count'!D69</f>
        <v>17.633084846423483</v>
      </c>
      <c r="E53" s="98">
        <f>E38*'Portfolio x PD x Loan Count'!E69</f>
        <v>51.088698046018635</v>
      </c>
      <c r="F53" s="98">
        <f>F38*'Portfolio x PD x Loan Count'!F69</f>
        <v>127.46953599716622</v>
      </c>
      <c r="G53" s="98">
        <f>G38*'Portfolio x PD x Loan Count'!G69</f>
        <v>186.01507053377233</v>
      </c>
      <c r="I53" s="74" t="s">
        <v>30</v>
      </c>
      <c r="J53" s="74" t="s">
        <v>37</v>
      </c>
      <c r="K53" s="101">
        <f>C23*'User Segmentation'!$I$49</f>
        <v>7.5952380952380949</v>
      </c>
      <c r="L53" s="101">
        <f>D23*'User Segmentation'!$I$49</f>
        <v>10.472222222222221</v>
      </c>
      <c r="M53" s="101">
        <f>E23*'User Segmentation'!$I$49</f>
        <v>15.248015873015872</v>
      </c>
      <c r="N53" s="101">
        <f>F23*'User Segmentation'!$I$49</f>
        <v>19.448412698412696</v>
      </c>
      <c r="O53" s="101">
        <f>G23*'User Segmentation'!$I$49</f>
        <v>22.728174603174605</v>
      </c>
    </row>
    <row r="54" spans="1:15" x14ac:dyDescent="0.2">
      <c r="A54" s="84" t="s">
        <v>32</v>
      </c>
      <c r="B54" s="85" t="s">
        <v>35</v>
      </c>
      <c r="C54" s="98">
        <f>C39*'Portfolio x PD x Loan Count'!C70</f>
        <v>53.97431966568503</v>
      </c>
      <c r="D54" s="98">
        <f>D39*'Portfolio x PD x Loan Count'!D70</f>
        <v>19.214976592043904</v>
      </c>
      <c r="E54" s="98">
        <f>E39*'Portfolio x PD x Loan Count'!E70</f>
        <v>11.948826230533463</v>
      </c>
      <c r="F54" s="98">
        <f>F39*'Portfolio x PD x Loan Count'!F70</f>
        <v>10.332335807588423</v>
      </c>
      <c r="G54" s="98">
        <f>G39*'Portfolio x PD x Loan Count'!G70</f>
        <v>3.7332044088097556</v>
      </c>
      <c r="I54" s="73" t="s">
        <v>32</v>
      </c>
      <c r="J54" s="73" t="s">
        <v>35</v>
      </c>
      <c r="K54" s="101">
        <f>C24*'User Segmentation'!$I$49</f>
        <v>3.9109722222222221</v>
      </c>
      <c r="L54" s="101">
        <f>D24*'User Segmentation'!$I$49</f>
        <v>4.6929365079365075</v>
      </c>
      <c r="M54" s="101">
        <f>E24*'User Segmentation'!$I$49</f>
        <v>6.2574404761904763</v>
      </c>
      <c r="N54" s="101">
        <f>F24*'User Segmentation'!$I$49</f>
        <v>8.0825992063492063</v>
      </c>
      <c r="O54" s="101">
        <f>G24*'User Segmentation'!$I$49</f>
        <v>9.6471031746031741</v>
      </c>
    </row>
    <row r="55" spans="1:15" x14ac:dyDescent="0.2">
      <c r="A55" s="87" t="s">
        <v>32</v>
      </c>
      <c r="B55" s="88" t="s">
        <v>36</v>
      </c>
      <c r="C55" s="98">
        <f>C40*'Portfolio x PD x Loan Count'!C71</f>
        <v>34.666766922361774</v>
      </c>
      <c r="D55" s="98">
        <f>D40*'Portfolio x PD x Loan Count'!D71</f>
        <v>28.312895467319645</v>
      </c>
      <c r="E55" s="98">
        <f>E40*'Portfolio x PD x Loan Count'!E71</f>
        <v>60.757760163097366</v>
      </c>
      <c r="F55" s="98">
        <f>F40*'Portfolio x PD x Loan Count'!F71</f>
        <v>88.741828087947681</v>
      </c>
      <c r="G55" s="98">
        <f>G40*'Portfolio x PD x Loan Count'!G71</f>
        <v>63.361266976787846</v>
      </c>
      <c r="I55" s="74" t="s">
        <v>32</v>
      </c>
      <c r="J55" s="74" t="s">
        <v>36</v>
      </c>
      <c r="K55" s="101">
        <f>C25*'User Segmentation'!$I$49</f>
        <v>5.7361309523809521</v>
      </c>
      <c r="L55" s="101">
        <f>D25*'User Segmentation'!$I$49</f>
        <v>7.8219444444444441</v>
      </c>
      <c r="M55" s="101">
        <f>E25*'User Segmentation'!$I$49</f>
        <v>11.472261904761904</v>
      </c>
      <c r="N55" s="101">
        <f>F25*'User Segmentation'!$I$49</f>
        <v>15.823412698412696</v>
      </c>
      <c r="O55" s="101">
        <f>G25*'User Segmentation'!$I$49</f>
        <v>20.714285714285715</v>
      </c>
    </row>
    <row r="56" spans="1:15" x14ac:dyDescent="0.2">
      <c r="A56" s="84" t="s">
        <v>32</v>
      </c>
      <c r="B56" s="85" t="s">
        <v>37</v>
      </c>
      <c r="C56" s="98">
        <f>C41*'Portfolio x PD x Loan Count'!C72</f>
        <v>8.8874524246209017</v>
      </c>
      <c r="D56" s="98">
        <f>D41*'Portfolio x PD x Loan Count'!D72</f>
        <v>15.536837327561365</v>
      </c>
      <c r="E56" s="98">
        <f>E41*'Portfolio x PD x Loan Count'!E72</f>
        <v>45.270000158066296</v>
      </c>
      <c r="F56" s="98">
        <f>F41*'Portfolio x PD x Loan Count'!F72</f>
        <v>99.356255217667751</v>
      </c>
      <c r="G56" s="98">
        <f>G41*'Portfolio x PD x Loan Count'!G72</f>
        <v>133.16982293116558</v>
      </c>
      <c r="I56" s="73" t="s">
        <v>32</v>
      </c>
      <c r="J56" s="73" t="s">
        <v>37</v>
      </c>
      <c r="K56" s="101">
        <f>C26*'User Segmentation'!$I$49</f>
        <v>9.0912698412698401</v>
      </c>
      <c r="L56" s="101">
        <f>D26*'User Segmentation'!$I$49</f>
        <v>12.888888888888889</v>
      </c>
      <c r="M56" s="101">
        <f>E26*'User Segmentation'!$I$49</f>
        <v>18.87301587301587</v>
      </c>
      <c r="N56" s="101">
        <f>F26*'User Segmentation'!$I$49</f>
        <v>21.174603174603174</v>
      </c>
      <c r="O56" s="101">
        <f>G26*'User Segmentation'!$I$49</f>
        <v>22.728174603174605</v>
      </c>
    </row>
    <row r="57" spans="1:15" x14ac:dyDescent="0.2">
      <c r="A57" s="87" t="s">
        <v>51</v>
      </c>
      <c r="B57" s="88" t="s">
        <v>35</v>
      </c>
      <c r="C57" s="98">
        <f>C42*'Portfolio x PD x Loan Count'!C73</f>
        <v>44.055820666934643</v>
      </c>
      <c r="D57" s="98">
        <f>D42*'Portfolio x PD x Loan Count'!D73</f>
        <v>16.337067296233442</v>
      </c>
      <c r="E57" s="98">
        <f>E42*'Portfolio x PD x Loan Count'!E73</f>
        <v>9.6503457401223844</v>
      </c>
      <c r="F57" s="98">
        <f>F42*'Portfolio x PD x Loan Count'!F73</f>
        <v>8.1609061072527744</v>
      </c>
      <c r="G57" s="98">
        <f>G42*'Portfolio x PD x Loan Count'!G73</f>
        <v>3.0881170931934983</v>
      </c>
      <c r="I57" s="74" t="s">
        <v>51</v>
      </c>
      <c r="J57" s="74" t="s">
        <v>35</v>
      </c>
      <c r="K57" s="101">
        <f>C27*'User Segmentation'!$I$49</f>
        <v>3.1290079365079366</v>
      </c>
      <c r="L57" s="101">
        <f>D27*'User Segmentation'!$I$49</f>
        <v>3.9109722222222221</v>
      </c>
      <c r="M57" s="101">
        <f>E27*'User Segmentation'!$I$49</f>
        <v>4.9535912698412696</v>
      </c>
      <c r="N57" s="101">
        <f>F27*'User Segmentation'!$I$49</f>
        <v>6.2574404761904763</v>
      </c>
      <c r="O57" s="101">
        <f>G27*'User Segmentation'!$I$49</f>
        <v>7.8219444444444441</v>
      </c>
    </row>
    <row r="58" spans="1:15" x14ac:dyDescent="0.2">
      <c r="A58" s="84" t="s">
        <v>51</v>
      </c>
      <c r="B58" s="85" t="s">
        <v>36</v>
      </c>
      <c r="C58" s="98">
        <f>C43*'Portfolio x PD x Loan Count'!C74</f>
        <v>13.152565288880607</v>
      </c>
      <c r="D58" s="98">
        <f>D43*'Portfolio x PD x Loan Count'!D74</f>
        <v>10.066061823181224</v>
      </c>
      <c r="E58" s="98">
        <f>E43*'Portfolio x PD x Loan Count'!E74</f>
        <v>20.490835669252441</v>
      </c>
      <c r="F58" s="98">
        <f>F43*'Portfolio x PD x Loan Count'!F74</f>
        <v>28.732168882917321</v>
      </c>
      <c r="G58" s="98">
        <f>G43*'Portfolio x PD x Loan Count'!G74</f>
        <v>20.812921066518715</v>
      </c>
      <c r="I58" s="73" t="s">
        <v>51</v>
      </c>
      <c r="J58" s="73" t="s">
        <v>36</v>
      </c>
      <c r="K58" s="101">
        <f>C28*'User Segmentation'!$I$49</f>
        <v>4.6929365079365075</v>
      </c>
      <c r="L58" s="101">
        <f>D28*'User Segmentation'!$I$49</f>
        <v>5.9967857142857142</v>
      </c>
      <c r="M58" s="101">
        <f>E28*'User Segmentation'!$I$49</f>
        <v>8.3432539682539666</v>
      </c>
      <c r="N58" s="101">
        <f>F28*'User Segmentation'!$I$49</f>
        <v>11.047619047619047</v>
      </c>
      <c r="O58" s="101">
        <f>G28*'User Segmentation'!$I$49</f>
        <v>14.672619047619046</v>
      </c>
    </row>
    <row r="59" spans="1:15" ht="17" x14ac:dyDescent="0.2">
      <c r="A59" s="89" t="s">
        <v>51</v>
      </c>
      <c r="B59" s="88" t="s">
        <v>37</v>
      </c>
      <c r="C59" s="98">
        <f>C44*'Portfolio x PD x Loan Count'!C75</f>
        <v>2.3720007273880408</v>
      </c>
      <c r="D59" s="98">
        <f>D44*'Portfolio x PD x Loan Count'!D75</f>
        <v>3.9627512604288277</v>
      </c>
      <c r="E59" s="98">
        <f>E44*'Portfolio x PD x Loan Count'!E75</f>
        <v>11.499412881289295</v>
      </c>
      <c r="F59" s="98">
        <f>F44*'Portfolio x PD x Loan Count'!F75</f>
        <v>29.197619623784949</v>
      </c>
      <c r="G59" s="98">
        <f>G44*'Portfolio x PD x Loan Count'!G75</f>
        <v>42.994502217065666</v>
      </c>
      <c r="I59" s="102" t="s">
        <v>51</v>
      </c>
      <c r="J59" s="103" t="s">
        <v>37</v>
      </c>
      <c r="K59" s="104">
        <f>C29*'User Segmentation'!$I$49</f>
        <v>7.1349206349206344</v>
      </c>
      <c r="L59" s="104">
        <f>D29*'User Segmentation'!$I$49</f>
        <v>9.6666666666666661</v>
      </c>
      <c r="M59" s="104">
        <f>E29*'User Segmentation'!$I$49</f>
        <v>14.097222222222221</v>
      </c>
      <c r="N59" s="104">
        <f>F29*'User Segmentation'!$I$49</f>
        <v>18.297619047619047</v>
      </c>
      <c r="O59" s="104">
        <f>G29*'User Segmentation'!$I$49</f>
        <v>21.577380952380953</v>
      </c>
    </row>
    <row r="61" spans="1:15" x14ac:dyDescent="0.2">
      <c r="B61" s="10"/>
    </row>
    <row r="62" spans="1:15" x14ac:dyDescent="0.2">
      <c r="B62" s="98"/>
    </row>
    <row r="66" spans="2:7" x14ac:dyDescent="0.2">
      <c r="B66" s="120"/>
      <c r="C66" s="120"/>
      <c r="D66" s="120"/>
      <c r="E66" s="120"/>
      <c r="F66" s="120"/>
      <c r="G66" s="120"/>
    </row>
    <row r="67" spans="2:7" x14ac:dyDescent="0.2">
      <c r="B67" s="120"/>
      <c r="C67" s="120"/>
      <c r="D67" s="120"/>
      <c r="E67" s="120"/>
      <c r="F67" s="120"/>
      <c r="G67" s="120"/>
    </row>
    <row r="68" spans="2:7" x14ac:dyDescent="0.2">
      <c r="B68" s="120"/>
      <c r="C68" s="120"/>
      <c r="D68" s="120"/>
      <c r="E68" s="120"/>
      <c r="F68" s="120"/>
      <c r="G68" s="120"/>
    </row>
    <row r="69" spans="2:7" x14ac:dyDescent="0.2">
      <c r="B69" s="120"/>
      <c r="C69" s="120"/>
      <c r="D69" s="120"/>
      <c r="E69" s="120"/>
      <c r="F69" s="120"/>
      <c r="G69" s="120"/>
    </row>
    <row r="70" spans="2:7" x14ac:dyDescent="0.2">
      <c r="B70" s="120"/>
      <c r="C70" s="120"/>
      <c r="D70" s="120"/>
      <c r="E70" s="120"/>
      <c r="F70" s="120"/>
      <c r="G70" s="120"/>
    </row>
    <row r="71" spans="2:7" x14ac:dyDescent="0.2">
      <c r="B71" s="120"/>
      <c r="C71" s="120"/>
      <c r="D71" s="120"/>
      <c r="E71" s="120"/>
      <c r="F71" s="120"/>
      <c r="G71" s="120"/>
    </row>
    <row r="72" spans="2:7" x14ac:dyDescent="0.2">
      <c r="B72" s="120"/>
      <c r="C72" s="120"/>
      <c r="D72" s="120"/>
      <c r="E72" s="120"/>
      <c r="F72" s="120"/>
      <c r="G72" s="120"/>
    </row>
    <row r="73" spans="2:7" x14ac:dyDescent="0.2">
      <c r="B73" s="120"/>
      <c r="C73" s="120"/>
      <c r="D73" s="120"/>
      <c r="E73" s="120"/>
      <c r="F73" s="120"/>
      <c r="G73" s="120"/>
    </row>
    <row r="74" spans="2:7" x14ac:dyDescent="0.2">
      <c r="B74" s="120"/>
      <c r="C74" s="120"/>
      <c r="D74" s="120"/>
      <c r="E74" s="120"/>
      <c r="F74" s="120"/>
      <c r="G74" s="120"/>
    </row>
    <row r="75" spans="2:7" x14ac:dyDescent="0.2">
      <c r="B75" s="120"/>
      <c r="C75" s="120"/>
      <c r="D75" s="120"/>
      <c r="E75" s="120"/>
      <c r="F75" s="120"/>
      <c r="G75" s="120"/>
    </row>
    <row r="76" spans="2:7" x14ac:dyDescent="0.2">
      <c r="B76" s="120"/>
      <c r="C76" s="120"/>
      <c r="D76" s="120"/>
      <c r="E76" s="120"/>
      <c r="F76" s="120"/>
      <c r="G76" s="120"/>
    </row>
    <row r="77" spans="2:7" x14ac:dyDescent="0.2">
      <c r="B77" s="120"/>
      <c r="C77" s="120"/>
      <c r="D77" s="120"/>
      <c r="E77" s="120"/>
      <c r="F77" s="120"/>
      <c r="G77" s="120"/>
    </row>
  </sheetData>
  <conditionalFormatting sqref="C18:G2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{A71516A1-AEC3-3B45-8D0B-B1688B34EF59}</x14:id>
        </ext>
      </extLst>
    </cfRule>
  </conditionalFormatting>
  <conditionalFormatting sqref="C33:G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{2E1D2847-F77A-5C4D-A3CC-850D4DADE357}</x14:id>
        </ext>
      </extLst>
    </cfRule>
  </conditionalFormatting>
  <conditionalFormatting sqref="C48:G5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{B3F6D345-DC86-B448-B460-496E1446C28F}</x14:id>
        </ext>
      </extLst>
    </cfRule>
  </conditionalFormatting>
  <conditionalFormatting sqref="K18:O29">
    <cfRule type="colorScale" priority="4">
      <colorScale>
        <cfvo type="min"/>
        <cfvo type="percentile" val="50"/>
        <cfvo type="max"/>
        <color rgb="FF6BC17C"/>
        <color rgb="FFFFEB84"/>
        <color rgb="FFC25353"/>
      </colorScale>
    </cfRule>
  </conditionalFormatting>
  <conditionalFormatting sqref="K33:O44">
    <cfRule type="colorScale" priority="3">
      <colorScale>
        <cfvo type="min"/>
        <cfvo type="percentile" val="50"/>
        <cfvo type="max"/>
        <color rgb="FF6BC17C"/>
        <color rgb="FFFFEB84"/>
        <color rgb="FFC25353"/>
      </colorScale>
    </cfRule>
  </conditionalFormatting>
  <conditionalFormatting sqref="K48:O5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  <tableParts count="6">
    <tablePart r:id="rId1"/>
    <tablePart r:id="rId2"/>
    <tablePart r:id="rId3"/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1516A1-AEC3-3B45-8D0B-B1688B34EF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C18:G29</xm:sqref>
        </x14:conditionalFormatting>
        <x14:conditionalFormatting xmlns:xm="http://schemas.microsoft.com/office/excel/2006/main">
          <x14:cfRule type="dataBar" id="{2E1D2847-F77A-5C4D-A3CC-850D4DADE3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C33:G44</xm:sqref>
        </x14:conditionalFormatting>
        <x14:conditionalFormatting xmlns:xm="http://schemas.microsoft.com/office/excel/2006/main">
          <x14:cfRule type="dataBar" id="{B3F6D345-DC86-B448-B460-496E1446C2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C48:G59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3DA48-2AC1-9D4E-AB4B-C610E86890BA}">
  <sheetPr codeName="Sheet10"/>
  <dimension ref="A1:F6"/>
  <sheetViews>
    <sheetView zoomScale="150" workbookViewId="0">
      <selection activeCell="E4" sqref="E4"/>
    </sheetView>
  </sheetViews>
  <sheetFormatPr baseColWidth="10" defaultRowHeight="16" x14ac:dyDescent="0.2"/>
  <cols>
    <col min="1" max="1" width="15.1640625" customWidth="1"/>
  </cols>
  <sheetData>
    <row r="1" spans="1:6" x14ac:dyDescent="0.2">
      <c r="A1" t="s">
        <v>57</v>
      </c>
      <c r="B1" t="s">
        <v>170</v>
      </c>
      <c r="C1" t="s">
        <v>171</v>
      </c>
      <c r="D1" t="s">
        <v>172</v>
      </c>
      <c r="E1" t="s">
        <v>173</v>
      </c>
      <c r="F1" t="s">
        <v>120</v>
      </c>
    </row>
    <row r="2" spans="1:6" x14ac:dyDescent="0.2">
      <c r="A2" t="s">
        <v>58</v>
      </c>
      <c r="B2" s="64">
        <v>0.65</v>
      </c>
      <c r="C2" s="64">
        <v>0.25</v>
      </c>
      <c r="D2" s="64">
        <v>0.1</v>
      </c>
      <c r="E2" s="64">
        <f>B2*0.75+C2*0.5+D2*0.25</f>
        <v>0.63750000000000007</v>
      </c>
      <c r="F2" s="3">
        <v>1</v>
      </c>
    </row>
    <row r="3" spans="1:6" x14ac:dyDescent="0.2">
      <c r="A3" t="s">
        <v>83</v>
      </c>
      <c r="B3" s="64">
        <v>0.45</v>
      </c>
      <c r="C3" s="64">
        <v>0.35</v>
      </c>
      <c r="D3" s="64">
        <v>0.2</v>
      </c>
      <c r="E3" s="64">
        <f t="shared" ref="E3:E6" si="0">B3*0.75+C3*0.5+D3*0.25</f>
        <v>0.5625</v>
      </c>
      <c r="F3" s="3">
        <v>1</v>
      </c>
    </row>
    <row r="4" spans="1:6" x14ac:dyDescent="0.2">
      <c r="A4" t="s">
        <v>60</v>
      </c>
      <c r="B4" s="64">
        <v>0.3</v>
      </c>
      <c r="C4" s="64">
        <v>0.47</v>
      </c>
      <c r="D4" s="64">
        <v>0.23</v>
      </c>
      <c r="E4" s="64">
        <f t="shared" si="0"/>
        <v>0.51749999999999996</v>
      </c>
      <c r="F4" s="3">
        <v>1</v>
      </c>
    </row>
    <row r="5" spans="1:6" x14ac:dyDescent="0.2">
      <c r="A5" t="s">
        <v>61</v>
      </c>
      <c r="B5" s="64">
        <v>0.25</v>
      </c>
      <c r="C5" s="64">
        <v>0.45</v>
      </c>
      <c r="D5" s="64">
        <v>0.3</v>
      </c>
      <c r="E5" s="64">
        <f t="shared" si="0"/>
        <v>0.48749999999999999</v>
      </c>
      <c r="F5" s="3">
        <v>1</v>
      </c>
    </row>
    <row r="6" spans="1:6" x14ac:dyDescent="0.2">
      <c r="A6" t="s">
        <v>62</v>
      </c>
      <c r="B6" s="64">
        <v>0.15</v>
      </c>
      <c r="C6" s="64">
        <v>0.47</v>
      </c>
      <c r="D6" s="64">
        <v>0.38</v>
      </c>
      <c r="E6" s="64">
        <f t="shared" si="0"/>
        <v>0.4425</v>
      </c>
      <c r="F6" s="3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009CC-C72B-3941-A90B-53EE1D22603A}">
  <sheetPr codeName="Sheet5">
    <tabColor theme="2" tint="-9.9978637043366805E-2"/>
  </sheetPr>
  <dimension ref="F1:R35"/>
  <sheetViews>
    <sheetView topLeftCell="E1" zoomScale="89" workbookViewId="0">
      <selection activeCell="H24" sqref="H24"/>
    </sheetView>
  </sheetViews>
  <sheetFormatPr baseColWidth="10" defaultRowHeight="16" x14ac:dyDescent="0.2"/>
  <cols>
    <col min="6" max="6" width="20.6640625" customWidth="1"/>
    <col min="7" max="7" width="15.83203125" bestFit="1" customWidth="1"/>
    <col min="8" max="8" width="13.83203125" customWidth="1"/>
    <col min="9" max="9" width="14.83203125" customWidth="1"/>
    <col min="10" max="10" width="19.83203125" bestFit="1" customWidth="1"/>
    <col min="12" max="12" width="18.83203125" customWidth="1"/>
    <col min="13" max="13" width="15.6640625" customWidth="1"/>
    <col min="14" max="14" width="14.83203125" customWidth="1"/>
    <col min="15" max="15" width="10.1640625" customWidth="1"/>
    <col min="16" max="16" width="10.83203125" customWidth="1"/>
    <col min="17" max="17" width="9.1640625" bestFit="1" customWidth="1"/>
    <col min="18" max="18" width="11.1640625" bestFit="1" customWidth="1"/>
  </cols>
  <sheetData>
    <row r="1" spans="6:18" x14ac:dyDescent="0.2">
      <c r="F1" t="s">
        <v>111</v>
      </c>
      <c r="G1" t="s">
        <v>112</v>
      </c>
      <c r="L1" t="str" cm="1">
        <f t="array" ref="L1:R14">'Portfolio x PD x Loan Count'!A92:G105</f>
        <v>Default Rate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</row>
    <row r="2" spans="6:18" x14ac:dyDescent="0.2">
      <c r="F2" s="12" t="s">
        <v>35</v>
      </c>
      <c r="G2">
        <v>1.4</v>
      </c>
      <c r="L2" t="str">
        <v>Generation</v>
      </c>
      <c r="M2" t="str">
        <v>Income Bracket</v>
      </c>
      <c r="N2" t="str">
        <v>Deep Subprime</v>
      </c>
      <c r="O2" t="str">
        <v>Sub Prime</v>
      </c>
      <c r="P2" t="str">
        <v>Near Prime</v>
      </c>
      <c r="Q2" t="str">
        <v>Prime</v>
      </c>
      <c r="R2" t="str">
        <v>Super Prime</v>
      </c>
    </row>
    <row r="3" spans="6:18" x14ac:dyDescent="0.2">
      <c r="F3" s="12" t="s">
        <v>36</v>
      </c>
      <c r="G3">
        <v>1.2</v>
      </c>
      <c r="L3" t="str">
        <v>Gen Z</v>
      </c>
      <c r="M3" t="str">
        <v>&lt;50,000</v>
      </c>
      <c r="N3" s="65">
        <v>3.8500000000000006E-2</v>
      </c>
      <c r="O3" s="65">
        <v>1.21E-2</v>
      </c>
      <c r="P3" s="65">
        <v>8.8000000000000005E-3</v>
      </c>
      <c r="Q3" s="65">
        <v>7.7000000000000011E-3</v>
      </c>
      <c r="R3" s="65">
        <v>8.8000000000000005E-3</v>
      </c>
    </row>
    <row r="4" spans="6:18" x14ac:dyDescent="0.2">
      <c r="F4" s="99" t="s">
        <v>37</v>
      </c>
      <c r="G4">
        <v>1.05</v>
      </c>
      <c r="L4" t="str">
        <v>Gen Z</v>
      </c>
      <c r="M4" t="str">
        <v>50,000-1,00,000</v>
      </c>
      <c r="N4" s="65">
        <v>3.7800000000000007E-2</v>
      </c>
      <c r="O4" s="65">
        <v>1.188E-2</v>
      </c>
      <c r="P4" s="65">
        <v>8.6400000000000001E-3</v>
      </c>
      <c r="Q4" s="65">
        <v>7.5600000000000007E-3</v>
      </c>
      <c r="R4" s="65">
        <v>8.6400000000000001E-3</v>
      </c>
    </row>
    <row r="5" spans="6:18" x14ac:dyDescent="0.2">
      <c r="L5" t="str">
        <v>Gen Z</v>
      </c>
      <c r="M5" t="str">
        <v>&gt;1,00,000</v>
      </c>
      <c r="N5" s="65">
        <v>3.5000000000000003E-2</v>
      </c>
      <c r="O5" s="65">
        <v>1.0999999999999999E-2</v>
      </c>
      <c r="P5" s="65">
        <v>8.0000000000000002E-3</v>
      </c>
      <c r="Q5" s="65">
        <v>7.0000000000000001E-3</v>
      </c>
      <c r="R5" s="65">
        <v>8.0000000000000002E-3</v>
      </c>
    </row>
    <row r="6" spans="6:18" x14ac:dyDescent="0.2">
      <c r="F6" t="s">
        <v>113</v>
      </c>
      <c r="G6" t="s">
        <v>112</v>
      </c>
      <c r="L6" t="str">
        <v>Millenial</v>
      </c>
      <c r="M6" t="str">
        <v>&lt;50,000</v>
      </c>
      <c r="N6" s="65">
        <v>3.8500000000000006E-2</v>
      </c>
      <c r="O6" s="65">
        <v>1.21E-2</v>
      </c>
      <c r="P6" s="65">
        <v>8.8000000000000005E-3</v>
      </c>
      <c r="Q6" s="65">
        <v>7.7000000000000011E-3</v>
      </c>
      <c r="R6" s="65">
        <v>8.8000000000000005E-3</v>
      </c>
    </row>
    <row r="7" spans="6:18" x14ac:dyDescent="0.2">
      <c r="F7" t="s">
        <v>58</v>
      </c>
      <c r="G7">
        <v>1.35</v>
      </c>
      <c r="L7" t="str">
        <v>Millenial</v>
      </c>
      <c r="M7" t="str">
        <v>50,000-1,00,000</v>
      </c>
      <c r="N7" s="65">
        <v>3.6400000000000002E-2</v>
      </c>
      <c r="O7" s="65">
        <v>1.1440000000000001E-2</v>
      </c>
      <c r="P7" s="65">
        <v>8.320000000000001E-3</v>
      </c>
      <c r="Q7" s="65">
        <v>7.28E-3</v>
      </c>
      <c r="R7" s="65">
        <v>8.320000000000001E-3</v>
      </c>
    </row>
    <row r="8" spans="6:18" x14ac:dyDescent="0.2">
      <c r="F8" t="s">
        <v>83</v>
      </c>
      <c r="G8">
        <v>1.2</v>
      </c>
      <c r="L8" t="str">
        <v>Millenial</v>
      </c>
      <c r="M8" t="str">
        <v>&gt;1,00,000</v>
      </c>
      <c r="N8" s="65">
        <v>3.5000000000000003E-2</v>
      </c>
      <c r="O8" s="65">
        <v>1.0999999999999999E-2</v>
      </c>
      <c r="P8" s="65">
        <v>8.0000000000000002E-3</v>
      </c>
      <c r="Q8" s="65">
        <v>7.0000000000000001E-3</v>
      </c>
      <c r="R8" s="65">
        <v>8.0000000000000002E-3</v>
      </c>
    </row>
    <row r="9" spans="6:18" x14ac:dyDescent="0.2">
      <c r="F9" t="s">
        <v>60</v>
      </c>
      <c r="G9">
        <v>1.1000000000000001</v>
      </c>
      <c r="L9" t="str">
        <v>Gen X</v>
      </c>
      <c r="M9" t="str">
        <v>&lt;50,000</v>
      </c>
      <c r="N9" s="65">
        <v>3.5000000000000003E-2</v>
      </c>
      <c r="O9" s="65">
        <v>1.0999999999999999E-2</v>
      </c>
      <c r="P9" s="65">
        <v>8.0000000000000002E-3</v>
      </c>
      <c r="Q9" s="65">
        <v>7.0000000000000001E-3</v>
      </c>
      <c r="R9" s="65">
        <v>8.0000000000000002E-3</v>
      </c>
    </row>
    <row r="10" spans="6:18" x14ac:dyDescent="0.2">
      <c r="F10" t="s">
        <v>61</v>
      </c>
      <c r="G10">
        <v>1.05</v>
      </c>
      <c r="L10" t="str">
        <v>Gen X</v>
      </c>
      <c r="M10" t="str">
        <v>50,000-1,00,000</v>
      </c>
      <c r="N10" s="65">
        <v>3.5000000000000003E-2</v>
      </c>
      <c r="O10" s="65">
        <v>1.0999999999999999E-2</v>
      </c>
      <c r="P10" s="65">
        <v>8.0000000000000002E-3</v>
      </c>
      <c r="Q10" s="65">
        <v>7.0000000000000001E-3</v>
      </c>
      <c r="R10" s="65">
        <v>8.0000000000000002E-3</v>
      </c>
    </row>
    <row r="11" spans="6:18" x14ac:dyDescent="0.2">
      <c r="F11" t="s">
        <v>62</v>
      </c>
      <c r="G11">
        <v>1.02</v>
      </c>
      <c r="L11" t="str">
        <v>Gen X</v>
      </c>
      <c r="M11" t="str">
        <v>&gt;1,00,000</v>
      </c>
      <c r="N11" s="65">
        <v>3.5000000000000003E-2</v>
      </c>
      <c r="O11" s="65">
        <v>1.0999999999999999E-2</v>
      </c>
      <c r="P11" s="65">
        <v>8.0000000000000002E-3</v>
      </c>
      <c r="Q11" s="65">
        <v>7.0000000000000001E-3</v>
      </c>
      <c r="R11" s="65">
        <v>8.0000000000000002E-3</v>
      </c>
    </row>
    <row r="12" spans="6:18" x14ac:dyDescent="0.2">
      <c r="L12" t="str">
        <v>Baby Boomer</v>
      </c>
      <c r="M12" t="str">
        <v>&lt;50,000</v>
      </c>
      <c r="N12" s="65">
        <v>3.6750000000000005E-2</v>
      </c>
      <c r="O12" s="65">
        <v>1.155E-2</v>
      </c>
      <c r="P12" s="65">
        <v>8.4000000000000012E-3</v>
      </c>
      <c r="Q12" s="65">
        <v>7.3500000000000006E-3</v>
      </c>
      <c r="R12" s="65">
        <v>8.4000000000000012E-3</v>
      </c>
    </row>
    <row r="13" spans="6:18" x14ac:dyDescent="0.2">
      <c r="F13" t="s">
        <v>114</v>
      </c>
      <c r="G13" t="s">
        <v>120</v>
      </c>
      <c r="H13" t="s">
        <v>121</v>
      </c>
      <c r="I13" t="s">
        <v>122</v>
      </c>
      <c r="J13" t="s">
        <v>123</v>
      </c>
      <c r="L13" t="str">
        <v>Baby Boomer</v>
      </c>
      <c r="M13" t="str">
        <v>50,000-1,00,000</v>
      </c>
      <c r="N13" s="65">
        <v>3.5000000000000003E-2</v>
      </c>
      <c r="O13" s="65">
        <v>1.0999999999999999E-2</v>
      </c>
      <c r="P13" s="65">
        <v>8.0000000000000002E-3</v>
      </c>
      <c r="Q13" s="65">
        <v>7.0000000000000001E-3</v>
      </c>
      <c r="R13" s="65">
        <v>8.0000000000000002E-3</v>
      </c>
    </row>
    <row r="14" spans="6:18" x14ac:dyDescent="0.2">
      <c r="F14">
        <f>(VLOOKUP($G$17,Beta_Income[#All],2,0))*(VLOOKUP($H$17,Beta_Credit[#All],2,0))</f>
        <v>1.32</v>
      </c>
      <c r="G14" s="61"/>
      <c r="H14" s="96">
        <v>3</v>
      </c>
      <c r="I14" s="61">
        <f>(9.5% +Dashboard!$Q$25/10000)</f>
        <v>9.5000000000000001E-2</v>
      </c>
      <c r="J14" s="10">
        <v>1.5</v>
      </c>
      <c r="L14" t="str">
        <v>Baby Boomer</v>
      </c>
      <c r="M14" t="str">
        <v>&gt;1,00,000</v>
      </c>
      <c r="N14" s="65">
        <v>3.5000000000000003E-2</v>
      </c>
      <c r="O14" s="65">
        <v>1.0999999999999999E-2</v>
      </c>
      <c r="P14" s="65">
        <v>8.0000000000000002E-3</v>
      </c>
      <c r="Q14" s="65">
        <v>7.0000000000000001E-3</v>
      </c>
      <c r="R14" s="65">
        <v>8.0000000000000002E-3</v>
      </c>
    </row>
    <row r="16" spans="6:18" x14ac:dyDescent="0.2">
      <c r="F16" t="s">
        <v>0</v>
      </c>
      <c r="G16" t="s">
        <v>115</v>
      </c>
      <c r="H16" t="s">
        <v>57</v>
      </c>
      <c r="J16" t="s">
        <v>116</v>
      </c>
      <c r="L16" t="s">
        <v>118</v>
      </c>
    </row>
    <row r="17" spans="6:18" x14ac:dyDescent="0.2">
      <c r="F17" t="s">
        <v>29</v>
      </c>
      <c r="G17" t="s">
        <v>36</v>
      </c>
      <c r="H17" t="s">
        <v>60</v>
      </c>
      <c r="I17">
        <v>0</v>
      </c>
      <c r="J17" s="98" cm="1">
        <f t="array" ref="J17">Table69[[ATS]:[ATS]]*(1+$I$17)</f>
        <v>125.14880952380952</v>
      </c>
      <c r="L17" s="65" cm="1">
        <f t="array" ref="L17">INDEX($N$3:$R$14,
       MATCH(1,($L$3:$L$14=$F$17)*($M$3:$M$14=$G$17),0),
       MATCH($H$17,$N$2:$R$2,0))</f>
        <v>8.6400000000000001E-3</v>
      </c>
    </row>
    <row r="19" spans="6:18" x14ac:dyDescent="0.2">
      <c r="F19" t="s">
        <v>117</v>
      </c>
      <c r="I19" s="65"/>
      <c r="J19" s="65"/>
      <c r="L19" t="str" cm="1">
        <f t="array" ref="L19:R32">'Support Tables'!A16:G29</f>
        <v>Average Ticket Size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6:18" x14ac:dyDescent="0.2">
      <c r="F20" s="65" cm="1">
        <f t="array" ref="F20">IF($J$17&lt;Table69[ATS],Table68[PD(0)],Table68[PD(0)]*($J$17/Table69[ATS])^Dynamic_Row_Table[Beta Segment])</f>
        <v>8.6400000000000001E-3</v>
      </c>
      <c r="G20" s="96"/>
      <c r="L20" t="str">
        <v>Generation</v>
      </c>
      <c r="M20" t="str">
        <v>Income Bracket</v>
      </c>
      <c r="N20" t="str">
        <v>Deep Subprime</v>
      </c>
      <c r="O20" t="str">
        <v>Sub Prime</v>
      </c>
      <c r="P20" t="str">
        <v>Near Prime</v>
      </c>
      <c r="Q20" t="str">
        <v>Prime</v>
      </c>
      <c r="R20" t="str">
        <v>Super Prime</v>
      </c>
    </row>
    <row r="21" spans="6:18" x14ac:dyDescent="0.2">
      <c r="L21" t="str">
        <v>Gen Z</v>
      </c>
      <c r="M21" t="str">
        <v>&lt;50,000</v>
      </c>
      <c r="N21" s="98">
        <v>57.355555555555554</v>
      </c>
      <c r="O21" s="98">
        <v>67.793253968253964</v>
      </c>
      <c r="P21" s="98">
        <v>88.645634920634919</v>
      </c>
      <c r="Q21" s="98">
        <v>114.72261904761903</v>
      </c>
      <c r="R21" s="98">
        <v>151.22579365079363</v>
      </c>
    </row>
    <row r="22" spans="6:18" x14ac:dyDescent="0.2">
      <c r="L22" t="str">
        <v>Gen Z</v>
      </c>
      <c r="M22" t="str">
        <v>50,000-1,00,000</v>
      </c>
      <c r="N22" s="98">
        <v>83.432539682539669</v>
      </c>
      <c r="O22" s="98">
        <v>99.071825396825389</v>
      </c>
      <c r="P22" s="98">
        <v>125.14880952380952</v>
      </c>
      <c r="Q22" s="98">
        <v>166.86507936507934</v>
      </c>
      <c r="R22" s="98">
        <v>212.89682539682539</v>
      </c>
    </row>
    <row r="23" spans="6:18" x14ac:dyDescent="0.2">
      <c r="L23" t="str">
        <v>Gen Z</v>
      </c>
      <c r="M23" t="str">
        <v>&gt;1,00,000</v>
      </c>
      <c r="N23" s="98">
        <v>109.32539682539682</v>
      </c>
      <c r="O23" s="98">
        <v>135.79365079365078</v>
      </c>
      <c r="P23" s="98">
        <v>181.82539682539681</v>
      </c>
      <c r="Q23" s="98">
        <v>253.17460317460316</v>
      </c>
      <c r="R23" s="98">
        <v>333.73015873015868</v>
      </c>
    </row>
    <row r="24" spans="6:18" x14ac:dyDescent="0.2">
      <c r="L24" t="str">
        <v>Millenial</v>
      </c>
      <c r="M24" t="str">
        <v>&lt;50,000</v>
      </c>
      <c r="N24" s="98">
        <v>73.006349206349199</v>
      </c>
      <c r="O24" s="98">
        <v>88.645634920634919</v>
      </c>
      <c r="P24" s="98">
        <v>119.93571428571427</v>
      </c>
      <c r="Q24" s="98">
        <v>156.43888888888887</v>
      </c>
      <c r="R24" s="98">
        <v>193.33333333333331</v>
      </c>
    </row>
    <row r="25" spans="6:18" x14ac:dyDescent="0.2">
      <c r="L25" t="str">
        <v>Millenial</v>
      </c>
      <c r="M25" t="str">
        <v>50,000-1,00,000</v>
      </c>
      <c r="N25" s="98">
        <v>99.071825396825389</v>
      </c>
      <c r="O25" s="98">
        <v>130.36190476190475</v>
      </c>
      <c r="P25" s="98">
        <v>187.72896825396825</v>
      </c>
      <c r="Q25" s="98">
        <v>250.87301587301585</v>
      </c>
      <c r="R25" s="98">
        <v>336.03174603174602</v>
      </c>
    </row>
    <row r="26" spans="6:18" x14ac:dyDescent="0.2">
      <c r="L26" t="str">
        <v>Millenial</v>
      </c>
      <c r="M26" t="str">
        <v>&gt;1,00,000</v>
      </c>
      <c r="N26" s="98">
        <v>151.9047619047619</v>
      </c>
      <c r="O26" s="98">
        <v>209.44444444444443</v>
      </c>
      <c r="P26" s="98">
        <v>304.96031746031741</v>
      </c>
      <c r="Q26" s="98">
        <v>388.96825396825392</v>
      </c>
      <c r="R26" s="98">
        <v>454.56349206349205</v>
      </c>
    </row>
    <row r="27" spans="6:18" x14ac:dyDescent="0.2">
      <c r="L27" t="str">
        <v>Gen X</v>
      </c>
      <c r="M27" t="str">
        <v>&lt;50,000</v>
      </c>
      <c r="N27" s="98">
        <v>78.219444444444434</v>
      </c>
      <c r="O27" s="98">
        <v>93.858730158730154</v>
      </c>
      <c r="P27" s="98">
        <v>125.14880952380952</v>
      </c>
      <c r="Q27" s="98">
        <v>161.6519841269841</v>
      </c>
      <c r="R27" s="98">
        <v>192.94206349206348</v>
      </c>
    </row>
    <row r="28" spans="6:18" x14ac:dyDescent="0.2">
      <c r="L28" t="str">
        <v>Gen X</v>
      </c>
      <c r="M28" t="str">
        <v>50,000-1,00,000</v>
      </c>
      <c r="N28" s="98">
        <v>114.72261904761903</v>
      </c>
      <c r="O28" s="98">
        <v>156.43888888888887</v>
      </c>
      <c r="P28" s="98">
        <v>229.44523809523807</v>
      </c>
      <c r="Q28" s="98">
        <v>316.46825396825392</v>
      </c>
      <c r="R28" s="98">
        <v>414.28571428571428</v>
      </c>
    </row>
    <row r="29" spans="6:18" x14ac:dyDescent="0.2">
      <c r="L29" t="str">
        <v>Gen X</v>
      </c>
      <c r="M29" t="str">
        <v>&gt;1,00,000</v>
      </c>
      <c r="N29" s="98">
        <v>181.82539682539681</v>
      </c>
      <c r="O29" s="98">
        <v>257.77777777777777</v>
      </c>
      <c r="P29" s="98">
        <v>377.46031746031741</v>
      </c>
      <c r="Q29" s="98">
        <v>423.49206349206344</v>
      </c>
      <c r="R29" s="98">
        <v>454.56349206349205</v>
      </c>
    </row>
    <row r="30" spans="6:18" x14ac:dyDescent="0.2">
      <c r="L30" t="str">
        <v>Baby Boomer</v>
      </c>
      <c r="M30" t="str">
        <v>&lt;50,000</v>
      </c>
      <c r="N30" s="98">
        <v>62.580158730158729</v>
      </c>
      <c r="O30" s="98">
        <v>78.219444444444434</v>
      </c>
      <c r="P30" s="98">
        <v>99.071825396825389</v>
      </c>
      <c r="Q30" s="98">
        <v>125.14880952380952</v>
      </c>
      <c r="R30" s="98">
        <v>156.43888888888887</v>
      </c>
    </row>
    <row r="31" spans="6:18" x14ac:dyDescent="0.2">
      <c r="L31" t="str">
        <v>Baby Boomer</v>
      </c>
      <c r="M31" t="str">
        <v>50,000-1,00,000</v>
      </c>
      <c r="N31" s="98">
        <v>93.858730158730154</v>
      </c>
      <c r="O31" s="98">
        <v>119.93571428571427</v>
      </c>
      <c r="P31" s="98">
        <v>166.86507936507934</v>
      </c>
      <c r="Q31" s="98">
        <v>220.95238095238093</v>
      </c>
      <c r="R31" s="98">
        <v>293.45238095238091</v>
      </c>
    </row>
    <row r="32" spans="6:18" x14ac:dyDescent="0.2">
      <c r="L32" t="str">
        <v>Baby Boomer</v>
      </c>
      <c r="M32" t="str">
        <v>&gt;1,00,000</v>
      </c>
      <c r="N32" s="98">
        <v>142.69841269841268</v>
      </c>
      <c r="O32" s="98">
        <v>193.33333333333331</v>
      </c>
      <c r="P32" s="98">
        <v>281.9444444444444</v>
      </c>
      <c r="Q32" s="98">
        <v>365.95238095238091</v>
      </c>
      <c r="R32" s="98">
        <v>431.54761904761904</v>
      </c>
    </row>
    <row r="34" spans="12:12" x14ac:dyDescent="0.2">
      <c r="L34" t="s">
        <v>119</v>
      </c>
    </row>
    <row r="35" spans="12:12" x14ac:dyDescent="0.2">
      <c r="L35" s="96" cm="1">
        <f t="array" ref="L35">INDEX($N$21:$R$32,MATCH(1,($L$21:$L$32=$F$17)*($M$21:$M$32=$G$17),0),MATCH($H$17,$N$20:$R$20,0))</f>
        <v>125.14880952380952</v>
      </c>
    </row>
  </sheetData>
  <conditionalFormatting sqref="N3:R14">
    <cfRule type="colorScale" priority="1">
      <colorScale>
        <cfvo type="min"/>
        <cfvo type="percentile" val="50"/>
        <cfvo type="max"/>
        <color rgb="FF6BC17C"/>
        <color rgb="FFFFEB84"/>
        <color rgb="FFC25353"/>
      </colorScale>
    </cfRule>
  </conditionalFormatting>
  <conditionalFormatting sqref="N21:R3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{6F40681D-8284-D14B-80F2-CF061826F70B}</x14:id>
        </ext>
      </extLst>
    </cfRule>
  </conditionalFormatting>
  <dataValidations disablePrompts="1" count="3">
    <dataValidation type="list" allowBlank="1" showInputMessage="1" showErrorMessage="1" sqref="F17" xr:uid="{0AB2D2E0-7A01-B840-BF79-FB0A1F3B71FB}">
      <formula1>$L$21:$L$32</formula1>
    </dataValidation>
    <dataValidation type="list" allowBlank="1" showInputMessage="1" showErrorMessage="1" sqref="G17" xr:uid="{80E254B1-96CD-1746-B1BE-C1D99F49726D}">
      <formula1>$M$21:$M$23</formula1>
    </dataValidation>
    <dataValidation type="list" allowBlank="1" showInputMessage="1" showErrorMessage="1" sqref="H17" xr:uid="{11B6CAF2-9446-A142-9192-87BD09C28AFB}">
      <formula1>$N$2:$R$2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40681D-8284-D14B-80F2-CF061826F7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N21:R32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ED951793-4E25-A24F-87C9-6507FCA4C10B}">
          <x14:formula1>
            <xm:f>'Dynamic CM'!$A$9:$A$32</xm:f>
          </x14:formula1>
          <xm:sqref>I17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85564-D670-C34E-95EF-4601FDED0B18}">
  <sheetPr codeName="Sheet6">
    <tabColor theme="1" tint="0.249977111117893"/>
  </sheetPr>
  <dimension ref="A1:O33"/>
  <sheetViews>
    <sheetView topLeftCell="D1" zoomScale="89" workbookViewId="0">
      <selection activeCell="V12" sqref="V12"/>
    </sheetView>
  </sheetViews>
  <sheetFormatPr baseColWidth="10" defaultRowHeight="16" x14ac:dyDescent="0.2"/>
  <cols>
    <col min="1" max="1" width="22.1640625" bestFit="1" customWidth="1"/>
    <col min="2" max="2" width="14.5" bestFit="1" customWidth="1"/>
    <col min="3" max="3" width="21.6640625" bestFit="1" customWidth="1"/>
    <col min="4" max="4" width="15.83203125" bestFit="1" customWidth="1"/>
    <col min="5" max="5" width="20.5" bestFit="1" customWidth="1"/>
    <col min="6" max="6" width="19.83203125" bestFit="1" customWidth="1"/>
    <col min="7" max="7" width="24.6640625" bestFit="1" customWidth="1"/>
    <col min="8" max="8" width="17" bestFit="1" customWidth="1"/>
    <col min="9" max="9" width="20.5" bestFit="1" customWidth="1"/>
    <col min="10" max="10" width="15.83203125" bestFit="1" customWidth="1"/>
    <col min="11" max="11" width="15" bestFit="1" customWidth="1"/>
    <col min="12" max="12" width="10.33203125" bestFit="1" customWidth="1"/>
    <col min="13" max="13" width="11" bestFit="1" customWidth="1"/>
    <col min="14" max="14" width="8.6640625" bestFit="1" customWidth="1"/>
    <col min="15" max="15" width="12.1640625" bestFit="1" customWidth="1"/>
  </cols>
  <sheetData>
    <row r="1" spans="1:15" x14ac:dyDescent="0.2">
      <c r="A1" t="s">
        <v>127</v>
      </c>
    </row>
    <row r="2" spans="1:15" x14ac:dyDescent="0.2">
      <c r="A2" s="75" t="s">
        <v>0</v>
      </c>
      <c r="B2" s="75" t="s">
        <v>34</v>
      </c>
      <c r="C2" s="75" t="s">
        <v>58</v>
      </c>
      <c r="D2" s="75" t="s">
        <v>83</v>
      </c>
      <c r="E2" s="75" t="s">
        <v>60</v>
      </c>
      <c r="F2" s="75" t="s">
        <v>61</v>
      </c>
      <c r="G2" s="76" t="s">
        <v>62</v>
      </c>
      <c r="I2" s="67" t="s">
        <v>0</v>
      </c>
      <c r="J2" s="71" t="s">
        <v>34</v>
      </c>
      <c r="K2" s="71" t="s">
        <v>58</v>
      </c>
      <c r="L2" s="71" t="s">
        <v>83</v>
      </c>
      <c r="M2" s="71" t="s">
        <v>60</v>
      </c>
      <c r="N2" s="71" t="s">
        <v>61</v>
      </c>
      <c r="O2" s="68" t="s">
        <v>62</v>
      </c>
    </row>
    <row r="3" spans="1:15" x14ac:dyDescent="0.2">
      <c r="A3" s="85" t="s">
        <v>29</v>
      </c>
      <c r="B3" s="85" t="s">
        <v>35</v>
      </c>
      <c r="C3" s="98" cm="1">
        <f t="array" ref="C3">'Support Tables'!K48-'Support Tables'!K33-'Support Tables'!K18-Dynamic_Row_Table[[Fixed Cost]:[Fixed Cost]]</f>
        <v>-2.2210398611111115</v>
      </c>
      <c r="D3" s="98" cm="1">
        <f t="array" ref="D3">'Support Tables'!L48-'Support Tables'!L33-'Support Tables'!L18-Dynamic_Row_Table[[Fixed Cost]:[Fixed Cost]]</f>
        <v>-0.876800027281746</v>
      </c>
      <c r="E3" s="98" cm="1">
        <f t="array" ref="E3">'Support Tables'!M48-'Support Tables'!M33-'Support Tables'!M18-Dynamic_Row_Table[[Fixed Cost]:[Fixed Cost]]</f>
        <v>-2.4077390079364935E-2</v>
      </c>
      <c r="F3" s="98" cm="1">
        <f t="array" ref="F3">'Support Tables'!N48-'Support Tables'!N33-'Support Tables'!N18-Dynamic_Row_Table[[Fixed Cost]:[Fixed Cost]]</f>
        <v>0.94315981994047648</v>
      </c>
      <c r="G3" s="98" cm="1">
        <f t="array" ref="G3">'Support Tables'!O48-'Support Tables'!O33-'Support Tables'!O18-Dynamic_Row_Table[[Fixed Cost]:[Fixed Cost]]</f>
        <v>2.1766101424603175</v>
      </c>
      <c r="I3" s="69" t="s">
        <v>29</v>
      </c>
      <c r="J3" s="73" t="s">
        <v>35</v>
      </c>
      <c r="K3">
        <f>IF(CMPerLoan[[#This Row],[Deep Subprime]]&gt;0,1,0)</f>
        <v>0</v>
      </c>
      <c r="L3">
        <f>IF(CMPerLoan[[#This Row],[Sub Prime]]&gt;0,1,0)</f>
        <v>0</v>
      </c>
      <c r="M3">
        <f>IF(CMPerLoan[[#This Row],[Near Prime]]&gt;0,1,0)</f>
        <v>0</v>
      </c>
      <c r="N3">
        <f>IF(CMPerLoan[[#This Row],[Prime]]&gt;0,1,0)</f>
        <v>1</v>
      </c>
      <c r="O3">
        <f>IF(CMPerLoan[[#This Row],[Super Prime]]&gt;0,1,0)</f>
        <v>1</v>
      </c>
    </row>
    <row r="4" spans="1:15" x14ac:dyDescent="0.2">
      <c r="A4" s="88" t="s">
        <v>29</v>
      </c>
      <c r="B4" s="88" t="s">
        <v>36</v>
      </c>
      <c r="C4" s="98" cm="1">
        <f t="array" ref="C4">'Support Tables'!K49-'Support Tables'!K34-'Support Tables'!K19-Dynamic_Row_Table[[Fixed Cost]:[Fixed Cost]]</f>
        <v>-1.8296500496031753</v>
      </c>
      <c r="D4" s="98" cm="1">
        <f t="array" ref="D4">'Support Tables'!L49-'Support Tables'!L34-'Support Tables'!L19-Dynamic_Row_Table[[Fixed Cost]:[Fixed Cost]]</f>
        <v>0.11506587003968249</v>
      </c>
      <c r="E4" s="98" cm="1">
        <f t="array" ref="E4">'Support Tables'!M49-'Support Tables'!M34-'Support Tables'!M19-Dynamic_Row_Table[[Fixed Cost]:[Fixed Cost]]</f>
        <v>1.2117330059523814</v>
      </c>
      <c r="F4" s="98" cm="1">
        <f t="array" ref="F4">'Support Tables'!N49-'Support Tables'!N34-'Support Tables'!N19-Dynamic_Row_Table[[Fixed Cost]:[Fixed Cost]]</f>
        <v>2.7467499007936498</v>
      </c>
      <c r="G4" s="98" cm="1">
        <f t="array" ref="G4">'Support Tables'!O49-'Support Tables'!O34-'Support Tables'!O19-Dynamic_Row_Table[[Fixed Cost]:[Fixed Cost]]</f>
        <v>4.3027443253968256</v>
      </c>
      <c r="I4" s="70" t="s">
        <v>29</v>
      </c>
      <c r="J4" s="74" t="s">
        <v>36</v>
      </c>
      <c r="K4">
        <f>IF(CMPerLoan[[#This Row],[Deep Subprime]]&gt;0,1,0)</f>
        <v>0</v>
      </c>
      <c r="L4">
        <f>IF(CMPerLoan[[#This Row],[Sub Prime]]&gt;0,1,0)</f>
        <v>1</v>
      </c>
      <c r="M4">
        <f>IF(CMPerLoan[[#This Row],[Near Prime]]&gt;0,1,0)</f>
        <v>1</v>
      </c>
      <c r="N4">
        <f>IF(CMPerLoan[[#This Row],[Prime]]&gt;0,1,0)</f>
        <v>1</v>
      </c>
      <c r="O4">
        <f>IF(CMPerLoan[[#This Row],[Super Prime]]&gt;0,1,0)</f>
        <v>1</v>
      </c>
    </row>
    <row r="5" spans="1:15" x14ac:dyDescent="0.2">
      <c r="A5" s="85" t="s">
        <v>29</v>
      </c>
      <c r="B5" s="85" t="s">
        <v>37</v>
      </c>
      <c r="C5" s="98" cm="1">
        <f t="array" ref="C5">'Support Tables'!K50-'Support Tables'!K35-'Support Tables'!K20-Dynamic_Row_Table[[Fixed Cost]:[Fixed Cost]]</f>
        <v>-1.2712921626984124</v>
      </c>
      <c r="D5" s="98" cm="1">
        <f t="array" ref="D5">'Support Tables'!L50-'Support Tables'!L35-'Support Tables'!L20-Dynamic_Row_Table[[Fixed Cost]:[Fixed Cost]]</f>
        <v>1.3369097222222219</v>
      </c>
      <c r="E5" s="98" cm="1">
        <f t="array" ref="E5">'Support Tables'!M50-'Support Tables'!M35-'Support Tables'!M20-Dynamic_Row_Table[[Fixed Cost]:[Fixed Cost]]</f>
        <v>3.1793361111111098</v>
      </c>
      <c r="F5" s="98" cm="1">
        <f t="array" ref="F5">'Support Tables'!N50-'Support Tables'!N35-'Support Tables'!N20-Dynamic_Row_Table[[Fixed Cost]:[Fixed Cost]]</f>
        <v>5.7883234126984124</v>
      </c>
      <c r="G5" s="98" cm="1">
        <f t="array" ref="G5">'Support Tables'!O50-'Support Tables'!O35-'Support Tables'!O20-Dynamic_Row_Table[[Fixed Cost]:[Fixed Cost]]</f>
        <v>8.5420575396825367</v>
      </c>
      <c r="I5" s="69" t="s">
        <v>29</v>
      </c>
      <c r="J5" s="73" t="s">
        <v>37</v>
      </c>
      <c r="K5">
        <f>IF(CMPerLoan[[#This Row],[Deep Subprime]]&gt;0,1,0)</f>
        <v>0</v>
      </c>
      <c r="L5">
        <f>IF(CMPerLoan[[#This Row],[Sub Prime]]&gt;0,1,0)</f>
        <v>1</v>
      </c>
      <c r="M5">
        <f>IF(CMPerLoan[[#This Row],[Near Prime]]&gt;0,1,0)</f>
        <v>1</v>
      </c>
      <c r="N5">
        <f>IF(CMPerLoan[[#This Row],[Prime]]&gt;0,1,0)</f>
        <v>1</v>
      </c>
      <c r="O5">
        <f>IF(CMPerLoan[[#This Row],[Super Prime]]&gt;0,1,0)</f>
        <v>1</v>
      </c>
    </row>
    <row r="6" spans="1:15" x14ac:dyDescent="0.2">
      <c r="A6" s="88" t="s">
        <v>30</v>
      </c>
      <c r="B6" s="88" t="s">
        <v>35</v>
      </c>
      <c r="C6" s="98" cm="1">
        <f t="array" ref="C6">'Support Tables'!K51-'Support Tables'!K36-'Support Tables'!K21-Dynamic_Row_Table[[Fixed Cost]:[Fixed Cost]]</f>
        <v>-2.0084825198412704</v>
      </c>
      <c r="D6" s="98" cm="1">
        <f t="array" ref="D6">'Support Tables'!L51-'Support Tables'!L36-'Support Tables'!L21-Dynamic_Row_Table[[Fixed Cost]:[Fixed Cost]]</f>
        <v>-0.22372952132936508</v>
      </c>
      <c r="E6" s="98" cm="1">
        <f t="array" ref="E6">'Support Tables'!M51-'Support Tables'!M36-'Support Tables'!M21-Dynamic_Row_Table[[Fixed Cost]:[Fixed Cost]]</f>
        <v>1.0263618642857146</v>
      </c>
      <c r="F6" s="98" cm="1">
        <f t="array" ref="F6">'Support Tables'!N51-'Support Tables'!N36-'Support Tables'!N21-Dynamic_Row_Table[[Fixed Cost]:[Fixed Cost]]</f>
        <v>2.3770001597222219</v>
      </c>
      <c r="G6" s="98" cm="1">
        <f t="array" ref="G6">'Support Tables'!O51-'Support Tables'!O36-'Support Tables'!O21-Dynamic_Row_Table[[Fixed Cost]:[Fixed Cost]]</f>
        <v>3.6179933333333336</v>
      </c>
      <c r="I6" s="70" t="s">
        <v>30</v>
      </c>
      <c r="J6" s="74" t="s">
        <v>35</v>
      </c>
      <c r="K6">
        <f>IF(CMPerLoan[[#This Row],[Deep Subprime]]&gt;0,1,0)</f>
        <v>0</v>
      </c>
      <c r="L6">
        <f>IF(CMPerLoan[[#This Row],[Sub Prime]]&gt;0,1,0)</f>
        <v>0</v>
      </c>
      <c r="M6">
        <f>IF(CMPerLoan[[#This Row],[Near Prime]]&gt;0,1,0)</f>
        <v>1</v>
      </c>
      <c r="N6">
        <f>IF(CMPerLoan[[#This Row],[Prime]]&gt;0,1,0)</f>
        <v>1</v>
      </c>
      <c r="O6">
        <f>IF(CMPerLoan[[#This Row],[Super Prime]]&gt;0,1,0)</f>
        <v>1</v>
      </c>
    </row>
    <row r="7" spans="1:15" x14ac:dyDescent="0.2">
      <c r="A7" s="85" t="s">
        <v>30</v>
      </c>
      <c r="B7" s="85" t="s">
        <v>36</v>
      </c>
      <c r="C7" s="98" cm="1">
        <f t="array" ref="C7">'Support Tables'!K52-'Support Tables'!K37-'Support Tables'!K22-Dynamic_Row_Table[[Fixed Cost]:[Fixed Cost]]</f>
        <v>-1.5218483650793653</v>
      </c>
      <c r="D7" s="98" cm="1">
        <f t="array" ref="D7">'Support Tables'!L52-'Support Tables'!L37-'Support Tables'!L22-Dynamic_Row_Table[[Fixed Cost]:[Fixed Cost]]</f>
        <v>1.1311687619047621</v>
      </c>
      <c r="E7" s="98" cm="1">
        <f t="array" ref="E7">'Support Tables'!M52-'Support Tables'!M37-'Support Tables'!M22-Dynamic_Row_Table[[Fixed Cost]:[Fixed Cost]]</f>
        <v>3.3488810689682538</v>
      </c>
      <c r="F7" s="98" cm="1">
        <f t="array" ref="F7">'Support Tables'!N52-'Support Tables'!N37-'Support Tables'!N22-Dynamic_Row_Table[[Fixed Cost]:[Fixed Cost]]</f>
        <v>5.6741853968253952</v>
      </c>
      <c r="G7" s="98" cm="1">
        <f t="array" ref="G7">'Support Tables'!O52-'Support Tables'!O37-'Support Tables'!O22-Dynamic_Row_Table[[Fixed Cost]:[Fixed Cost]]</f>
        <v>8.5740758412698401</v>
      </c>
      <c r="I7" s="69" t="s">
        <v>30</v>
      </c>
      <c r="J7" s="73" t="s">
        <v>36</v>
      </c>
      <c r="K7">
        <f>IF(CMPerLoan[[#This Row],[Deep Subprime]]&gt;0,1,0)</f>
        <v>0</v>
      </c>
      <c r="L7">
        <f>IF(CMPerLoan[[#This Row],[Sub Prime]]&gt;0,1,0)</f>
        <v>1</v>
      </c>
      <c r="M7">
        <f>IF(CMPerLoan[[#This Row],[Near Prime]]&gt;0,1,0)</f>
        <v>1</v>
      </c>
      <c r="N7">
        <f>IF(CMPerLoan[[#This Row],[Prime]]&gt;0,1,0)</f>
        <v>1</v>
      </c>
      <c r="O7">
        <f>IF(CMPerLoan[[#This Row],[Super Prime]]&gt;0,1,0)</f>
        <v>1</v>
      </c>
    </row>
    <row r="8" spans="1:15" x14ac:dyDescent="0.2">
      <c r="A8" s="88" t="s">
        <v>30</v>
      </c>
      <c r="B8" s="88" t="s">
        <v>37</v>
      </c>
      <c r="C8" s="98" cm="1">
        <f t="array" ref="C8">'Support Tables'!K53-'Support Tables'!K38-'Support Tables'!K23-Dynamic_Row_Table[[Fixed Cost]:[Fixed Cost]]</f>
        <v>-0.59800595238095378</v>
      </c>
      <c r="D8" s="98" cm="1">
        <f t="array" ref="D8">'Support Tables'!L53-'Support Tables'!L38-'Support Tables'!L23-Dynamic_Row_Table[[Fixed Cost]:[Fixed Cost]]</f>
        <v>3.6891319444444433</v>
      </c>
      <c r="E8" s="98" cm="1">
        <f t="array" ref="E8">'Support Tables'!M53-'Support Tables'!M38-'Support Tables'!M23-Dynamic_Row_Table[[Fixed Cost]:[Fixed Cost]]</f>
        <v>7.364076388888888</v>
      </c>
      <c r="F8" s="98" cm="1">
        <f t="array" ref="F8">'Support Tables'!N53-'Support Tables'!N38-'Support Tables'!N23-Dynamic_Row_Table[[Fixed Cost]:[Fixed Cost]]</f>
        <v>10.502060515873016</v>
      </c>
      <c r="G8" s="98" cm="1">
        <f t="array" ref="G8">'Support Tables'!O53-'Support Tables'!O38-'Support Tables'!O23-Dynamic_Row_Table[[Fixed Cost]:[Fixed Cost]]</f>
        <v>12.721078373015875</v>
      </c>
      <c r="I8" s="70" t="s">
        <v>30</v>
      </c>
      <c r="J8" s="74" t="s">
        <v>37</v>
      </c>
      <c r="K8">
        <f>IF(CMPerLoan[[#This Row],[Deep Subprime]]&gt;0,1,0)</f>
        <v>0</v>
      </c>
      <c r="L8">
        <f>IF(CMPerLoan[[#This Row],[Sub Prime]]&gt;0,1,0)</f>
        <v>1</v>
      </c>
      <c r="M8">
        <f>IF(CMPerLoan[[#This Row],[Near Prime]]&gt;0,1,0)</f>
        <v>1</v>
      </c>
      <c r="N8">
        <f>IF(CMPerLoan[[#This Row],[Prime]]&gt;0,1,0)</f>
        <v>1</v>
      </c>
      <c r="O8">
        <f>IF(CMPerLoan[[#This Row],[Super Prime]]&gt;0,1,0)</f>
        <v>1</v>
      </c>
    </row>
    <row r="9" spans="1:15" x14ac:dyDescent="0.2">
      <c r="A9" s="85" t="s">
        <v>32</v>
      </c>
      <c r="B9" s="85" t="s">
        <v>35</v>
      </c>
      <c r="C9" s="98" cm="1">
        <f t="array" ref="C9">'Support Tables'!K54-'Support Tables'!K39-'Support Tables'!K24-Dynamic_Row_Table[[Fixed Cost]:[Fixed Cost]]</f>
        <v>-1.7631550347222225</v>
      </c>
      <c r="D9" s="98" cm="1">
        <f t="array" ref="D9">'Support Tables'!L54-'Support Tables'!L39-'Support Tables'!L24-Dynamic_Row_Table[[Fixed Cost]:[Fixed Cost]]</f>
        <v>-2.3868055555560375E-3</v>
      </c>
      <c r="E9" s="98" cm="1">
        <f t="array" ref="E9">'Support Tables'!M54-'Support Tables'!M39-'Support Tables'!M24-Dynamic_Row_Table[[Fixed Cost]:[Fixed Cost]]</f>
        <v>1.2531822916666666</v>
      </c>
      <c r="F9" s="98" cm="1">
        <f t="array" ref="F9">'Support Tables'!N54-'Support Tables'!N39-'Support Tables'!N24-Dynamic_Row_Table[[Fixed Cost]:[Fixed Cost]]</f>
        <v>2.6113444990079362</v>
      </c>
      <c r="G9" s="98" cm="1">
        <f t="array" ref="G9">'Support Tables'!O54-'Support Tables'!O39-'Support Tables'!O24-Dynamic_Row_Table[[Fixed Cost]:[Fixed Cost]]</f>
        <v>3.6729012658730156</v>
      </c>
      <c r="I9" s="69" t="s">
        <v>32</v>
      </c>
      <c r="J9" s="73" t="s">
        <v>35</v>
      </c>
      <c r="K9">
        <f>IF(CMPerLoan[[#This Row],[Deep Subprime]]&gt;0,1,0)</f>
        <v>0</v>
      </c>
      <c r="L9">
        <f>IF(CMPerLoan[[#This Row],[Sub Prime]]&gt;0,1,0)</f>
        <v>0</v>
      </c>
      <c r="M9">
        <f>IF(CMPerLoan[[#This Row],[Near Prime]]&gt;0,1,0)</f>
        <v>1</v>
      </c>
      <c r="N9">
        <f>IF(CMPerLoan[[#This Row],[Prime]]&gt;0,1,0)</f>
        <v>1</v>
      </c>
      <c r="O9">
        <f>IF(CMPerLoan[[#This Row],[Super Prime]]&gt;0,1,0)</f>
        <v>1</v>
      </c>
    </row>
    <row r="10" spans="1:15" x14ac:dyDescent="0.2">
      <c r="A10" s="88" t="s">
        <v>32</v>
      </c>
      <c r="B10" s="88" t="s">
        <v>36</v>
      </c>
      <c r="C10" s="98" cm="1">
        <f t="array" ref="C10">'Support Tables'!K55-'Support Tables'!K40-'Support Tables'!K25-Dynamic_Row_Table[[Fixed Cost]:[Fixed Cost]]</f>
        <v>-1.1859485863095238</v>
      </c>
      <c r="D10" s="98" cm="1">
        <f t="array" ref="D10">'Support Tables'!L55-'Support Tables'!L40-'Support Tables'!L25-Dynamic_Row_Table[[Fixed Cost]:[Fixed Cost]]</f>
        <v>1.9962670138888887</v>
      </c>
      <c r="E10" s="98" cm="1">
        <f t="array" ref="E10">'Support Tables'!M55-'Support Tables'!M40-'Support Tables'!M25-Dynamic_Row_Table[[Fixed Cost]:[Fixed Cost]]</f>
        <v>4.7976964166666676</v>
      </c>
      <c r="F10" s="98" cm="1">
        <f t="array" ref="F10">'Support Tables'!N55-'Support Tables'!N40-'Support Tables'!N25-Dynamic_Row_Table[[Fixed Cost]:[Fixed Cost]]</f>
        <v>7.9854042658730133</v>
      </c>
      <c r="G10" s="98" cm="1">
        <f t="array" ref="G10">'Support Tables'!O55-'Support Tables'!O40-'Support Tables'!O25-Dynamic_Row_Table[[Fixed Cost]:[Fixed Cost]]</f>
        <v>11.328071428571429</v>
      </c>
      <c r="I10" s="70" t="s">
        <v>32</v>
      </c>
      <c r="J10" s="74" t="s">
        <v>36</v>
      </c>
      <c r="K10">
        <f>IF(CMPerLoan[[#This Row],[Deep Subprime]]&gt;0,1,0)</f>
        <v>0</v>
      </c>
      <c r="L10">
        <f>IF(CMPerLoan[[#This Row],[Sub Prime]]&gt;0,1,0)</f>
        <v>1</v>
      </c>
      <c r="M10">
        <f>IF(CMPerLoan[[#This Row],[Near Prime]]&gt;0,1,0)</f>
        <v>1</v>
      </c>
      <c r="N10">
        <f>IF(CMPerLoan[[#This Row],[Prime]]&gt;0,1,0)</f>
        <v>1</v>
      </c>
      <c r="O10">
        <f>IF(CMPerLoan[[#This Row],[Super Prime]]&gt;0,1,0)</f>
        <v>1</v>
      </c>
    </row>
    <row r="11" spans="1:15" x14ac:dyDescent="0.2">
      <c r="A11" s="85" t="s">
        <v>32</v>
      </c>
      <c r="B11" s="85" t="s">
        <v>37</v>
      </c>
      <c r="C11" s="98" cm="1">
        <f t="array" ref="C11">'Support Tables'!K56-'Support Tables'!K41-'Support Tables'!K26-Dynamic_Row_Table[[Fixed Cost]:[Fixed Cost]]</f>
        <v>-0.12488591269841454</v>
      </c>
      <c r="D11" s="98" cm="1">
        <f t="array" ref="D11">'Support Tables'!L56-'Support Tables'!L41-'Support Tables'!L26-Dynamic_Row_Table[[Fixed Cost]:[Fixed Cost]]</f>
        <v>5.2327777777777769</v>
      </c>
      <c r="E11" s="98" cm="1">
        <f t="array" ref="E11">'Support Tables'!M56-'Support Tables'!M41-'Support Tables'!M26-Dynamic_Row_Table[[Fixed Cost]:[Fixed Cost]]</f>
        <v>9.8279888888888873</v>
      </c>
      <c r="F11" s="98" cm="1">
        <f t="array" ref="F11">'Support Tables'!N56-'Support Tables'!N41-'Support Tables'!N26-Dynamic_Row_Table[[Fixed Cost]:[Fixed Cost]]</f>
        <v>11.700468253968252</v>
      </c>
      <c r="G11" s="98" cm="1">
        <f t="array" ref="G11">'Support Tables'!O56-'Support Tables'!O41-'Support Tables'!O26-Dynamic_Row_Table[[Fixed Cost]:[Fixed Cost]]</f>
        <v>12.721078373015875</v>
      </c>
      <c r="I11" s="69" t="s">
        <v>32</v>
      </c>
      <c r="J11" s="73" t="s">
        <v>37</v>
      </c>
      <c r="K11">
        <f>IF(CMPerLoan[[#This Row],[Deep Subprime]]&gt;0,1,0)</f>
        <v>0</v>
      </c>
      <c r="L11">
        <f>IF(CMPerLoan[[#This Row],[Sub Prime]]&gt;0,1,0)</f>
        <v>1</v>
      </c>
      <c r="M11">
        <f>IF(CMPerLoan[[#This Row],[Near Prime]]&gt;0,1,0)</f>
        <v>1</v>
      </c>
      <c r="N11">
        <f>IF(CMPerLoan[[#This Row],[Prime]]&gt;0,1,0)</f>
        <v>1</v>
      </c>
      <c r="O11">
        <f>IF(CMPerLoan[[#This Row],[Super Prime]]&gt;0,1,0)</f>
        <v>1</v>
      </c>
    </row>
    <row r="12" spans="1:15" x14ac:dyDescent="0.2">
      <c r="A12" s="88" t="s">
        <v>51</v>
      </c>
      <c r="B12" s="88" t="s">
        <v>35</v>
      </c>
      <c r="C12" s="98" cm="1">
        <f t="array" ref="C12">'Support Tables'!K57-'Support Tables'!K42-'Support Tables'!K27-Dynamic_Row_Table[[Fixed Cost]:[Fixed Cost]]</f>
        <v>-2.0802672296626983</v>
      </c>
      <c r="D12" s="98" cm="1">
        <f t="array" ref="D12">'Support Tables'!L57-'Support Tables'!L42-'Support Tables'!L27-Dynamic_Row_Table[[Fixed Cost]:[Fixed Cost]]</f>
        <v>-0.52606563368055559</v>
      </c>
      <c r="E12" s="98" cm="1">
        <f t="array" ref="E12">'Support Tables'!M57-'Support Tables'!M42-'Support Tables'!M27-Dynamic_Row_Table[[Fixed Cost]:[Fixed Cost]]</f>
        <v>0.34644811825396848</v>
      </c>
      <c r="F12" s="98" cm="1">
        <f t="array" ref="F12">'Support Tables'!N57-'Support Tables'!N42-'Support Tables'!N27-Dynamic_Row_Table[[Fixed Cost]:[Fixed Cost]]</f>
        <v>1.3228745349702384</v>
      </c>
      <c r="G12" s="98" cm="1">
        <f t="array" ref="G12">'Support Tables'!O57-'Support Tables'!O42-'Support Tables'!O27-Dynamic_Row_Table[[Fixed Cost]:[Fixed Cost]]</f>
        <v>2.3827492888888884</v>
      </c>
      <c r="I12" s="70" t="s">
        <v>51</v>
      </c>
      <c r="J12" s="74" t="s">
        <v>35</v>
      </c>
      <c r="K12">
        <f>IF(CMPerLoan[[#This Row],[Deep Subprime]]&gt;0,1,0)</f>
        <v>0</v>
      </c>
      <c r="L12">
        <f>IF(CMPerLoan[[#This Row],[Sub Prime]]&gt;0,1,0)</f>
        <v>0</v>
      </c>
      <c r="M12">
        <f>IF(CMPerLoan[[#This Row],[Near Prime]]&gt;0,1,0)</f>
        <v>1</v>
      </c>
      <c r="N12">
        <f>IF(CMPerLoan[[#This Row],[Prime]]&gt;0,1,0)</f>
        <v>1</v>
      </c>
      <c r="O12">
        <f>IF(CMPerLoan[[#This Row],[Super Prime]]&gt;0,1,0)</f>
        <v>1</v>
      </c>
    </row>
    <row r="13" spans="1:15" x14ac:dyDescent="0.2">
      <c r="A13" s="85" t="s">
        <v>51</v>
      </c>
      <c r="B13" s="85" t="s">
        <v>36</v>
      </c>
      <c r="C13" s="98" cm="1">
        <f t="array" ref="C13">'Support Tables'!K58-'Support Tables'!K43-'Support Tables'!K28-Dynamic_Row_Table[[Fixed Cost]:[Fixed Cost]]</f>
        <v>-1.5158588293650799</v>
      </c>
      <c r="D13" s="98" cm="1">
        <f t="array" ref="D13">'Support Tables'!L58-'Support Tables'!L43-'Support Tables'!L28-Dynamic_Row_Table[[Fixed Cost]:[Fixed Cost]]</f>
        <v>0.83044687500000069</v>
      </c>
      <c r="E13" s="98" cm="1">
        <f t="array" ref="E13">'Support Tables'!M58-'Support Tables'!M43-'Support Tables'!M28-Dynamic_Row_Table[[Fixed Cost]:[Fixed Cost]]</f>
        <v>2.6709097222222207</v>
      </c>
      <c r="F13" s="98" cm="1">
        <f t="array" ref="F13">'Support Tables'!N58-'Support Tables'!N43-'Support Tables'!N28-Dynamic_Row_Table[[Fixed Cost]:[Fixed Cost]]</f>
        <v>4.6698095238095245</v>
      </c>
      <c r="G13" s="98" cm="1">
        <f t="array" ref="G13">'Support Tables'!O58-'Support Tables'!O43-'Support Tables'!O28-Dynamic_Row_Table[[Fixed Cost]:[Fixed Cost]]</f>
        <v>7.1490505952380943</v>
      </c>
      <c r="I13" s="69" t="s">
        <v>51</v>
      </c>
      <c r="J13" s="73" t="s">
        <v>36</v>
      </c>
      <c r="K13">
        <f>IF(CMPerLoan[[#This Row],[Deep Subprime]]&gt;0,1,0)</f>
        <v>0</v>
      </c>
      <c r="L13">
        <f>IF(CMPerLoan[[#This Row],[Sub Prime]]&gt;0,1,0)</f>
        <v>1</v>
      </c>
      <c r="M13">
        <f>IF(CMPerLoan[[#This Row],[Near Prime]]&gt;0,1,0)</f>
        <v>1</v>
      </c>
      <c r="N13">
        <f>IF(CMPerLoan[[#This Row],[Prime]]&gt;0,1,0)</f>
        <v>1</v>
      </c>
      <c r="O13">
        <f>IF(CMPerLoan[[#This Row],[Super Prime]]&gt;0,1,0)</f>
        <v>1</v>
      </c>
    </row>
    <row r="14" spans="1:15" ht="17" customHeight="1" x14ac:dyDescent="0.2">
      <c r="A14" s="90" t="s">
        <v>51</v>
      </c>
      <c r="B14" s="88" t="s">
        <v>37</v>
      </c>
      <c r="C14" s="98" cm="1">
        <f t="array" ref="C14">'Support Tables'!K59-'Support Tables'!K44-'Support Tables'!K29-Dynamic_Row_Table[[Fixed Cost]:[Fixed Cost]]</f>
        <v>-0.74358134920634988</v>
      </c>
      <c r="D14" s="98" cm="1">
        <f t="array" ref="D14">'Support Tables'!L59-'Support Tables'!L44-'Support Tables'!L29-Dynamic_Row_Table[[Fixed Cost]:[Fixed Cost]]</f>
        <v>3.1745833333333335</v>
      </c>
      <c r="E14" s="98" cm="1">
        <f t="array" ref="E14">'Support Tables'!M59-'Support Tables'!M44-'Support Tables'!M29-Dynamic_Row_Table[[Fixed Cost]:[Fixed Cost]]</f>
        <v>6.5818819444444454</v>
      </c>
      <c r="F14" s="98" cm="1">
        <f t="array" ref="F14">'Support Tables'!N59-'Support Tables'!N44-'Support Tables'!N29-Dynamic_Row_Table[[Fixed Cost]:[Fixed Cost]]</f>
        <v>9.7031220238095237</v>
      </c>
      <c r="G14" s="98" cm="1">
        <f t="array" ref="G14">'Support Tables'!O59-'Support Tables'!O44-'Support Tables'!O29-Dynamic_Row_Table[[Fixed Cost]:[Fixed Cost]]</f>
        <v>11.925074404761903</v>
      </c>
      <c r="I14" s="80" t="s">
        <v>51</v>
      </c>
      <c r="J14" s="74" t="s">
        <v>37</v>
      </c>
      <c r="K14">
        <f>IF(CMPerLoan[[#This Row],[Deep Subprime]]&gt;0,1,0)</f>
        <v>0</v>
      </c>
      <c r="L14">
        <f>IF(CMPerLoan[[#This Row],[Sub Prime]]&gt;0,1,0)</f>
        <v>1</v>
      </c>
      <c r="M14">
        <f>IF(CMPerLoan[[#This Row],[Near Prime]]&gt;0,1,0)</f>
        <v>1</v>
      </c>
      <c r="N14">
        <f>IF(CMPerLoan[[#This Row],[Prime]]&gt;0,1,0)</f>
        <v>1</v>
      </c>
      <c r="O14">
        <f>IF(CMPerLoan[[#This Row],[Super Prime]]&gt;0,1,0)</f>
        <v>1</v>
      </c>
    </row>
    <row r="16" spans="1:15" x14ac:dyDescent="0.2">
      <c r="A16" t="s">
        <v>128</v>
      </c>
      <c r="I16" t="s">
        <v>144</v>
      </c>
    </row>
    <row r="17" spans="1:15" x14ac:dyDescent="0.2">
      <c r="A17" s="75" t="s">
        <v>0</v>
      </c>
      <c r="B17" s="75" t="s">
        <v>34</v>
      </c>
      <c r="C17" s="75" t="s">
        <v>58</v>
      </c>
      <c r="D17" s="75" t="s">
        <v>83</v>
      </c>
      <c r="E17" s="75" t="s">
        <v>60</v>
      </c>
      <c r="F17" s="75" t="s">
        <v>61</v>
      </c>
      <c r="G17" s="76" t="s">
        <v>62</v>
      </c>
      <c r="I17" s="67" t="s">
        <v>0</v>
      </c>
      <c r="J17" s="71" t="s">
        <v>34</v>
      </c>
      <c r="K17" s="71" t="s">
        <v>58</v>
      </c>
      <c r="L17" s="71" t="s">
        <v>83</v>
      </c>
      <c r="M17" s="71" t="s">
        <v>60</v>
      </c>
      <c r="N17" s="71" t="s">
        <v>61</v>
      </c>
      <c r="O17" s="68" t="s">
        <v>62</v>
      </c>
    </row>
    <row r="18" spans="1:15" x14ac:dyDescent="0.2">
      <c r="A18" s="85" t="s">
        <v>29</v>
      </c>
      <c r="B18" s="85" t="s">
        <v>35</v>
      </c>
      <c r="C18" s="98">
        <f>C3*'Portfolio x PD x Loan Count'!C132/'Portfolio x PD x Loan Count'!C64</f>
        <v>-29.209928729932244</v>
      </c>
      <c r="D18" s="98">
        <f>D3*'Portfolio x PD x Loan Count'!D132/'Portfolio x PD x Loan Count'!D64</f>
        <v>-4.1244864853087178</v>
      </c>
      <c r="E18" s="98">
        <f>E3*'Portfolio x PD x Loan Count'!E132/'Portfolio x PD x Loan Count'!E64</f>
        <v>-0.11639502915979258</v>
      </c>
      <c r="F18" s="98">
        <f>F3*'Portfolio x PD x Loan Count'!F132/'Portfolio x PD x Loan Count'!F64</f>
        <v>4.2527389439650056</v>
      </c>
      <c r="G18" s="98">
        <f>G3*'Portfolio x PD x Loan Count'!G132/'Portfolio x PD x Loan Count'!G64</f>
        <v>8.3987707899950248</v>
      </c>
      <c r="I18" s="69" t="s">
        <v>29</v>
      </c>
      <c r="J18" s="73" t="s">
        <v>35</v>
      </c>
      <c r="K18" s="10">
        <f>K3*'Portfolio x PD x Loan Count'!C132</f>
        <v>0</v>
      </c>
      <c r="L18" s="10">
        <f>L3*'Portfolio x PD x Loan Count'!D132</f>
        <v>0</v>
      </c>
      <c r="M18" s="10">
        <f>M3*'Portfolio x PD x Loan Count'!E132</f>
        <v>0</v>
      </c>
      <c r="N18" s="10">
        <f>N3*'Portfolio x PD x Loan Count'!F132</f>
        <v>6.1589147902727532</v>
      </c>
      <c r="O18" s="10">
        <f>O3*'Portfolio x PD x Loan Count'!G132</f>
        <v>1.8644106439018384</v>
      </c>
    </row>
    <row r="19" spans="1:15" x14ac:dyDescent="0.2">
      <c r="A19" s="88" t="s">
        <v>29</v>
      </c>
      <c r="B19" s="88" t="s">
        <v>36</v>
      </c>
      <c r="C19" s="98">
        <f>C4*'Portfolio x PD x Loan Count'!C133/'Portfolio x PD x Loan Count'!C65</f>
        <v>-24.062579193373661</v>
      </c>
      <c r="D19" s="98">
        <f>D4*'Portfolio x PD x Loan Count'!D133/'Portfolio x PD x Loan Count'!D65</f>
        <v>0.54127236671088552</v>
      </c>
      <c r="E19" s="98">
        <f>E4*'Portfolio x PD x Loan Count'!E133/'Portfolio x PD x Loan Count'!E65</f>
        <v>5.8577652352189915</v>
      </c>
      <c r="F19" s="98">
        <f>F4*'Portfolio x PD x Loan Count'!F133/'Portfolio x PD x Loan Count'!F65</f>
        <v>12.385186503358868</v>
      </c>
      <c r="G19" s="98">
        <f>G4*'Portfolio x PD x Loan Count'!G133/'Portfolio x PD x Loan Count'!G65</f>
        <v>16.602772656435214</v>
      </c>
      <c r="I19" s="70" t="s">
        <v>29</v>
      </c>
      <c r="J19" s="74" t="s">
        <v>36</v>
      </c>
      <c r="K19" s="10">
        <f>K4*'Portfolio x PD x Loan Count'!C133</f>
        <v>0</v>
      </c>
      <c r="L19" s="10">
        <f>L4*'Portfolio x PD x Loan Count'!D133</f>
        <v>2.1951426759654016</v>
      </c>
      <c r="M19" s="10">
        <f>M4*'Portfolio x PD x Loan Count'!E133</f>
        <v>3.2117807929145901</v>
      </c>
      <c r="N19" s="10">
        <f>N4*'Portfolio x PD x Loan Count'!F133</f>
        <v>3.4011157319753655</v>
      </c>
      <c r="O19" s="10">
        <f>O4*'Portfolio x PD x Loan Count'!G133</f>
        <v>1.8550135451860448</v>
      </c>
    </row>
    <row r="20" spans="1:15" x14ac:dyDescent="0.2">
      <c r="A20" s="85" t="s">
        <v>29</v>
      </c>
      <c r="B20" s="85" t="s">
        <v>37</v>
      </c>
      <c r="C20" s="98">
        <f>C5*'Portfolio x PD x Loan Count'!C134/'Portfolio x PD x Loan Count'!C66</f>
        <v>-16.719354802018273</v>
      </c>
      <c r="D20" s="98">
        <f>D5*'Portfolio x PD x Loan Count'!D134/'Portfolio x PD x Loan Count'!D66</f>
        <v>6.2888525431255804</v>
      </c>
      <c r="E20" s="98">
        <f>E5*'Portfolio x PD x Loan Count'!E134/'Portfolio x PD x Loan Count'!E66</f>
        <v>15.369561158487484</v>
      </c>
      <c r="F20" s="98">
        <f>F5*'Portfolio x PD x Loan Count'!F134/'Portfolio x PD x Loan Count'!F66</f>
        <v>26.099742458282961</v>
      </c>
      <c r="G20" s="98">
        <f>G5*'Portfolio x PD x Loan Count'!G134/'Portfolio x PD x Loan Count'!G66</f>
        <v>32.96078702897546</v>
      </c>
      <c r="I20" s="69" t="s">
        <v>29</v>
      </c>
      <c r="J20" s="73" t="s">
        <v>37</v>
      </c>
      <c r="K20" s="10">
        <f>K5*'Portfolio x PD x Loan Count'!C134</f>
        <v>0</v>
      </c>
      <c r="L20" s="10">
        <f>L5*'Portfolio x PD x Loan Count'!D134</f>
        <v>0.22337291809402113</v>
      </c>
      <c r="M20" s="10">
        <f>M5*'Portfolio x PD x Loan Count'!E134</f>
        <v>0.44448035380641343</v>
      </c>
      <c r="N20" s="10">
        <f>N5*'Portfolio x PD x Loan Count'!F134</f>
        <v>0.86948744058888916</v>
      </c>
      <c r="O20" s="10">
        <f>O5*'Portfolio x PD x Loan Count'!G134</f>
        <v>1.0857370151190291</v>
      </c>
    </row>
    <row r="21" spans="1:15" x14ac:dyDescent="0.2">
      <c r="A21" s="88" t="s">
        <v>30</v>
      </c>
      <c r="B21" s="88" t="s">
        <v>35</v>
      </c>
      <c r="C21" s="98">
        <f>C6*'Portfolio x PD x Loan Count'!C135/'Portfolio x PD x Loan Count'!C67</f>
        <v>-26.414488225586727</v>
      </c>
      <c r="D21" s="98">
        <f>D6*'Portfolio x PD x Loan Count'!D135/'Portfolio x PD x Loan Count'!D67</f>
        <v>-1.052428556541362</v>
      </c>
      <c r="E21" s="98">
        <f>E6*'Portfolio x PD x Loan Count'!E135/'Portfolio x PD x Loan Count'!E67</f>
        <v>4.9616432149935825</v>
      </c>
      <c r="F21" s="98">
        <f>F6*'Portfolio x PD x Loan Count'!F135/'Portfolio x PD x Loan Count'!F67</f>
        <v>10.717972644020929</v>
      </c>
      <c r="G21" s="98">
        <f>G6*'Portfolio x PD x Loan Count'!G135/'Portfolio x PD x Loan Count'!G67</f>
        <v>13.960560108412123</v>
      </c>
      <c r="I21" s="70" t="s">
        <v>30</v>
      </c>
      <c r="J21" s="74" t="s">
        <v>35</v>
      </c>
      <c r="K21" s="10">
        <f>K6*'Portfolio x PD x Loan Count'!C135</f>
        <v>0</v>
      </c>
      <c r="L21" s="10">
        <f>L6*'Portfolio x PD x Loan Count'!D135</f>
        <v>0</v>
      </c>
      <c r="M21" s="10">
        <f>M6*'Portfolio x PD x Loan Count'!E135</f>
        <v>5.3345872524973661</v>
      </c>
      <c r="N21" s="10">
        <f>N6*'Portfolio x PD x Loan Count'!F135</f>
        <v>3.5712460522883402</v>
      </c>
      <c r="O21" s="10">
        <f>O6*'Portfolio x PD x Loan Count'!G135</f>
        <v>1.0810783033392051</v>
      </c>
    </row>
    <row r="22" spans="1:15" x14ac:dyDescent="0.2">
      <c r="A22" s="85" t="s">
        <v>30</v>
      </c>
      <c r="B22" s="85" t="s">
        <v>36</v>
      </c>
      <c r="C22" s="98">
        <f>C7*'Portfolio x PD x Loan Count'!C136/'Portfolio x PD x Loan Count'!C68</f>
        <v>-20.014536010845745</v>
      </c>
      <c r="D22" s="98">
        <f>D7*'Portfolio x PD x Loan Count'!D136/'Portfolio x PD x Loan Count'!D68</f>
        <v>5.3210425706116045</v>
      </c>
      <c r="E22" s="98">
        <f>E7*'Portfolio x PD x Loan Count'!E136/'Portfolio x PD x Loan Count'!E68</f>
        <v>16.18917616861231</v>
      </c>
      <c r="F22" s="98">
        <f>F7*'Portfolio x PD x Loan Count'!F136/'Portfolio x PD x Loan Count'!F68</f>
        <v>25.585090354972717</v>
      </c>
      <c r="G22" s="98">
        <f>G7*'Portfolio x PD x Loan Count'!G136/'Portfolio x PD x Loan Count'!G68</f>
        <v>33.084334361072663</v>
      </c>
      <c r="I22" s="69" t="s">
        <v>30</v>
      </c>
      <c r="J22" s="73" t="s">
        <v>36</v>
      </c>
      <c r="K22" s="10">
        <f>K7*'Portfolio x PD x Loan Count'!C136</f>
        <v>0</v>
      </c>
      <c r="L22" s="10">
        <f>L7*'Portfolio x PD x Loan Count'!D136</f>
        <v>5.5156973522739223</v>
      </c>
      <c r="M22" s="10">
        <f>M7*'Portfolio x PD x Loan Count'!E136</f>
        <v>8.0701865120326506</v>
      </c>
      <c r="N22" s="10">
        <f>N7*'Portfolio x PD x Loan Count'!F136</f>
        <v>8.5459251660639612</v>
      </c>
      <c r="O22" s="10">
        <f>O7*'Portfolio x PD x Loan Count'!G136</f>
        <v>4.6610607190328226</v>
      </c>
    </row>
    <row r="23" spans="1:15" x14ac:dyDescent="0.2">
      <c r="A23" s="88" t="s">
        <v>30</v>
      </c>
      <c r="B23" s="88" t="s">
        <v>37</v>
      </c>
      <c r="C23" s="98">
        <f>C8*'Portfolio x PD x Loan Count'!C137/'Portfolio x PD x Loan Count'!C69</f>
        <v>-7.8646545498667511</v>
      </c>
      <c r="D23" s="98">
        <f>D8*'Portfolio x PD x Loan Count'!D137/'Portfolio x PD x Loan Count'!D69</f>
        <v>17.353757269549476</v>
      </c>
      <c r="E23" s="98">
        <f>E8*'Portfolio x PD x Loan Count'!E137/'Portfolio x PD x Loan Count'!E69</f>
        <v>35.599451734357999</v>
      </c>
      <c r="F23" s="98">
        <f>F8*'Portfolio x PD x Loan Count'!F137/'Portfolio x PD x Loan Count'!F69</f>
        <v>47.354139567299505</v>
      </c>
      <c r="G23" s="98">
        <f>G8*'Portfolio x PD x Loan Count'!G137/'Portfolio x PD x Loan Count'!G69</f>
        <v>49.086154370187607</v>
      </c>
      <c r="I23" s="70" t="s">
        <v>30</v>
      </c>
      <c r="J23" s="74" t="s">
        <v>37</v>
      </c>
      <c r="K23" s="10">
        <f>K8*'Portfolio x PD x Loan Count'!C137</f>
        <v>0</v>
      </c>
      <c r="L23" s="10">
        <f>L8*'Portfolio x PD x Loan Count'!D137</f>
        <v>1.683795900454232</v>
      </c>
      <c r="M23" s="10">
        <f>M8*'Portfolio x PD x Loan Count'!E137</f>
        <v>3.3505144847356401</v>
      </c>
      <c r="N23" s="10">
        <f>N8*'Portfolio x PD x Loan Count'!F137</f>
        <v>6.5542385372956318</v>
      </c>
      <c r="O23" s="10">
        <f>O8*'Portfolio x PD x Loan Count'!G137</f>
        <v>8.1843383281554996</v>
      </c>
    </row>
    <row r="24" spans="1:15" x14ac:dyDescent="0.2">
      <c r="A24" s="85" t="s">
        <v>32</v>
      </c>
      <c r="B24" s="85" t="s">
        <v>35</v>
      </c>
      <c r="C24" s="98">
        <f>C9*'Portfolio x PD x Loan Count'!C138/'Portfolio x PD x Loan Count'!C70</f>
        <v>-23.188072310549529</v>
      </c>
      <c r="D24" s="98">
        <f>D9*'Portfolio x PD x Loan Count'!D138/'Portfolio x PD x Loan Count'!D70</f>
        <v>-1.122758548202841E-2</v>
      </c>
      <c r="E24" s="98">
        <f>E9*'Portfolio x PD x Loan Count'!E138/'Portfolio x PD x Loan Count'!E70</f>
        <v>6.0581395616498916</v>
      </c>
      <c r="F24" s="98">
        <f>F9*'Portfolio x PD x Loan Count'!F138/'Portfolio x PD x Loan Count'!F70</f>
        <v>11.774639050824604</v>
      </c>
      <c r="G24" s="98">
        <f>G9*'Portfolio x PD x Loan Count'!G138/'Portfolio x PD x Loan Count'!G70</f>
        <v>14.17243045255746</v>
      </c>
      <c r="I24" s="69" t="s">
        <v>32</v>
      </c>
      <c r="J24" s="73" t="s">
        <v>35</v>
      </c>
      <c r="K24" s="10">
        <f>K9*'Portfolio x PD x Loan Count'!C138</f>
        <v>0</v>
      </c>
      <c r="L24" s="10">
        <f>L9*'Portfolio x PD x Loan Count'!D138</f>
        <v>0</v>
      </c>
      <c r="M24" s="10">
        <f>M9*'Portfolio x PD x Loan Count'!E138</f>
        <v>1.9095389362469646</v>
      </c>
      <c r="N24" s="10">
        <f>N9*'Portfolio x PD x Loan Count'!F138</f>
        <v>1.2783432091340075</v>
      </c>
      <c r="O24" s="10">
        <f>O9*'Portfolio x PD x Loan Count'!G138</f>
        <v>0.38697672671706634</v>
      </c>
    </row>
    <row r="25" spans="1:15" x14ac:dyDescent="0.2">
      <c r="A25" s="88" t="s">
        <v>32</v>
      </c>
      <c r="B25" s="88" t="s">
        <v>36</v>
      </c>
      <c r="C25" s="98">
        <f>C10*'Portfolio x PD x Loan Count'!C139/'Portfolio x PD x Loan Count'!C71</f>
        <v>-15.59696171600231</v>
      </c>
      <c r="D25" s="98">
        <f>D10*'Portfolio x PD x Loan Count'!D139/'Portfolio x PD x Loan Count'!D71</f>
        <v>9.3904836492512818</v>
      </c>
      <c r="E25" s="98">
        <f>E10*'Portfolio x PD x Loan Count'!E139/'Portfolio x PD x Loan Count'!E71</f>
        <v>23.193045943810127</v>
      </c>
      <c r="F25" s="98">
        <f>F10*'Portfolio x PD x Loan Count'!F139/'Portfolio x PD x Loan Count'!F71</f>
        <v>36.00645297519744</v>
      </c>
      <c r="G25" s="98">
        <f>G10*'Portfolio x PD x Loan Count'!G139/'Portfolio x PD x Loan Count'!G71</f>
        <v>43.711031923116884</v>
      </c>
      <c r="I25" s="70" t="s">
        <v>32</v>
      </c>
      <c r="J25" s="74" t="s">
        <v>36</v>
      </c>
      <c r="K25" s="10">
        <f>K10*'Portfolio x PD x Loan Count'!C139</f>
        <v>0</v>
      </c>
      <c r="L25" s="10">
        <f>L10*'Portfolio x PD x Loan Count'!D139</f>
        <v>3.6196748351273382</v>
      </c>
      <c r="M25" s="10">
        <f>M10*'Portfolio x PD x Loan Count'!E139</f>
        <v>5.2960576272999873</v>
      </c>
      <c r="N25" s="10">
        <f>N10*'Portfolio x PD x Loan Count'!F139</f>
        <v>5.6082609851192018</v>
      </c>
      <c r="O25" s="10">
        <f>O10*'Portfolio x PD x Loan Count'!G139</f>
        <v>3.0588197850863095</v>
      </c>
    </row>
    <row r="26" spans="1:15" x14ac:dyDescent="0.2">
      <c r="A26" s="85" t="s">
        <v>32</v>
      </c>
      <c r="B26" s="85" t="s">
        <v>37</v>
      </c>
      <c r="C26" s="98">
        <f>C11*'Portfolio x PD x Loan Count'!C140/'Portfolio x PD x Loan Count'!C72</f>
        <v>-1.6424327510575625</v>
      </c>
      <c r="D26" s="98">
        <f>D11*'Portfolio x PD x Loan Count'!D140/'Portfolio x PD x Loan Count'!D72</f>
        <v>24.615100996265159</v>
      </c>
      <c r="E26" s="98">
        <f>E11*'Portfolio x PD x Loan Count'!E140/'Portfolio x PD x Loan Count'!E72</f>
        <v>47.510508802393908</v>
      </c>
      <c r="F26" s="98">
        <f>F11*'Portfolio x PD x Loan Count'!F140/'Portfolio x PD x Loan Count'!F72</f>
        <v>52.757799849252855</v>
      </c>
      <c r="G26" s="98">
        <f>G11*'Portfolio x PD x Loan Count'!G140/'Portfolio x PD x Loan Count'!G72</f>
        <v>49.0861543701876</v>
      </c>
      <c r="I26" s="69" t="s">
        <v>32</v>
      </c>
      <c r="J26" s="73" t="s">
        <v>37</v>
      </c>
      <c r="K26" s="10">
        <f>K11*'Portfolio x PD x Loan Count'!C140</f>
        <v>0</v>
      </c>
      <c r="L26" s="10">
        <f>L11*'Portfolio x PD x Loan Count'!D140</f>
        <v>1.2054442754142438</v>
      </c>
      <c r="M26" s="10">
        <f>M11*'Portfolio x PD x Loan Count'!E140</f>
        <v>2.3986627501750855</v>
      </c>
      <c r="N26" s="10">
        <f>N11*'Portfolio x PD x Loan Count'!F140</f>
        <v>4.692236940564519</v>
      </c>
      <c r="O26" s="10">
        <f>O11*'Portfolio x PD x Loan Count'!G140</f>
        <v>5.859239699459402</v>
      </c>
    </row>
    <row r="27" spans="1:15" x14ac:dyDescent="0.2">
      <c r="A27" s="88" t="s">
        <v>51</v>
      </c>
      <c r="B27" s="88" t="s">
        <v>35</v>
      </c>
      <c r="C27" s="98">
        <f>C12*'Portfolio x PD x Loan Count'!C141/'Portfolio x PD x Loan Count'!C73</f>
        <v>-27.358562348026751</v>
      </c>
      <c r="D27" s="98">
        <f>D12*'Portfolio x PD x Loan Count'!D141/'Portfolio x PD x Loan Count'!D73</f>
        <v>-2.4746242347043204</v>
      </c>
      <c r="E27" s="98">
        <f>E12*'Portfolio x PD x Loan Count'!E141/'Portfolio x PD x Loan Count'!E73</f>
        <v>1.6748010765953223</v>
      </c>
      <c r="F27" s="98">
        <f>F12*'Portfolio x PD x Loan Count'!F141/'Portfolio x PD x Loan Count'!F73</f>
        <v>5.9648852017493494</v>
      </c>
      <c r="G27" s="98">
        <f>G12*'Portfolio x PD x Loan Count'!G141/'Portfolio x PD x Loan Count'!G73</f>
        <v>9.1941890451639576</v>
      </c>
      <c r="I27" s="70" t="s">
        <v>51</v>
      </c>
      <c r="J27" s="74" t="s">
        <v>35</v>
      </c>
      <c r="K27" s="10">
        <f>K12*'Portfolio x PD x Loan Count'!C141</f>
        <v>0</v>
      </c>
      <c r="L27" s="10">
        <f>L12*'Portfolio x PD x Loan Count'!D141</f>
        <v>0</v>
      </c>
      <c r="M27" s="10">
        <f>M12*'Portfolio x PD x Loan Count'!E141</f>
        <v>1.9481513944996143</v>
      </c>
      <c r="N27" s="10">
        <f>N12*'Portfolio x PD x Loan Count'!F141</f>
        <v>1.3041923671994922</v>
      </c>
      <c r="O27" s="10">
        <f>O12*'Portfolio x PD x Loan Count'!G141</f>
        <v>0.39480171652035212</v>
      </c>
    </row>
    <row r="28" spans="1:15" x14ac:dyDescent="0.2">
      <c r="A28" s="85" t="s">
        <v>51</v>
      </c>
      <c r="B28" s="85" t="s">
        <v>36</v>
      </c>
      <c r="C28" s="98">
        <f>C13*'Portfolio x PD x Loan Count'!C142/'Portfolio x PD x Loan Count'!C74</f>
        <v>-19.935764839556573</v>
      </c>
      <c r="D28" s="98">
        <f>D13*'Portfolio x PD x Loan Count'!D142/'Portfolio x PD x Loan Count'!D74</f>
        <v>3.9064402442174391</v>
      </c>
      <c r="E28" s="98">
        <f>E13*'Portfolio x PD x Loan Count'!E142/'Portfolio x PD x Loan Count'!E74</f>
        <v>12.911723985718165</v>
      </c>
      <c r="F28" s="98">
        <f>F13*'Portfolio x PD x Loan Count'!F142/'Portfolio x PD x Loan Count'!F74</f>
        <v>21.056326195126495</v>
      </c>
      <c r="G28" s="98">
        <f>G13*'Portfolio x PD x Loan Count'!G142/'Portfolio x PD x Loan Count'!G74</f>
        <v>27.585664581904762</v>
      </c>
      <c r="I28" s="69" t="s">
        <v>51</v>
      </c>
      <c r="J28" s="73" t="s">
        <v>36</v>
      </c>
      <c r="K28" s="10">
        <f>K13*'Portfolio x PD x Loan Count'!C142</f>
        <v>0</v>
      </c>
      <c r="L28" s="10">
        <f>L13*'Portfolio x PD x Loan Count'!D142</f>
        <v>1.6785762077843744</v>
      </c>
      <c r="M28" s="10">
        <f>M13*'Portfolio x PD x Loan Count'!E142</f>
        <v>2.4559764987641453</v>
      </c>
      <c r="N28" s="10">
        <f>N13*'Portfolio x PD x Loan Count'!F142</f>
        <v>2.600756666126137</v>
      </c>
      <c r="O28" s="10">
        <f>O13*'Portfolio x PD x Loan Count'!G142</f>
        <v>1.4184871152840344</v>
      </c>
    </row>
    <row r="29" spans="1:15" ht="16" customHeight="1" x14ac:dyDescent="0.2">
      <c r="A29" s="90" t="s">
        <v>51</v>
      </c>
      <c r="B29" s="88" t="s">
        <v>37</v>
      </c>
      <c r="C29" s="98">
        <f>C14*'Portfolio x PD x Loan Count'!C143/'Portfolio x PD x Loan Count'!C75</f>
        <v>-9.7791843341157225</v>
      </c>
      <c r="D29" s="98">
        <f>D14*'Portfolio x PD x Loan Count'!D143/'Portfolio x PD x Loan Count'!D75</f>
        <v>14.933309360644254</v>
      </c>
      <c r="E29" s="98">
        <f>E14*'Portfolio x PD x Loan Count'!E143/'Portfolio x PD x Loan Count'!E75</f>
        <v>31.818163776251371</v>
      </c>
      <c r="F29" s="98">
        <f>F14*'Portfolio x PD x Loan Count'!F143/'Portfolio x PD x Loan Count'!F75</f>
        <v>43.751699379330596</v>
      </c>
      <c r="G29" s="98">
        <f>G14*'Portfolio x PD x Loan Count'!G143/'Portfolio x PD x Loan Count'!G75</f>
        <v>46.014655829004326</v>
      </c>
      <c r="I29" s="80" t="s">
        <v>51</v>
      </c>
      <c r="J29" s="74" t="s">
        <v>37</v>
      </c>
      <c r="K29" s="10">
        <f>K14*'Portfolio x PD x Loan Count'!C143</f>
        <v>0</v>
      </c>
      <c r="L29" s="10">
        <f>L14*'Portfolio x PD x Loan Count'!D143</f>
        <v>0.40993978556160288</v>
      </c>
      <c r="M29" s="10">
        <f>M14*'Portfolio x PD x Loan Count'!E143</f>
        <v>0.81572189896830472</v>
      </c>
      <c r="N29" s="10">
        <f>N14*'Portfolio x PD x Loan Count'!F143</f>
        <v>1.5957059521131658</v>
      </c>
      <c r="O29" s="10">
        <f>O14*'Portfolio x PD x Loan Count'!G143</f>
        <v>1.9925727924046983</v>
      </c>
    </row>
    <row r="31" spans="1:15" x14ac:dyDescent="0.2">
      <c r="A31" t="s">
        <v>145</v>
      </c>
      <c r="B31" t="s">
        <v>146</v>
      </c>
    </row>
    <row r="32" spans="1:15" x14ac:dyDescent="0.2">
      <c r="A32" s="124">
        <f>SUM(K18:K29,L18:L29,M18:M29,N18:N29,O18:O29)/'User Segmentation'!$I$47</f>
        <v>0.38651060953413835</v>
      </c>
      <c r="B32" s="124">
        <f>1-LoanComp[[#This Row],[%Profitable Loans ]]</f>
        <v>0.61348939046586159</v>
      </c>
      <c r="I32" s="10"/>
      <c r="J32" s="10"/>
    </row>
    <row r="33" spans="9:10" x14ac:dyDescent="0.2">
      <c r="I33" s="10"/>
      <c r="J33" s="10"/>
    </row>
  </sheetData>
  <conditionalFormatting sqref="C3:G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:G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729E-EE22-F840-B1EA-E0E7FC212099}">
  <sheetPr codeName="Sheet7">
    <tabColor theme="2" tint="-9.9978637043366805E-2"/>
  </sheetPr>
  <dimension ref="A1:Y168"/>
  <sheetViews>
    <sheetView zoomScale="91" workbookViewId="0">
      <selection activeCell="H19" sqref="H19"/>
    </sheetView>
  </sheetViews>
  <sheetFormatPr baseColWidth="10" defaultRowHeight="16" x14ac:dyDescent="0.2"/>
  <cols>
    <col min="1" max="1" width="13.83203125" bestFit="1" customWidth="1"/>
    <col min="2" max="2" width="15" bestFit="1" customWidth="1"/>
    <col min="3" max="3" width="14.1640625" customWidth="1"/>
    <col min="4" max="4" width="18.33203125" bestFit="1" customWidth="1"/>
    <col min="5" max="5" width="16.33203125" bestFit="1" customWidth="1"/>
    <col min="6" max="6" width="12.83203125" customWidth="1"/>
    <col min="7" max="8" width="11" bestFit="1" customWidth="1"/>
    <col min="16" max="16" width="10" customWidth="1"/>
    <col min="17" max="17" width="8.5" hidden="1" customWidth="1"/>
    <col min="18" max="18" width="19.83203125" hidden="1" customWidth="1"/>
    <col min="19" max="19" width="18.83203125" hidden="1" customWidth="1"/>
    <col min="20" max="20" width="19.83203125" hidden="1" customWidth="1"/>
    <col min="21" max="21" width="18.83203125" hidden="1" customWidth="1"/>
  </cols>
  <sheetData>
    <row r="1" spans="1:25" ht="29" customHeight="1" x14ac:dyDescent="0.2">
      <c r="A1" t="s">
        <v>130</v>
      </c>
    </row>
    <row r="2" spans="1:25" ht="15" customHeight="1" x14ac:dyDescent="0.2">
      <c r="A2" t="s">
        <v>134</v>
      </c>
      <c r="B2" t="s">
        <v>0</v>
      </c>
      <c r="C2" t="s">
        <v>34</v>
      </c>
      <c r="D2" t="s">
        <v>57</v>
      </c>
      <c r="E2" t="s">
        <v>137</v>
      </c>
      <c r="F2" t="s">
        <v>119</v>
      </c>
      <c r="G2" t="s">
        <v>118</v>
      </c>
      <c r="H2" t="s">
        <v>135</v>
      </c>
    </row>
    <row r="3" spans="1:25" x14ac:dyDescent="0.2">
      <c r="A3" t="s">
        <v>131</v>
      </c>
      <c r="B3" t="s">
        <v>29</v>
      </c>
      <c r="C3" t="s">
        <v>35</v>
      </c>
      <c r="D3" t="s">
        <v>58</v>
      </c>
      <c r="E3" s="65" cm="1">
        <f t="array" ref="E3">INDEX(Portfolio_Perc[[Deep Subprime]:[Super Prime]], MATCH(1,(Portfolio_Perc[Generation]=UserProfiles[[#This Row],[Generation]:[Generation]])*(Portfolio_Perc[Income Bracket]=UserProfiles[[#This Row],[Income Bracket]:[Income Bracket]]),0), MATCH(UserProfiles[[#This Row],[Credit Category]:[Credit Category]],Portfolio_Perc[[#Headers],[Deep Subprime]:[Super Prime]],0))</f>
        <v>9.8055592603861694E-2</v>
      </c>
      <c r="F3" s="98" cm="1">
        <f t="array" ref="F3">INDEX(
    ATS_Table[[Deep Subprime]:[Super Prime]],
    MATCH(1,
        (ATS_Table[Generation]=UserProfiles[[#This Row],[Generation]])*
        (ATS_Table[Income Bracket]=UserProfiles[[#This Row],[Income Bracket]]),
    0),
    MATCH(UserProfiles[[#This Row],[Credit Category]],
        ATS_Table[[#Headers],[Deep Subprime]:[Super Prime]],
    0)
)</f>
        <v>57.355555555555554</v>
      </c>
      <c r="G3" s="61" cm="1">
        <f t="array" ref="G3">INDEX('Dynamic PD'!$N$3:$R$14, MATCH(1,('Dynamic PD'!$L$3:$L$14=UserProfiles[[#This Row],[Generation]])*('Dynamic PD'!$M$3:$M$14=UserProfiles[[#This Row],[Income Bracket]]),0),MATCH(UserProfiles[[#This Row],[Credit Category]],'Dynamic PD'!$N$2:$R$2,0))</f>
        <v>3.8500000000000006E-2</v>
      </c>
      <c r="H3">
        <f>(VLOOKUP(UserProfiles[[#This Row],[Income Bracket]],Beta_Income[],2,FALSE))*(VLOOKUP(UserProfiles[[#This Row],[Credit Category]],Beta_Credit[],2,FALSE))</f>
        <v>1.89</v>
      </c>
    </row>
    <row r="4" spans="1:25" x14ac:dyDescent="0.2">
      <c r="A4" t="s">
        <v>132</v>
      </c>
      <c r="B4" t="s">
        <v>30</v>
      </c>
      <c r="C4" t="s">
        <v>36</v>
      </c>
      <c r="D4" t="s">
        <v>60</v>
      </c>
      <c r="E4" s="65" cm="1">
        <f t="array" ref="E4">INDEX(Portfolio_Perc[[Deep Subprime]:[Super Prime]], MATCH(1,(Portfolio_Perc[Generation]=UserProfiles[[#This Row],[Generation]:[Generation]])*(Portfolio_Perc[Income Bracket]=UserProfiles[[#This Row],[Income Bracket]:[Income Bracket]]),0), MATCH(UserProfiles[[#This Row],[Credit Category]:[Credit Category]],Portfolio_Perc[[#Headers],[Deep Subprime]:[Super Prime]],0))</f>
        <v>3.237769204840811E-2</v>
      </c>
      <c r="F4" s="98" cm="1">
        <f t="array" ref="F4">INDEX(
    ATS_Table[[Deep Subprime]:[Super Prime]],
    MATCH(1,
        (ATS_Table[Generation]=UserProfiles[[#This Row],[Generation]])*
        (ATS_Table[Income Bracket]=UserProfiles[[#This Row],[Income Bracket]]),
    0),
    MATCH(UserProfiles[[#This Row],[Credit Category]],
        ATS_Table[[#Headers],[Deep Subprime]:[Super Prime]],
    0)
)</f>
        <v>187.72896825396825</v>
      </c>
      <c r="G4" s="61" cm="1">
        <f t="array" ref="G4">INDEX('Dynamic PD'!$N$3:$R$14, MATCH(1,('Dynamic PD'!$L$3:$L$14=UserProfiles[[#This Row],[Generation]])*('Dynamic PD'!$M$3:$M$14=UserProfiles[[#This Row],[Income Bracket]]),0),MATCH(UserProfiles[[#This Row],[Credit Category]],'Dynamic PD'!$N$2:$R$2,0))</f>
        <v>8.320000000000001E-3</v>
      </c>
      <c r="H4">
        <f>(VLOOKUP(UserProfiles[[#This Row],[Income Bracket]],Beta_Income[],2,FALSE))*(VLOOKUP(UserProfiles[[#This Row],[Credit Category]],Beta_Credit[],2,FALSE))</f>
        <v>1.32</v>
      </c>
    </row>
    <row r="5" spans="1:25" x14ac:dyDescent="0.2">
      <c r="A5" t="s">
        <v>133</v>
      </c>
      <c r="B5" t="s">
        <v>32</v>
      </c>
      <c r="C5" t="s">
        <v>37</v>
      </c>
      <c r="D5" t="s">
        <v>62</v>
      </c>
      <c r="E5" s="65" cm="1">
        <f t="array" ref="E5">INDEX(Portfolio_Perc[[Deep Subprime]:[Super Prime]], MATCH(1,(Portfolio_Perc[Generation]=UserProfiles[[#This Row],[Generation]:[Generation]])*(Portfolio_Perc[Income Bracket]=UserProfiles[[#This Row],[Income Bracket]:[Income Bracket]]),0), MATCH(UserProfiles[[#This Row],[Credit Category]:[Credit Category]],Portfolio_Perc[[#Headers],[Deep Subprime]:[Super Prime]],0))</f>
        <v>2.9450557836566933E-2</v>
      </c>
      <c r="F5" s="98" cm="1">
        <f t="array" ref="F5">INDEX(
    ATS_Table[[Deep Subprime]:[Super Prime]],
    MATCH(1,
        (ATS_Table[Generation]=UserProfiles[[#This Row],[Generation]])*
        (ATS_Table[Income Bracket]=UserProfiles[[#This Row],[Income Bracket]]),
    0),
    MATCH(UserProfiles[[#This Row],[Credit Category]],
        ATS_Table[[#Headers],[Deep Subprime]:[Super Prime]],
    0)
)</f>
        <v>454.56349206349205</v>
      </c>
      <c r="G5" s="61" cm="1">
        <f t="array" ref="G5">INDEX('Dynamic PD'!$N$3:$R$14, MATCH(1,('Dynamic PD'!$L$3:$L$14=UserProfiles[[#This Row],[Generation]])*('Dynamic PD'!$M$3:$M$14=UserProfiles[[#This Row],[Income Bracket]]),0),MATCH(UserProfiles[[#This Row],[Credit Category]],'Dynamic PD'!$N$2:$R$2,0))</f>
        <v>8.0000000000000002E-3</v>
      </c>
      <c r="H5">
        <f>(VLOOKUP(UserProfiles[[#This Row],[Income Bracket]],Beta_Income[],2,FALSE))*(VLOOKUP(UserProfiles[[#This Row],[Credit Category]],Beta_Credit[],2,FALSE))</f>
        <v>1.0710000000000002</v>
      </c>
    </row>
    <row r="6" spans="1:25" x14ac:dyDescent="0.2">
      <c r="A6" t="s">
        <v>147</v>
      </c>
      <c r="B6" t="str">
        <f>Dashboard!$H$15</f>
        <v>Gen Z</v>
      </c>
      <c r="C6" t="str">
        <f>Dashboard!$M$15</f>
        <v>50,000-1,00,000</v>
      </c>
      <c r="D6" t="str">
        <f>Dashboard!$R$15</f>
        <v>Near Prime</v>
      </c>
      <c r="E6" s="65" cm="1">
        <f t="array" ref="E6">INDEX(Portfolio_Perc[[Deep Subprime]:[Super Prime]], MATCH(1,(Portfolio_Perc[Generation]=UserProfiles[[#This Row],[Generation]:[Generation]])*(Portfolio_Perc[Income Bracket]=UserProfiles[[#This Row],[Income Bracket]:[Income Bracket]]),0), MATCH(UserProfiles[[#This Row],[Credit Category]:[Credit Category]],Portfolio_Perc[[#Headers],[Deep Subprime]:[Super Prime]],0))</f>
        <v>1.2885705836529482E-2</v>
      </c>
      <c r="F6" s="98" cm="1">
        <f t="array" ref="F6">INDEX(
    ATS_Table[[Deep Subprime]:[Super Prime]],
    MATCH(1,
        (ATS_Table[Generation]=UserProfiles[[#This Row],[Generation]])*
        (ATS_Table[Income Bracket]=UserProfiles[[#This Row],[Income Bracket]]),
    0),
    MATCH(UserProfiles[[#This Row],[Credit Category]],
        ATS_Table[[#Headers],[Deep Subprime]:[Super Prime]],
    0)
)</f>
        <v>125.14880952380952</v>
      </c>
      <c r="G6" s="61" cm="1">
        <f t="array" ref="G6">INDEX('Dynamic PD'!$N$3:$R$14, MATCH(1,('Dynamic PD'!$L$3:$L$14=UserProfiles[[#This Row],[Generation]])*('Dynamic PD'!$M$3:$M$14=UserProfiles[[#This Row],[Income Bracket]]),0),MATCH(UserProfiles[[#This Row],[Credit Category]],'Dynamic PD'!$N$2:$R$2,0))</f>
        <v>8.6400000000000001E-3</v>
      </c>
      <c r="H6">
        <f>(VLOOKUP(UserProfiles[[#This Row],[Income Bracket]],Beta_Income[],2,FALSE))*(VLOOKUP(UserProfiles[[#This Row],[Credit Category]],Beta_Credit[],2,FALSE))</f>
        <v>1.32</v>
      </c>
    </row>
    <row r="8" spans="1:25" ht="68" x14ac:dyDescent="0.2">
      <c r="A8" s="109" t="s">
        <v>129</v>
      </c>
      <c r="B8" s="113" t="str">
        <f>$B$3 &amp; "," &amp; CHAR(10) &amp;
$C$3 &amp; "," &amp; CHAR(10) &amp;
$D$3</f>
        <v>Gen Z,
&lt;50,000,
Deep Subprime</v>
      </c>
      <c r="C8" s="113" t="str">
        <f>$B$4 &amp; "," &amp; CHAR(10) &amp;
$C$4 &amp; "," &amp; CHAR(10) &amp;
$D$4</f>
        <v>Millenial,
50,000-1,00,000,
Near Prime</v>
      </c>
      <c r="D8" s="113" t="str">
        <f>$B$5 &amp; "," &amp; CHAR(10) &amp;
$C$5 &amp; "," &amp; CHAR(10) &amp;
$D$5</f>
        <v>Gen X,
&gt;1,00,000,
Super Prime</v>
      </c>
      <c r="E8" s="113" t="str">
        <f>$B$6 &amp; "," &amp; CHAR(10) &amp;
$C$6 &amp; "," &amp; CHAR(10) &amp;
$D$6</f>
        <v>Gen Z,
50,000-1,00,000,
Near Prime</v>
      </c>
      <c r="Q8" t="s">
        <v>129</v>
      </c>
      <c r="R8" s="62" t="s">
        <v>154</v>
      </c>
      <c r="S8" s="62" t="s">
        <v>155</v>
      </c>
      <c r="T8" s="62" t="s">
        <v>156</v>
      </c>
      <c r="U8" s="62" t="s">
        <v>157</v>
      </c>
      <c r="V8" s="62"/>
    </row>
    <row r="9" spans="1:25" x14ac:dyDescent="0.2">
      <c r="A9" s="110">
        <v>-0.75</v>
      </c>
      <c r="B9" s="111" cm="1">
        <f t="array" ref="B9">($F$3*(1+$A9)*'User Segmentation'!$I$49)
-Dynamic_Row_Table[[Fixed Cost]:[Fixed Cost]]
-(Dynamic_Row_Table[[Funding Rate]:[Funding Rate]]*Dynamic_Row_Table[[Tenure (in months)]:[Tenure (in months)]]*$F$3*(1+$A9)/12)
-(IF($A9&lt;0,'Dynamic CM'!$G$3,'Dynamic CM'!$G$3*(($F$3*(1+$A9)/$F$3)^'Dynamic CM'!$H$3))
*VLOOKUP($D$3,EAD_Table[#All],MATCH("EAD",EAD_Table[#Headers],0),FALSE)
*$F$3*(1+$A9))</f>
        <v>-2.8052599652777777</v>
      </c>
      <c r="C9" s="111" cm="1">
        <f t="array" ref="C9">($F$4*(1+$A9)*'User Segmentation'!$I$49)
-Dynamic_Row_Table[[Fixed Cost]:[Fixed Cost]]
-(Dynamic_Row_Table[[Funding Rate]:[Funding Rate]]*Dynamic_Row_Table[[Tenure (in months)]:[Tenure (in months)]]*$F$4*(1+$A9)/12)
-(IF($A9&lt;0,'Dynamic CM'!$G$4,'Dynamic CM'!$G$4*(($F$4*(1+$A9)/$F$4)^'Dynamic CM'!$H$4))
*VLOOKUP($D$4,EAD_Table[#All],MATCH("EAD",EAD_Table[#Headers],0),FALSE)
*$F$4*(1+$A9))</f>
        <v>-1.4127797327579368</v>
      </c>
      <c r="D9" s="111" cm="1">
        <f t="array" ref="D9">($F$5*(1+$A9)*'User Segmentation'!$I$49)
-Dynamic_Row_Table[[Fixed Cost]:[Fixed Cost]]
-(Dynamic_Row_Table[[Funding Rate]:[Funding Rate]]*Dynamic_Row_Table[[Tenure (in months)]:[Tenure (in months)]]*$F$5*(1+$A9)/12)
-(IF($A9&lt;0,'Dynamic CM'!$G$5,'Dynamic CM'!$G$5*(($F$5*(1+$A9)/$F$5)^'Dynamic CM'!$H$5))
*VLOOKUP($D$5,EAD_Table[#All],MATCH("EAD",EAD_Table[#Headers],0),FALSE)
*$F$5*(1+$A9))</f>
        <v>0.93026959325396863</v>
      </c>
      <c r="E9" s="111" cm="1">
        <f t="array" ref="E9">($F$6*(1+$A9)*'User Segmentation'!$I$49)
-Dynamic_Row_Table[[Fixed Cost]:[Fixed Cost]]
-(Dynamic_Row_Table[[Funding Rate]:[Funding Rate]]*Dynamic_Row_Table[[Tenure (in months)]:[Tenure (in months)]]*$F$6*(1+$A9)/12)
-(IF($A9&lt;0,'Dynamic CM'!$G$6,'Dynamic CM'!$G$6*(($F$6*(1+$A9)/$F$6)^'Dynamic CM'!$H$6))
*VLOOKUP($D$6,EAD_Table[#All],MATCH("EAD",EAD_Table[#Headers],0),FALSE)
*$F$6*(1+$A9))</f>
        <v>-1.9470667485119046</v>
      </c>
      <c r="Q9" s="64">
        <v>-0.9</v>
      </c>
      <c r="R9" s="98" cm="1">
        <f t="array" ref="R9">($F$3*(1+$Q9)*'User Segmentation'!$I$49)
-Dynamic_Row_Table[[Fixed Cost]:[Fixed Cost]]
-(Dynamic_Row_Table[[Funding Rate]:[Funding Rate]]*Dynamic_Row_Table[[Tenure (in months)]:[Tenure (in months)]]*$F$3*(1+$Q9)/12)
-(IF($Q9&lt;0,'Dynamic CM'!$G$3,'Dynamic CM'!$G$3*(($F$3*(1+$Q9)/$F$3)^'Dynamic CM'!$H$3))
*VLOOKUP($D$3,EAD_Table[#All],MATCH("EAD",EAD_Table[#Headers],0),FALSE)
*$F$3*(1+$Q9))</f>
        <v>-2.9221039861111113</v>
      </c>
      <c r="S9" s="98" cm="1">
        <f t="array" ref="S9">($F$4*(1+$Q9)*'User Segmentation'!$I$49)
-Dynamic_Row_Table[[Fixed Cost]:[Fixed Cost]]
-(Dynamic_Row_Table[[Funding Rate]:[Funding Rate]]*Dynamic_Row_Table[[Tenure (in months)]:[Tenure (in months)]]*$F$4*(1+$Q9)/12)
-(IF($Q9&lt;0,'Dynamic CM'!$G$4,'Dynamic CM'!$G$4*(($F$4*(1+$Q9)/$F$4)^'Dynamic CM'!$H$4))
*VLOOKUP($D$4,EAD_Table[#All],MATCH("EAD",EAD_Table[#Headers],0),FALSE)
*$F$4*(1+$Q9))</f>
        <v>-2.3651118931031747</v>
      </c>
      <c r="T9" s="98" cm="1">
        <f t="array" ref="T9">($F$5*(1+$Q9)*'User Segmentation'!$I$49)
-Dynamic_Row_Table[[Fixed Cost]:[Fixed Cost]]
-(Dynamic_Row_Table[[Funding Rate]:[Funding Rate]]*Dynamic_Row_Table[[Tenure (in months)]:[Tenure (in months)]]*$F$5*(1+$Q9)/12)
-(IF($Q9&lt;0,'Dynamic CM'!$G$5,'Dynamic CM'!$G$5*(($F$5*(1+$Q9)/$F$5)^'Dynamic CM'!$H$5))
*VLOOKUP($D$5,EAD_Table[#All],MATCH("EAD",EAD_Table[#Headers],0),FALSE)
*$F$5*(1+$Q9))</f>
        <v>-1.4278921626984129</v>
      </c>
      <c r="U9" s="98" cm="1">
        <f t="array" ref="U9">($F$6*(1+$Q9)*'User Segmentation'!$I$49)
-Dynamic_Row_Table[[Fixed Cost]:[Fixed Cost]]
-(Dynamic_Row_Table[[Funding Rate]:[Funding Rate]]*Dynamic_Row_Table[[Tenure (in months)]:[Tenure (in months)]]*$F$6*(1+$Q9)/12)
-(IF($Q9&lt;0,'Dynamic CM'!$G$6,'Dynamic CM'!$G$6*(($F$6*(1+$Q9)/$F$6)^'Dynamic CM'!$H$6))
*VLOOKUP($D$6,EAD_Table[#All],MATCH("EAD",EAD_Table[#Headers],0),FALSE)
*$F$6*(1+$Q9))</f>
        <v>-2.5788266994047619</v>
      </c>
    </row>
    <row r="10" spans="1:25" x14ac:dyDescent="0.2">
      <c r="A10" s="112">
        <v>-0.5</v>
      </c>
      <c r="B10" s="111" cm="1">
        <f t="array" ref="B10">($F$3*(1+$A10)*'User Segmentation'!$I$49)
-Dynamic_Row_Table[[Fixed Cost]:[Fixed Cost]]
-(Dynamic_Row_Table[[Funding Rate]:[Funding Rate]]*Dynamic_Row_Table[[Tenure (in months)]:[Tenure (in months)]]*$F$3*(1+$A10)/12)
-(IF($A10&lt;0,'Dynamic CM'!$G$3,'Dynamic CM'!$G$3*(($F$3*(1+$A10)/$F$3)^'Dynamic CM'!$H$3))
*VLOOKUP($D$3,EAD_Table[#All],MATCH("EAD",EAD_Table[#Headers],0),FALSE)
*$F$3*(1+$A10))</f>
        <v>-2.6105199305555558</v>
      </c>
      <c r="C10" s="111" cm="1">
        <f t="array" ref="C10">($F$4*(1+$A10)*'User Segmentation'!$I$49)
-Dynamic_Row_Table[[Fixed Cost]:[Fixed Cost]]
-(Dynamic_Row_Table[[Funding Rate]:[Funding Rate]]*Dynamic_Row_Table[[Tenure (in months)]:[Tenure (in months)]]*$F$4*(1+$A10)/12)
-(IF($A10&lt;0,'Dynamic CM'!$G$4,'Dynamic CM'!$G$4*(($F$4*(1+$A10)/$F$4)^'Dynamic CM'!$H$4))
*VLOOKUP($D$4,EAD_Table[#All],MATCH("EAD",EAD_Table[#Headers],0),FALSE)
*$F$4*(1+$A10))</f>
        <v>0.1744405344841265</v>
      </c>
      <c r="D10" s="111" cm="1">
        <f t="array" ref="D10">($F$5*(1+$A10)*'User Segmentation'!$I$49)
-Dynamic_Row_Table[[Fixed Cost]:[Fixed Cost]]
-(Dynamic_Row_Table[[Funding Rate]:[Funding Rate]]*Dynamic_Row_Table[[Tenure (in months)]:[Tenure (in months)]]*$F$5*(1+$A10)/12)
-(IF($A10&lt;0,'Dynamic CM'!$G$5,'Dynamic CM'!$G$5*(($F$5*(1+$A10)/$F$5)^'Dynamic CM'!$H$5))
*VLOOKUP($D$5,EAD_Table[#All],MATCH("EAD",EAD_Table[#Headers],0),FALSE)
*$F$5*(1+$A10))</f>
        <v>4.8605391865079373</v>
      </c>
      <c r="E10" s="111" cm="1">
        <f t="array" ref="E10">($F$6*(1+$A10)*'User Segmentation'!$I$49)
-Dynamic_Row_Table[[Fixed Cost]:[Fixed Cost]]
-(Dynamic_Row_Table[[Funding Rate]:[Funding Rate]]*Dynamic_Row_Table[[Tenure (in months)]:[Tenure (in months)]]*$F$6*(1+$A10)/12)
-(IF($A10&lt;0,'Dynamic CM'!$G$6,'Dynamic CM'!$G$6*(($F$6*(1+$A10)/$F$6)^'Dynamic CM'!$H$6))
*VLOOKUP($D$6,EAD_Table[#All],MATCH("EAD",EAD_Table[#Headers],0),FALSE)
*$F$6*(1+$A10))</f>
        <v>-0.89413349702380951</v>
      </c>
      <c r="G10" s="98"/>
      <c r="Q10" s="64">
        <v>-0.8</v>
      </c>
      <c r="R10" s="98" cm="1">
        <f t="array" ref="R10">($F$3*(1+$Q10)*'User Segmentation'!$I$49)
-Dynamic_Row_Table[[Fixed Cost]:[Fixed Cost]]
-(Dynamic_Row_Table[[Funding Rate]:[Funding Rate]]*Dynamic_Row_Table[[Tenure (in months)]:[Tenure (in months)]]*$F$3*(1+$Q10)/12)
-(IF($Q10&lt;0,'Dynamic CM'!$G$3,'Dynamic CM'!$G$3*(($F$3*(1+$Q10)/$F$3)^'Dynamic CM'!$H$3))
*VLOOKUP($D$3,EAD_Table[#All],MATCH("EAD",EAD_Table[#Headers],0),FALSE)
*$F$3*(1+$Q10))</f>
        <v>-2.8442079722222222</v>
      </c>
      <c r="S10" s="98" cm="1">
        <f t="array" ref="S10">($F$4*(1+$Q10)*'User Segmentation'!$I$49)
-Dynamic_Row_Table[[Fixed Cost]:[Fixed Cost]]
-(Dynamic_Row_Table[[Funding Rate]:[Funding Rate]]*Dynamic_Row_Table[[Tenure (in months)]:[Tenure (in months)]]*$F$4*(1+$Q10)/12)
-(IF($Q10&lt;0,'Dynamic CM'!$G$4,'Dynamic CM'!$G$4*(($F$4*(1+$Q10)/$F$4)^'Dynamic CM'!$H$4))
*VLOOKUP($D$4,EAD_Table[#All],MATCH("EAD",EAD_Table[#Headers],0),FALSE)
*$F$4*(1+$Q10))</f>
        <v>-1.7302237862063494</v>
      </c>
      <c r="T10" s="98" cm="1">
        <f t="array" ref="T10">($F$5*(1+$Q10)*'User Segmentation'!$I$49)
-Dynamic_Row_Table[[Fixed Cost]:[Fixed Cost]]
-(Dynamic_Row_Table[[Funding Rate]:[Funding Rate]]*Dynamic_Row_Table[[Tenure (in months)]:[Tenure (in months)]]*$F$5*(1+$Q10)/12)
-(IF($Q10&lt;0,'Dynamic CM'!$G$5,'Dynamic CM'!$G$5*(($F$5*(1+$Q10)/$F$5)^'Dynamic CM'!$H$5))
*VLOOKUP($D$5,EAD_Table[#All],MATCH("EAD",EAD_Table[#Headers],0),FALSE)
*$F$5*(1+$Q10))</f>
        <v>0.14421567460317425</v>
      </c>
      <c r="U10" s="98" cm="1">
        <f t="array" ref="U10">($F$6*(1+$Q10)*'User Segmentation'!$I$49)
-Dynamic_Row_Table[[Fixed Cost]:[Fixed Cost]]
-(Dynamic_Row_Table[[Funding Rate]:[Funding Rate]]*Dynamic_Row_Table[[Tenure (in months)]:[Tenure (in months)]]*$F$6*(1+$Q10)/12)
-(IF($Q10&lt;0,'Dynamic CM'!$G$6,'Dynamic CM'!$G$6*(($F$6*(1+$Q10)/$F$6)^'Dynamic CM'!$H$6))
*VLOOKUP($D$6,EAD_Table[#All],MATCH("EAD",EAD_Table[#Headers],0),FALSE)
*$F$6*(1+$Q10))</f>
        <v>-2.1576533988095239</v>
      </c>
    </row>
    <row r="11" spans="1:25" x14ac:dyDescent="0.2">
      <c r="A11" s="110">
        <v>-0.25</v>
      </c>
      <c r="B11" s="111" cm="1">
        <f t="array" ref="B11">($F$3*(1+$A11)*'User Segmentation'!$I$49)
-Dynamic_Row_Table[[Fixed Cost]:[Fixed Cost]]
-(Dynamic_Row_Table[[Funding Rate]:[Funding Rate]]*Dynamic_Row_Table[[Tenure (in months)]:[Tenure (in months)]]*$F$3*(1+$A11)/12)
-(IF($A11&lt;0,'Dynamic CM'!$G$3,'Dynamic CM'!$G$3*(($F$3*(1+$A11)/$F$3)^'Dynamic CM'!$H$3))
*VLOOKUP($D$3,EAD_Table[#All],MATCH("EAD",EAD_Table[#Headers],0),FALSE)
*$F$3*(1+$A11))</f>
        <v>-2.4157798958333334</v>
      </c>
      <c r="C11" s="111" cm="1">
        <f t="array" ref="C11">($F$4*(1+$A11)*'User Segmentation'!$I$49)
-Dynamic_Row_Table[[Fixed Cost]:[Fixed Cost]]
-(Dynamic_Row_Table[[Funding Rate]:[Funding Rate]]*Dynamic_Row_Table[[Tenure (in months)]:[Tenure (in months)]]*$F$4*(1+$A11)/12)
-(IF($A11&lt;0,'Dynamic CM'!$G$4,'Dynamic CM'!$G$4*(($F$4*(1+$A11)/$F$4)^'Dynamic CM'!$H$4))
*VLOOKUP($D$4,EAD_Table[#All],MATCH("EAD",EAD_Table[#Headers],0),FALSE)
*$F$4*(1+$A11))</f>
        <v>1.7616608017261908</v>
      </c>
      <c r="D11" s="111" cm="1">
        <f t="array" ref="D11">($F$5*(1+$A11)*'User Segmentation'!$I$49)
-Dynamic_Row_Table[[Fixed Cost]:[Fixed Cost]]
-(Dynamic_Row_Table[[Funding Rate]:[Funding Rate]]*Dynamic_Row_Table[[Tenure (in months)]:[Tenure (in months)]]*$F$5*(1+$A11)/12)
-(IF($A11&lt;0,'Dynamic CM'!$G$5,'Dynamic CM'!$G$5*(($F$5*(1+$A11)/$F$5)^'Dynamic CM'!$H$5))
*VLOOKUP($D$5,EAD_Table[#All],MATCH("EAD",EAD_Table[#Headers],0),FALSE)
*$F$5*(1+$A11))</f>
        <v>8.790808779761905</v>
      </c>
      <c r="E11" s="111" cm="1">
        <f t="array" ref="E11">($F$6*(1+$A11)*'User Segmentation'!$I$49)
-Dynamic_Row_Table[[Fixed Cost]:[Fixed Cost]]
-(Dynamic_Row_Table[[Funding Rate]:[Funding Rate]]*Dynamic_Row_Table[[Tenure (in months)]:[Tenure (in months)]]*$F$6*(1+$A11)/12)
-(IF($A11&lt;0,'Dynamic CM'!$G$6,'Dynamic CM'!$G$6*(($F$6*(1+$A11)/$F$6)^'Dynamic CM'!$H$6))
*VLOOKUP($D$6,EAD_Table[#All],MATCH("EAD",EAD_Table[#Headers],0),FALSE)
*$F$6*(1+$A11))</f>
        <v>0.1587997544642854</v>
      </c>
      <c r="Q11" s="64">
        <v>-0.7</v>
      </c>
      <c r="R11" s="98" cm="1">
        <f t="array" ref="R11">($F$3*(1+$Q11)*'User Segmentation'!$I$49)
-Dynamic_Row_Table[[Fixed Cost]:[Fixed Cost]]
-(Dynamic_Row_Table[[Funding Rate]:[Funding Rate]]*Dynamic_Row_Table[[Tenure (in months)]:[Tenure (in months)]]*$F$3*(1+$Q11)/12)
-(IF($Q11&lt;0,'Dynamic CM'!$G$3,'Dynamic CM'!$G$3*(($F$3*(1+$Q11)/$F$3)^'Dynamic CM'!$H$3))
*VLOOKUP($D$3,EAD_Table[#All],MATCH("EAD",EAD_Table[#Headers],0),FALSE)
*$F$3*(1+$Q11))</f>
        <v>-2.7663119583333331</v>
      </c>
      <c r="S11" s="98" cm="1">
        <f t="array" ref="S11">($F$4*(1+$Q11)*'User Segmentation'!$I$49)
-Dynamic_Row_Table[[Fixed Cost]:[Fixed Cost]]
-(Dynamic_Row_Table[[Funding Rate]:[Funding Rate]]*Dynamic_Row_Table[[Tenure (in months)]:[Tenure (in months)]]*$F$4*(1+$Q11)/12)
-(IF($Q11&lt;0,'Dynamic CM'!$G$4,'Dynamic CM'!$G$4*(($F$4*(1+$Q11)/$F$4)^'Dynamic CM'!$H$4))
*VLOOKUP($D$4,EAD_Table[#All],MATCH("EAD",EAD_Table[#Headers],0),FALSE)
*$F$4*(1+$Q11))</f>
        <v>-1.0953356793095237</v>
      </c>
      <c r="T11" s="98" cm="1">
        <f t="array" ref="T11">($F$5*(1+$Q11)*'User Segmentation'!$I$49)
-Dynamic_Row_Table[[Fixed Cost]:[Fixed Cost]]
-(Dynamic_Row_Table[[Funding Rate]:[Funding Rate]]*Dynamic_Row_Table[[Tenure (in months)]:[Tenure (in months)]]*$F$5*(1+$Q11)/12)
-(IF($Q11&lt;0,'Dynamic CM'!$G$5,'Dynamic CM'!$G$5*(($F$5*(1+$Q11)/$F$5)^'Dynamic CM'!$H$5))
*VLOOKUP($D$5,EAD_Table[#All],MATCH("EAD",EAD_Table[#Headers],0),FALSE)
*$F$5*(1+$Q11))</f>
        <v>1.716323511904764</v>
      </c>
      <c r="U11" s="98" cm="1">
        <f t="array" ref="U11">($F$6*(1+$Q11)*'User Segmentation'!$I$49)
-Dynamic_Row_Table[[Fixed Cost]:[Fixed Cost]]
-(Dynamic_Row_Table[[Funding Rate]:[Funding Rate]]*Dynamic_Row_Table[[Tenure (in months)]:[Tenure (in months)]]*$F$6*(1+$Q11)/12)
-(IF($Q11&lt;0,'Dynamic CM'!$G$6,'Dynamic CM'!$G$6*(($F$6*(1+$Q11)/$F$6)^'Dynamic CM'!$H$6))
*VLOOKUP($D$6,EAD_Table[#All],MATCH("EAD",EAD_Table[#Headers],0),FALSE)
*$F$6*(1+$Q11))</f>
        <v>-1.7364800982142854</v>
      </c>
    </row>
    <row r="12" spans="1:25" x14ac:dyDescent="0.2">
      <c r="A12" s="112">
        <v>0</v>
      </c>
      <c r="B12" s="111" cm="1">
        <f t="array" ref="B12">($F$3*(1+$A12)*'User Segmentation'!$I$49)
-Dynamic_Row_Table[[Fixed Cost]:[Fixed Cost]]
-(Dynamic_Row_Table[[Funding Rate]:[Funding Rate]]*Dynamic_Row_Table[[Tenure (in months)]:[Tenure (in months)]]*$F$3*(1+$A12)/12)
-(IF($A12&lt;0,'Dynamic CM'!$G$3,'Dynamic CM'!$G$3*(($F$3*(1+$A12)/$F$3)^'Dynamic CM'!$H$3))
*VLOOKUP($D$3,EAD_Table[#All],MATCH("EAD",EAD_Table[#Headers],0),FALSE)
*$F$3*(1+$A12))</f>
        <v>-2.2210398611111115</v>
      </c>
      <c r="C12" s="111" cm="1">
        <f t="array" ref="C12">($F$4*(1+$A12)*'User Segmentation'!$I$49)
-Dynamic_Row_Table[[Fixed Cost]:[Fixed Cost]]
-(Dynamic_Row_Table[[Funding Rate]:[Funding Rate]]*Dynamic_Row_Table[[Tenure (in months)]:[Tenure (in months)]]*$F$4*(1+$A12)/12)
-(IF($A12&lt;0,'Dynamic CM'!$G$4,'Dynamic CM'!$G$4*(($F$4*(1+$A12)/$F$4)^'Dynamic CM'!$H$4))
*VLOOKUP($D$4,EAD_Table[#All],MATCH("EAD",EAD_Table[#Headers],0),FALSE)
*$F$4*(1+$A12))</f>
        <v>3.3488810689682529</v>
      </c>
      <c r="D12" s="111" cm="1">
        <f t="array" ref="D12">($F$5*(1+$A12)*'User Segmentation'!$I$49)
-Dynamic_Row_Table[[Fixed Cost]:[Fixed Cost]]
-(Dynamic_Row_Table[[Funding Rate]:[Funding Rate]]*Dynamic_Row_Table[[Tenure (in months)]:[Tenure (in months)]]*$F$5*(1+$A12)/12)
-(IF($A12&lt;0,'Dynamic CM'!$G$5,'Dynamic CM'!$G$5*(($F$5*(1+$A12)/$F$5)^'Dynamic CM'!$H$5))
*VLOOKUP($D$5,EAD_Table[#All],MATCH("EAD",EAD_Table[#Headers],0),FALSE)
*$F$5*(1+$A12))</f>
        <v>12.721078373015875</v>
      </c>
      <c r="E12" s="111" cm="1">
        <f t="array" ref="E12">($F$6*(1+$A12)*'User Segmentation'!$I$49)
-Dynamic_Row_Table[[Fixed Cost]:[Fixed Cost]]
-(Dynamic_Row_Table[[Funding Rate]:[Funding Rate]]*Dynamic_Row_Table[[Tenure (in months)]:[Tenure (in months)]]*$F$6*(1+$A12)/12)
-(IF($A12&lt;0,'Dynamic CM'!$G$6,'Dynamic CM'!$G$6*(($F$6*(1+$A12)/$F$6)^'Dynamic CM'!$H$6))
*VLOOKUP($D$6,EAD_Table[#All],MATCH("EAD",EAD_Table[#Headers],0),FALSE)
*$F$6*(1+$A12))</f>
        <v>1.211733005952381</v>
      </c>
      <c r="Q12" s="64">
        <v>-0.6</v>
      </c>
      <c r="R12" s="98" cm="1">
        <f t="array" ref="R12">($F$3*(1+$Q12)*'User Segmentation'!$I$49)
-Dynamic_Row_Table[[Fixed Cost]:[Fixed Cost]]
-(Dynamic_Row_Table[[Funding Rate]:[Funding Rate]]*Dynamic_Row_Table[[Tenure (in months)]:[Tenure (in months)]]*$F$3*(1+$Q12)/12)
-(IF($Q12&lt;0,'Dynamic CM'!$G$3,'Dynamic CM'!$G$3*(($F$3*(1+$Q12)/$F$3)^'Dynamic CM'!$H$3))
*VLOOKUP($D$3,EAD_Table[#All],MATCH("EAD",EAD_Table[#Headers],0),FALSE)
*$F$3*(1+$Q12))</f>
        <v>-2.6884159444444444</v>
      </c>
      <c r="S12" s="98" cm="1">
        <f t="array" ref="S12">($F$4*(1+$Q12)*'User Segmentation'!$I$49)
-Dynamic_Row_Table[[Fixed Cost]:[Fixed Cost]]
-(Dynamic_Row_Table[[Funding Rate]:[Funding Rate]]*Dynamic_Row_Table[[Tenure (in months)]:[Tenure (in months)]]*$F$4*(1+$Q12)/12)
-(IF($Q12&lt;0,'Dynamic CM'!$G$4,'Dynamic CM'!$G$4*(($F$4*(1+$Q12)/$F$4)^'Dynamic CM'!$H$4))
*VLOOKUP($D$4,EAD_Table[#All],MATCH("EAD",EAD_Table[#Headers],0),FALSE)
*$F$4*(1+$Q12))</f>
        <v>-0.46044757241269862</v>
      </c>
      <c r="T12" s="98" cm="1">
        <f t="array" ref="T12">($F$5*(1+$Q12)*'User Segmentation'!$I$49)
-Dynamic_Row_Table[[Fixed Cost]:[Fixed Cost]]
-(Dynamic_Row_Table[[Funding Rate]:[Funding Rate]]*Dynamic_Row_Table[[Tenure (in months)]:[Tenure (in months)]]*$F$5*(1+$Q12)/12)
-(IF($Q12&lt;0,'Dynamic CM'!$G$5,'Dynamic CM'!$G$5*(($F$5*(1+$Q12)/$F$5)^'Dynamic CM'!$H$5))
*VLOOKUP($D$5,EAD_Table[#All],MATCH("EAD",EAD_Table[#Headers],0),FALSE)
*$F$5*(1+$Q12))</f>
        <v>3.2884313492063497</v>
      </c>
      <c r="U12" s="98" cm="1">
        <f t="array" ref="U12">($F$6*(1+$Q12)*'User Segmentation'!$I$49)
-Dynamic_Row_Table[[Fixed Cost]:[Fixed Cost]]
-(Dynamic_Row_Table[[Funding Rate]:[Funding Rate]]*Dynamic_Row_Table[[Tenure (in months)]:[Tenure (in months)]]*$F$6*(1+$Q12)/12)
-(IF($Q12&lt;0,'Dynamic CM'!$G$6,'Dynamic CM'!$G$6*(($F$6*(1+$Q12)/$F$6)^'Dynamic CM'!$H$6))
*VLOOKUP($D$6,EAD_Table[#All],MATCH("EAD",EAD_Table[#Headers],0),FALSE)
*$F$6*(1+$Q12))</f>
        <v>-1.3153067976190473</v>
      </c>
    </row>
    <row r="13" spans="1:25" x14ac:dyDescent="0.2">
      <c r="A13" s="110">
        <v>0.25</v>
      </c>
      <c r="B13" s="111" cm="1">
        <f t="array" ref="B13">($F$3*(1+$A13)*'User Segmentation'!$I$49)
-Dynamic_Row_Table[[Fixed Cost]:[Fixed Cost]]
-(Dynamic_Row_Table[[Funding Rate]:[Funding Rate]]*Dynamic_Row_Table[[Tenure (in months)]:[Tenure (in months)]]*$F$3*(1+$A13)/12)
-(IF($A13&lt;0,'Dynamic CM'!$G$3,'Dynamic CM'!$G$3*(($F$3*(1+$A13)/$F$3)^'Dynamic CM'!$H$3))
*VLOOKUP($D$3,EAD_Table[#All],MATCH("EAD",EAD_Table[#Headers],0),FALSE)
*$F$3*(1+$A13))</f>
        <v>-2.9494372554241353</v>
      </c>
      <c r="C13" s="111" cm="1">
        <f t="array" ref="C13">($F$4*(1+$A13)*'User Segmentation'!$I$49)
-Dynamic_Row_Table[[Fixed Cost]:[Fixed Cost]]
-(Dynamic_Row_Table[[Funding Rate]:[Funding Rate]]*Dynamic_Row_Table[[Tenure (in months)]:[Tenure (in months)]]*$F$4*(1+$A13)/12)
-(IF($A13&lt;0,'Dynamic CM'!$G$4,'Dynamic CM'!$G$4*(($F$4*(1+$A13)/$F$4)^'Dynamic CM'!$H$4))
*VLOOKUP($D$4,EAD_Table[#All],MATCH("EAD",EAD_Table[#Headers],0),FALSE)
*$F$4*(1+$A13))</f>
        <v>4.5900323367980143</v>
      </c>
      <c r="D13" s="111" cm="1">
        <f t="array" ref="D13">($F$5*(1+$A13)*'User Segmentation'!$I$49)
-Dynamic_Row_Table[[Fixed Cost]:[Fixed Cost]]
-(Dynamic_Row_Table[[Funding Rate]:[Funding Rate]]*Dynamic_Row_Table[[Tenure (in months)]:[Tenure (in months)]]*$F$5*(1+$A13)/12)
-(IF($A13&lt;0,'Dynamic CM'!$G$5,'Dynamic CM'!$G$5*(($F$5*(1+$A13)/$F$5)^'Dynamic CM'!$H$5))
*VLOOKUP($D$5,EAD_Table[#All],MATCH("EAD",EAD_Table[#Headers],0),FALSE)
*$F$5*(1+$A13))</f>
        <v>16.1083352700558</v>
      </c>
      <c r="E13" s="111" cm="1">
        <f t="array" ref="E13">($F$6*(1+$A13)*'User Segmentation'!$I$49)
-Dynamic_Row_Table[[Fixed Cost]:[Fixed Cost]]
-(Dynamic_Row_Table[[Funding Rate]:[Funding Rate]]*Dynamic_Row_Table[[Tenure (in months)]:[Tenure (in months)]]*$F$6*(1+$A13)/12)
-(IF($A13&lt;0,'Dynamic CM'!$G$6,'Dynamic CM'!$G$6*(($F$6*(1+$A13)/$F$6)^'Dynamic CM'!$H$6))
*VLOOKUP($D$6,EAD_Table[#All],MATCH("EAD",EAD_Table[#Headers],0),FALSE)
*$F$6*(1+$A13))</f>
        <v>2.0250873704922729</v>
      </c>
      <c r="G13" s="9"/>
      <c r="Q13" s="64">
        <v>-0.5</v>
      </c>
      <c r="R13" s="98" cm="1">
        <f t="array" ref="R13">($F$3*(1+$Q13)*'User Segmentation'!$I$49)
-Dynamic_Row_Table[[Fixed Cost]:[Fixed Cost]]
-(Dynamic_Row_Table[[Funding Rate]:[Funding Rate]]*Dynamic_Row_Table[[Tenure (in months)]:[Tenure (in months)]]*$F$3*(1+$Q13)/12)
-(IF($Q13&lt;0,'Dynamic CM'!$G$3,'Dynamic CM'!$G$3*(($F$3*(1+$Q13)/$F$3)^'Dynamic CM'!$H$3))
*VLOOKUP($D$3,EAD_Table[#All],MATCH("EAD",EAD_Table[#Headers],0),FALSE)
*$F$3*(1+$Q13))</f>
        <v>-2.6105199305555558</v>
      </c>
      <c r="S13" s="98" cm="1">
        <f t="array" ref="S13">($F$4*(1+$Q13)*'User Segmentation'!$I$49)
-Dynamic_Row_Table[[Fixed Cost]:[Fixed Cost]]
-(Dynamic_Row_Table[[Funding Rate]:[Funding Rate]]*Dynamic_Row_Table[[Tenure (in months)]:[Tenure (in months)]]*$F$4*(1+$Q13)/12)
-(IF($Q13&lt;0,'Dynamic CM'!$G$4,'Dynamic CM'!$G$4*(($F$4*(1+$Q13)/$F$4)^'Dynamic CM'!$H$4))
*VLOOKUP($D$4,EAD_Table[#All],MATCH("EAD",EAD_Table[#Headers],0),FALSE)
*$F$4*(1+$Q13))</f>
        <v>0.1744405344841265</v>
      </c>
      <c r="T13" s="98" cm="1">
        <f t="array" ref="T13">($F$5*(1+$Q13)*'User Segmentation'!$I$49)
-Dynamic_Row_Table[[Fixed Cost]:[Fixed Cost]]
-(Dynamic_Row_Table[[Funding Rate]:[Funding Rate]]*Dynamic_Row_Table[[Tenure (in months)]:[Tenure (in months)]]*$F$5*(1+$Q13)/12)
-(IF($Q13&lt;0,'Dynamic CM'!$G$5,'Dynamic CM'!$G$5*(($F$5*(1+$Q13)/$F$5)^'Dynamic CM'!$H$5))
*VLOOKUP($D$5,EAD_Table[#All],MATCH("EAD",EAD_Table[#Headers],0),FALSE)
*$F$5*(1+$Q13))</f>
        <v>4.8605391865079373</v>
      </c>
      <c r="U13" s="98" cm="1">
        <f t="array" ref="U13">($F$6*(1+$Q13)*'User Segmentation'!$I$49)
-Dynamic_Row_Table[[Fixed Cost]:[Fixed Cost]]
-(Dynamic_Row_Table[[Funding Rate]:[Funding Rate]]*Dynamic_Row_Table[[Tenure (in months)]:[Tenure (in months)]]*$F$6*(1+$Q13)/12)
-(IF($Q13&lt;0,'Dynamic CM'!$G$6,'Dynamic CM'!$G$6*(($F$6*(1+$Q13)/$F$6)^'Dynamic CM'!$H$6))
*VLOOKUP($D$6,EAD_Table[#All],MATCH("EAD",EAD_Table[#Headers],0),FALSE)
*$F$6*(1+$Q13))</f>
        <v>-0.89413349702380951</v>
      </c>
    </row>
    <row r="14" spans="1:25" x14ac:dyDescent="0.2">
      <c r="A14" s="112">
        <v>0.5</v>
      </c>
      <c r="B14" s="111" cm="1">
        <f t="array" ref="B14">($F$3*(1+$A14)*'User Segmentation'!$I$49)
-Dynamic_Row_Table[[Fixed Cost]:[Fixed Cost]]
-(Dynamic_Row_Table[[Funding Rate]:[Funding Rate]]*Dynamic_Row_Table[[Tenure (in months)]:[Tenure (in months)]]*$F$3*(1+$A14)/12)
-(IF($A14&lt;0,'Dynamic CM'!$G$3,'Dynamic CM'!$G$3*(($F$3*(1+$A14)/$F$3)^'Dynamic CM'!$H$3))
*VLOOKUP($D$3,EAD_Table[#All],MATCH("EAD",EAD_Table[#Headers],0),FALSE)
*$F$3*(1+$A14))</f>
        <v>-4.2637890102622329</v>
      </c>
      <c r="C14" s="111" cm="1">
        <f t="array" ref="C14">($F$4*(1+$A14)*'User Segmentation'!$I$49)
-Dynamic_Row_Table[[Fixed Cost]:[Fixed Cost]]
-(Dynamic_Row_Table[[Funding Rate]:[Funding Rate]]*Dynamic_Row_Table[[Tenure (in months)]:[Tenure (in months)]]*$F$4*(1+$A14)/12)
-(IF($A14&lt;0,'Dynamic CM'!$G$4,'Dynamic CM'!$G$4*(($F$4*(1+$A14)/$F$4)^'Dynamic CM'!$H$4))
*VLOOKUP($D$4,EAD_Table[#All],MATCH("EAD",EAD_Table[#Headers],0),FALSE)
*$F$4*(1+$A14))</f>
        <v>5.6651480593968335</v>
      </c>
      <c r="D14" s="111" cm="1">
        <f t="array" ref="D14">($F$5*(1+$A14)*'User Segmentation'!$I$49)
-Dynamic_Row_Table[[Fixed Cost]:[Fixed Cost]]
-(Dynamic_Row_Table[[Funding Rate]:[Funding Rate]]*Dynamic_Row_Table[[Tenure (in months)]:[Tenure (in months)]]*$F$5*(1+$A14)/12)
-(IF($A14&lt;0,'Dynamic CM'!$G$5,'Dynamic CM'!$G$5*(($F$5*(1+$A14)/$F$5)^'Dynamic CM'!$H$5))
*VLOOKUP($D$5,EAD_Table[#All],MATCH("EAD",EAD_Table[#Headers],0),FALSE)
*$F$5*(1+$A14))</f>
        <v>19.269006837798813</v>
      </c>
      <c r="E14" s="111" cm="1">
        <f t="array" ref="E14">($F$6*(1+$A14)*'User Segmentation'!$I$49)
-Dynamic_Row_Table[[Fixed Cost]:[Fixed Cost]]
-(Dynamic_Row_Table[[Funding Rate]:[Funding Rate]]*Dynamic_Row_Table[[Tenure (in months)]:[Tenure (in months)]]*$F$6*(1+$A14)/12)
-(IF($A14&lt;0,'Dynamic CM'!$G$6,'Dynamic CM'!$G$6*(($F$6*(1+$A14)/$F$6)^'Dynamic CM'!$H$6))
*VLOOKUP($D$6,EAD_Table[#All],MATCH("EAD",EAD_Table[#Headers],0),FALSE)
*$F$6*(1+$A14))</f>
        <v>2.7234975730649826</v>
      </c>
      <c r="F14" s="9"/>
      <c r="G14" s="9"/>
      <c r="Q14" s="64">
        <v>-0.4</v>
      </c>
      <c r="R14" s="98" cm="1">
        <f t="array" ref="R14">($F$3*(1+$Q14)*'User Segmentation'!$I$49)
-Dynamic_Row_Table[[Fixed Cost]:[Fixed Cost]]
-(Dynamic_Row_Table[[Funding Rate]:[Funding Rate]]*Dynamic_Row_Table[[Tenure (in months)]:[Tenure (in months)]]*$F$3*(1+$Q14)/12)
-(IF($Q14&lt;0,'Dynamic CM'!$G$3,'Dynamic CM'!$G$3*(($F$3*(1+$Q14)/$F$3)^'Dynamic CM'!$H$3))
*VLOOKUP($D$3,EAD_Table[#All],MATCH("EAD",EAD_Table[#Headers],0),FALSE)
*$F$3*(1+$Q14))</f>
        <v>-2.5326239166666666</v>
      </c>
      <c r="S14" s="98" cm="1">
        <f t="array" ref="S14">($F$4*(1+$Q14)*'User Segmentation'!$I$49)
-Dynamic_Row_Table[[Fixed Cost]:[Fixed Cost]]
-(Dynamic_Row_Table[[Funding Rate]:[Funding Rate]]*Dynamic_Row_Table[[Tenure (in months)]:[Tenure (in months)]]*$F$4*(1+$Q14)/12)
-(IF($Q14&lt;0,'Dynamic CM'!$G$4,'Dynamic CM'!$G$4*(($F$4*(1+$Q14)/$F$4)^'Dynamic CM'!$H$4))
*VLOOKUP($D$4,EAD_Table[#All],MATCH("EAD",EAD_Table[#Headers],0),FALSE)
*$F$4*(1+$Q14))</f>
        <v>0.80932864138095306</v>
      </c>
      <c r="T14" s="98" cm="1">
        <f t="array" ref="T14">($F$5*(1+$Q14)*'User Segmentation'!$I$49)
-Dynamic_Row_Table[[Fixed Cost]:[Fixed Cost]]
-(Dynamic_Row_Table[[Funding Rate]:[Funding Rate]]*Dynamic_Row_Table[[Tenure (in months)]:[Tenure (in months)]]*$F$5*(1+$Q14)/12)
-(IF($Q14&lt;0,'Dynamic CM'!$G$5,'Dynamic CM'!$G$5*(($F$5*(1+$Q14)/$F$5)^'Dynamic CM'!$H$5))
*VLOOKUP($D$5,EAD_Table[#All],MATCH("EAD",EAD_Table[#Headers],0),FALSE)
*$F$5*(1+$Q14))</f>
        <v>6.4326470238095244</v>
      </c>
      <c r="U14" s="98" cm="1">
        <f t="array" ref="U14">($F$6*(1+$Q14)*'User Segmentation'!$I$49)
-Dynamic_Row_Table[[Fixed Cost]:[Fixed Cost]]
-(Dynamic_Row_Table[[Funding Rate]:[Funding Rate]]*Dynamic_Row_Table[[Tenure (in months)]:[Tenure (in months)]]*$F$6*(1+$Q14)/12)
-(IF($Q14&lt;0,'Dynamic CM'!$G$6,'Dynamic CM'!$G$6*(($F$6*(1+$Q14)/$F$6)^'Dynamic CM'!$H$6))
*VLOOKUP($D$6,EAD_Table[#All],MATCH("EAD",EAD_Table[#Headers],0),FALSE)
*$F$6*(1+$Q14))</f>
        <v>-0.47296019642857151</v>
      </c>
      <c r="Y14" t="s">
        <v>158</v>
      </c>
    </row>
    <row r="15" spans="1:25" x14ac:dyDescent="0.2">
      <c r="A15" s="110">
        <v>0.75</v>
      </c>
      <c r="B15" s="111" cm="1">
        <f t="array" ref="B15">($F$3*(1+$A15)*'User Segmentation'!$I$49)
-Dynamic_Row_Table[[Fixed Cost]:[Fixed Cost]]
-(Dynamic_Row_Table[[Funding Rate]:[Funding Rate]]*Dynamic_Row_Table[[Tenure (in months)]:[Tenure (in months)]]*$F$3*(1+$A15)/12)
-(IF($A15&lt;0,'Dynamic CM'!$G$3,'Dynamic CM'!$G$3*(($F$3*(1+$A15)/$F$3)^'Dynamic CM'!$H$3))
*VLOOKUP($D$3,EAD_Table[#All],MATCH("EAD",EAD_Table[#Headers],0),FALSE)
*$F$3*(1+$A15))</f>
        <v>-6.2673937383921867</v>
      </c>
      <c r="C15" s="111" cm="1">
        <f t="array" ref="C15">($F$4*(1+$A15)*'User Segmentation'!$I$49)
-Dynamic_Row_Table[[Fixed Cost]:[Fixed Cost]]
-(Dynamic_Row_Table[[Funding Rate]:[Funding Rate]]*Dynamic_Row_Table[[Tenure (in months)]:[Tenure (in months)]]*$F$4*(1+$A15)/12)
-(IF($A15&lt;0,'Dynamic CM'!$G$4,'Dynamic CM'!$G$4*(($F$4*(1+$A15)/$F$4)^'Dynamic CM'!$H$4))
*VLOOKUP($D$4,EAD_Table[#All],MATCH("EAD",EAD_Table[#Headers],0),FALSE)
*$F$4*(1+$A15))</f>
        <v>6.5642136403234828</v>
      </c>
      <c r="D15" s="111" cm="1">
        <f t="array" ref="D15">($F$5*(1+$A15)*'User Segmentation'!$I$49)
-Dynamic_Row_Table[[Fixed Cost]:[Fixed Cost]]
-(Dynamic_Row_Table[[Funding Rate]:[Funding Rate]]*Dynamic_Row_Table[[Tenure (in months)]:[Tenure (in months)]]*$F$5*(1+$A15)/12)
-(IF($A15&lt;0,'Dynamic CM'!$G$5,'Dynamic CM'!$G$5*(($F$5*(1+$A15)/$F$5)^'Dynamic CM'!$H$5))
*VLOOKUP($D$5,EAD_Table[#All],MATCH("EAD",EAD_Table[#Headers],0),FALSE)
*$F$5*(1+$A15))</f>
        <v>22.20012527676564</v>
      </c>
      <c r="E15" s="111" cm="1">
        <f t="array" ref="E15">($F$6*(1+$A15)*'User Segmentation'!$I$49)
-Dynamic_Row_Table[[Fixed Cost]:[Fixed Cost]]
-(Dynamic_Row_Table[[Funding Rate]:[Funding Rate]]*Dynamic_Row_Table[[Tenure (in months)]:[Tenure (in months)]]*$F$6*(1+$A15)/12)
-(IF($A15&lt;0,'Dynamic CM'!$G$6,'Dynamic CM'!$G$6*(($F$6*(1+$A15)/$F$6)^'Dynamic CM'!$H$6))
*VLOOKUP($D$6,EAD_Table[#All],MATCH("EAD",EAD_Table[#Headers],0),FALSE)
*$F$6*(1+$A15))</f>
        <v>3.3000306440237179</v>
      </c>
      <c r="F15" s="9"/>
      <c r="G15" s="9"/>
      <c r="Q15" s="64">
        <v>-0.3</v>
      </c>
      <c r="R15" s="98" cm="1">
        <f t="array" ref="R15">($F$3*(1+$Q15)*'User Segmentation'!$I$49)
-Dynamic_Row_Table[[Fixed Cost]:[Fixed Cost]]
-(Dynamic_Row_Table[[Funding Rate]:[Funding Rate]]*Dynamic_Row_Table[[Tenure (in months)]:[Tenure (in months)]]*$F$3*(1+$Q15)/12)
-(IF($Q15&lt;0,'Dynamic CM'!$G$3,'Dynamic CM'!$G$3*(($F$3*(1+$Q15)/$F$3)^'Dynamic CM'!$H$3))
*VLOOKUP($D$3,EAD_Table[#All],MATCH("EAD",EAD_Table[#Headers],0),FALSE)
*$F$3*(1+$Q15))</f>
        <v>-2.454727902777778</v>
      </c>
      <c r="S15" s="98" cm="1">
        <f t="array" ref="S15">($F$4*(1+$Q15)*'User Segmentation'!$I$49)
-Dynamic_Row_Table[[Fixed Cost]:[Fixed Cost]]
-(Dynamic_Row_Table[[Funding Rate]:[Funding Rate]]*Dynamic_Row_Table[[Tenure (in months)]:[Tenure (in months)]]*$F$4*(1+$Q15)/12)
-(IF($Q15&lt;0,'Dynamic CM'!$G$4,'Dynamic CM'!$G$4*(($F$4*(1+$Q15)/$F$4)^'Dynamic CM'!$H$4))
*VLOOKUP($D$4,EAD_Table[#All],MATCH("EAD",EAD_Table[#Headers],0),FALSE)
*$F$4*(1+$Q15))</f>
        <v>1.4442167482777775</v>
      </c>
      <c r="T15" s="98" cm="1">
        <f t="array" ref="T15">($F$5*(1+$Q15)*'User Segmentation'!$I$49)
-Dynamic_Row_Table[[Fixed Cost]:[Fixed Cost]]
-(Dynamic_Row_Table[[Funding Rate]:[Funding Rate]]*Dynamic_Row_Table[[Tenure (in months)]:[Tenure (in months)]]*$F$5*(1+$Q15)/12)
-(IF($Q15&lt;0,'Dynamic CM'!$G$5,'Dynamic CM'!$G$5*(($F$5*(1+$Q15)/$F$5)^'Dynamic CM'!$H$5))
*VLOOKUP($D$5,EAD_Table[#All],MATCH("EAD",EAD_Table[#Headers],0),FALSE)
*$F$5*(1+$Q15))</f>
        <v>8.0047548611111097</v>
      </c>
      <c r="U15" s="98" cm="1">
        <f t="array" ref="U15">($F$6*(1+$Q15)*'User Segmentation'!$I$49)
-Dynamic_Row_Table[[Fixed Cost]:[Fixed Cost]]
-(Dynamic_Row_Table[[Funding Rate]:[Funding Rate]]*Dynamic_Row_Table[[Tenure (in months)]:[Tenure (in months)]]*$F$6*(1+$Q15)/12)
-(IF($Q15&lt;0,'Dynamic CM'!$G$6,'Dynamic CM'!$G$6*(($F$6*(1+$Q15)/$F$6)^'Dynamic CM'!$H$6))
*VLOOKUP($D$6,EAD_Table[#All],MATCH("EAD",EAD_Table[#Headers],0),FALSE)
*$F$6*(1+$Q15))</f>
        <v>-5.1786895833333513E-2</v>
      </c>
    </row>
    <row r="16" spans="1:25" x14ac:dyDescent="0.2">
      <c r="A16" s="112">
        <v>1</v>
      </c>
      <c r="B16" s="111" cm="1">
        <f t="array" ref="B16">($F$3*(1+$A16)*'User Segmentation'!$I$49)
-Dynamic_Row_Table[[Fixed Cost]:[Fixed Cost]]
-(Dynamic_Row_Table[[Funding Rate]:[Funding Rate]]*Dynamic_Row_Table[[Tenure (in months)]:[Tenure (in months)]]*$F$3*(1+$A16)/12)
-(IF($A16&lt;0,'Dynamic CM'!$G$3,'Dynamic CM'!$G$3*(($F$3*(1+$A16)/$F$3)^'Dynamic CM'!$H$3))
*VLOOKUP($D$3,EAD_Table[#All],MATCH("EAD",EAD_Table[#Headers],0),FALSE)
*$F$3*(1+$A16))</f>
        <v>-9.0616543493902668</v>
      </c>
      <c r="C16" s="111" cm="1">
        <f t="array" ref="C16">($F$4*(1+$A16)*'User Segmentation'!$I$49)
-Dynamic_Row_Table[[Fixed Cost]:[Fixed Cost]]
-(Dynamic_Row_Table[[Funding Rate]:[Funding Rate]]*Dynamic_Row_Table[[Tenure (in months)]:[Tenure (in months)]]*$F$4*(1+$A16)/12)
-(IF($A16&lt;0,'Dynamic CM'!$G$4,'Dynamic CM'!$G$4*(($F$4*(1+$A16)/$F$4)^'Dynamic CM'!$H$4))
*VLOOKUP($D$4,EAD_Table[#All],MATCH("EAD",EAD_Table[#Headers],0),FALSE)
*$F$4*(1+$A16))</f>
        <v>7.2783021755654058</v>
      </c>
      <c r="D16" s="111" cm="1">
        <f t="array" ref="D16">($F$5*(1+$A16)*'User Segmentation'!$I$49)
-Dynamic_Row_Table[[Fixed Cost]:[Fixed Cost]]
-(Dynamic_Row_Table[[Funding Rate]:[Funding Rate]]*Dynamic_Row_Table[[Tenure (in months)]:[Tenure (in months)]]*$F$5*(1+$A16)/12)
-(IF($A16&lt;0,'Dynamic CM'!$G$5,'Dynamic CM'!$G$5*(($F$5*(1+$A16)/$F$5)^'Dynamic CM'!$H$5))
*VLOOKUP($D$5,EAD_Table[#All],MATCH("EAD",EAD_Table[#Headers],0),FALSE)
*$F$5*(1+$A16))</f>
        <v>24.899154909394152</v>
      </c>
      <c r="E16" s="111" cm="1">
        <f t="array" ref="E16">($F$6*(1+$A16)*'User Segmentation'!$I$49)
-Dynamic_Row_Table[[Fixed Cost]:[Fixed Cost]]
-(Dynamic_Row_Table[[Funding Rate]:[Funding Rate]]*Dynamic_Row_Table[[Tenure (in months)]:[Tenure (in months)]]*$F$6*(1+$A16)/12)
-(IF($A16&lt;0,'Dynamic CM'!$G$6,'Dynamic CM'!$G$6*(($F$6*(1+$A16)/$F$6)^'Dynamic CM'!$H$6))
*VLOOKUP($D$6,EAD_Table[#All],MATCH("EAD",EAD_Table[#Headers],0),FALSE)
*$F$6*(1+$A16))</f>
        <v>3.7485066084765992</v>
      </c>
      <c r="F16" s="9"/>
      <c r="G16" s="81"/>
      <c r="Q16" s="64">
        <v>-0.2</v>
      </c>
      <c r="R16" s="98" cm="1">
        <f t="array" ref="R16">($F$3*(1+$Q16)*'User Segmentation'!$I$49)
-Dynamic_Row_Table[[Fixed Cost]:[Fixed Cost]]
-(Dynamic_Row_Table[[Funding Rate]:[Funding Rate]]*Dynamic_Row_Table[[Tenure (in months)]:[Tenure (in months)]]*$F$3*(1+$Q16)/12)
-(IF($Q16&lt;0,'Dynamic CM'!$G$3,'Dynamic CM'!$G$3*(($F$3*(1+$Q16)/$F$3)^'Dynamic CM'!$H$3))
*VLOOKUP($D$3,EAD_Table[#All],MATCH("EAD",EAD_Table[#Headers],0),FALSE)
*$F$3*(1+$Q16))</f>
        <v>-2.3768318888888889</v>
      </c>
      <c r="S16" s="98" cm="1">
        <f t="array" ref="S16">($F$4*(1+$Q16)*'User Segmentation'!$I$49)
-Dynamic_Row_Table[[Fixed Cost]:[Fixed Cost]]
-(Dynamic_Row_Table[[Funding Rate]:[Funding Rate]]*Dynamic_Row_Table[[Tenure (in months)]:[Tenure (in months)]]*$F$4*(1+$Q16)/12)
-(IF($Q16&lt;0,'Dynamic CM'!$G$4,'Dynamic CM'!$G$4*(($F$4*(1+$Q16)/$F$4)^'Dynamic CM'!$H$4))
*VLOOKUP($D$4,EAD_Table[#All],MATCH("EAD",EAD_Table[#Headers],0),FALSE)
*$F$4*(1+$Q16))</f>
        <v>2.0791048551746023</v>
      </c>
      <c r="T16" s="98" cm="1">
        <f t="array" ref="T16">($F$5*(1+$Q16)*'User Segmentation'!$I$49)
-Dynamic_Row_Table[[Fixed Cost]:[Fixed Cost]]
-(Dynamic_Row_Table[[Funding Rate]:[Funding Rate]]*Dynamic_Row_Table[[Tenure (in months)]:[Tenure (in months)]]*$F$5*(1+$Q16)/12)
-(IF($Q16&lt;0,'Dynamic CM'!$G$5,'Dynamic CM'!$G$5*(($F$5*(1+$Q16)/$F$5)^'Dynamic CM'!$H$5))
*VLOOKUP($D$5,EAD_Table[#All],MATCH("EAD",EAD_Table[#Headers],0),FALSE)
*$F$5*(1+$Q16))</f>
        <v>9.5768626984127003</v>
      </c>
      <c r="U16" s="98" cm="1">
        <f t="array" ref="U16">($F$6*(1+$Q16)*'User Segmentation'!$I$49)
-Dynamic_Row_Table[[Fixed Cost]:[Fixed Cost]]
-(Dynamic_Row_Table[[Funding Rate]:[Funding Rate]]*Dynamic_Row_Table[[Tenure (in months)]:[Tenure (in months)]]*$F$6*(1+$Q16)/12)
-(IF($Q16&lt;0,'Dynamic CM'!$G$6,'Dynamic CM'!$G$6*(($F$6*(1+$Q16)/$F$6)^'Dynamic CM'!$H$6))
*VLOOKUP($D$6,EAD_Table[#All],MATCH("EAD",EAD_Table[#Headers],0),FALSE)
*$F$6*(1+$Q16))</f>
        <v>0.36938640476190515</v>
      </c>
    </row>
    <row r="17" spans="1:21" x14ac:dyDescent="0.2">
      <c r="A17" s="110">
        <v>1.25</v>
      </c>
      <c r="B17" s="111" cm="1">
        <f t="array" ref="B17">($F$3*(1+$A17)*'User Segmentation'!$I$49)
-Dynamic_Row_Table[[Fixed Cost]:[Fixed Cost]]
-(Dynamic_Row_Table[[Funding Rate]:[Funding Rate]]*Dynamic_Row_Table[[Tenure (in months)]:[Tenure (in months)]]*$F$3*(1+$A17)/12)
-(IF($A17&lt;0,'Dynamic CM'!$G$3,'Dynamic CM'!$G$3*(($F$3*(1+$A17)/$F$3)^'Dynamic CM'!$H$3))
*VLOOKUP($D$3,EAD_Table[#All],MATCH("EAD",EAD_Table[#Headers],0),FALSE)
*$F$3*(1+$A17))</f>
        <v>-12.746380951113062</v>
      </c>
      <c r="C17" s="111" cm="1">
        <f t="array" ref="C17">($F$4*(1+$A17)*'User Segmentation'!$I$49)
-Dynamic_Row_Table[[Fixed Cost]:[Fixed Cost]]
-(Dynamic_Row_Table[[Funding Rate]:[Funding Rate]]*Dynamic_Row_Table[[Tenure (in months)]:[Tenure (in months)]]*$F$4*(1+$A17)/12)
-(IF($A17&lt;0,'Dynamic CM'!$G$4,'Dynamic CM'!$G$4*(($F$4*(1+$A17)/$F$4)^'Dynamic CM'!$H$4))
*VLOOKUP($D$4,EAD_Table[#All],MATCH("EAD",EAD_Table[#Headers],0),FALSE)
*$F$4*(1+$A17))</f>
        <v>7.799321443607738</v>
      </c>
      <c r="D17" s="111" cm="1">
        <f t="array" ref="D17">($F$5*(1+$A17)*'User Segmentation'!$I$49)
-Dynamic_Row_Table[[Fixed Cost]:[Fixed Cost]]
-(Dynamic_Row_Table[[Funding Rate]:[Funding Rate]]*Dynamic_Row_Table[[Tenure (in months)]:[Tenure (in months)]]*$F$5*(1+$A17)/12)
-(IF($A17&lt;0,'Dynamic CM'!$G$5,'Dynamic CM'!$G$5*(($F$5*(1+$A17)/$F$5)^'Dynamic CM'!$H$5))
*VLOOKUP($D$5,EAD_Table[#All],MATCH("EAD",EAD_Table[#Headers],0),FALSE)
*$F$5*(1+$A17))</f>
        <v>27.363878698149943</v>
      </c>
      <c r="E17" s="111" cm="1">
        <f t="array" ref="E17">($F$6*(1+$A17)*'User Segmentation'!$I$49)
-Dynamic_Row_Table[[Fixed Cost]:[Fixed Cost]]
-(Dynamic_Row_Table[[Funding Rate]:[Funding Rate]]*Dynamic_Row_Table[[Tenure (in months)]:[Tenure (in months)]]*$F$6*(1+$A17)/12)
-(IF($A17&lt;0,'Dynamic CM'!$G$6,'Dynamic CM'!$G$6*(($F$6*(1+$A17)/$F$6)^'Dynamic CM'!$H$6))
*VLOOKUP($D$6,EAD_Table[#All],MATCH("EAD",EAD_Table[#Headers],0),FALSE)
*$F$6*(1+$A17))</f>
        <v>4.0633233309339962</v>
      </c>
      <c r="F17" s="9"/>
      <c r="G17" s="9"/>
      <c r="Q17" s="64">
        <v>-0.1</v>
      </c>
      <c r="R17" s="98" cm="1">
        <f t="array" ref="R17">($F$3*(1+$Q17)*'User Segmentation'!$I$49)
-Dynamic_Row_Table[[Fixed Cost]:[Fixed Cost]]
-(Dynamic_Row_Table[[Funding Rate]:[Funding Rate]]*Dynamic_Row_Table[[Tenure (in months)]:[Tenure (in months)]]*$F$3*(1+$Q17)/12)
-(IF($Q17&lt;0,'Dynamic CM'!$G$3,'Dynamic CM'!$G$3*(($F$3*(1+$Q17)/$F$3)^'Dynamic CM'!$H$3))
*VLOOKUP($D$3,EAD_Table[#All],MATCH("EAD",EAD_Table[#Headers],0),FALSE)
*$F$3*(1+$Q17))</f>
        <v>-2.2989358750000006</v>
      </c>
      <c r="S17" s="98" cm="1">
        <f t="array" ref="S17">($F$4*(1+$Q17)*'User Segmentation'!$I$49)
-Dynamic_Row_Table[[Fixed Cost]:[Fixed Cost]]
-(Dynamic_Row_Table[[Funding Rate]:[Funding Rate]]*Dynamic_Row_Table[[Tenure (in months)]:[Tenure (in months)]]*$F$4*(1+$Q17)/12)
-(IF($Q17&lt;0,'Dynamic CM'!$G$4,'Dynamic CM'!$G$4*(($F$4*(1+$Q17)/$F$4)^'Dynamic CM'!$H$4))
*VLOOKUP($D$4,EAD_Table[#All],MATCH("EAD",EAD_Table[#Headers],0),FALSE)
*$F$4*(1+$Q17))</f>
        <v>2.7139929620714272</v>
      </c>
      <c r="T17" s="98" cm="1">
        <f t="array" ref="T17">($F$5*(1+$Q17)*'User Segmentation'!$I$49)
-Dynamic_Row_Table[[Fixed Cost]:[Fixed Cost]]
-(Dynamic_Row_Table[[Funding Rate]:[Funding Rate]]*Dynamic_Row_Table[[Tenure (in months)]:[Tenure (in months)]]*$F$5*(1+$Q17)/12)
-(IF($Q17&lt;0,'Dynamic CM'!$G$5,'Dynamic CM'!$G$5*(($F$5*(1+$Q17)/$F$5)^'Dynamic CM'!$H$5))
*VLOOKUP($D$5,EAD_Table[#All],MATCH("EAD",EAD_Table[#Headers],0),FALSE)
*$F$5*(1+$Q17))</f>
        <v>11.148970535714286</v>
      </c>
      <c r="U17" s="98" cm="1">
        <f t="array" ref="U17">($F$6*(1+$Q17)*'User Segmentation'!$I$49)
-Dynamic_Row_Table[[Fixed Cost]:[Fixed Cost]]
-(Dynamic_Row_Table[[Funding Rate]:[Funding Rate]]*Dynamic_Row_Table[[Tenure (in months)]:[Tenure (in months)]]*$F$6*(1+$Q17)/12)
-(IF($Q17&lt;0,'Dynamic CM'!$G$6,'Dynamic CM'!$G$6*(($F$6*(1+$Q17)/$F$6)^'Dynamic CM'!$H$6))
*VLOOKUP($D$6,EAD_Table[#All],MATCH("EAD",EAD_Table[#Headers],0),FALSE)
*$F$6*(1+$Q17))</f>
        <v>0.79055970535714326</v>
      </c>
    </row>
    <row r="18" spans="1:21" x14ac:dyDescent="0.2">
      <c r="A18" s="112">
        <v>1.5</v>
      </c>
      <c r="B18" s="111" cm="1">
        <f t="array" ref="B18">($F$3*(1+$A18)*'User Segmentation'!$I$49)
-Dynamic_Row_Table[[Fixed Cost]:[Fixed Cost]]
-(Dynamic_Row_Table[[Funding Rate]:[Funding Rate]]*Dynamic_Row_Table[[Tenure (in months)]:[Tenure (in months)]]*$F$3*(1+$A18)/12)
-(IF($A18&lt;0,'Dynamic CM'!$G$3,'Dynamic CM'!$G$3*(($F$3*(1+$A18)/$F$3)^'Dynamic CM'!$H$3))
*VLOOKUP($D$3,EAD_Table[#All],MATCH("EAD",EAD_Table[#Headers],0),FALSE)
*$F$3*(1+$A18))</f>
        <v>-17.420012906563663</v>
      </c>
      <c r="C18" s="111" cm="1">
        <f t="array" ref="C18">($F$4*(1+$A18)*'User Segmentation'!$I$49)
-Dynamic_Row_Table[[Fixed Cost]:[Fixed Cost]]
-(Dynamic_Row_Table[[Funding Rate]:[Funding Rate]]*Dynamic_Row_Table[[Tenure (in months)]:[Tenure (in months)]]*$F$4*(1+$A18)/12)
-(IF($A18&lt;0,'Dynamic CM'!$G$4,'Dynamic CM'!$G$4*(($F$4*(1+$A18)/$F$4)^'Dynamic CM'!$H$4))
*VLOOKUP($D$4,EAD_Table[#All],MATCH("EAD",EAD_Table[#Headers],0),FALSE)
*$F$4*(1+$A18))</f>
        <v>8.1198437034799973</v>
      </c>
      <c r="D18" s="111" cm="1">
        <f t="array" ref="D18">($F$5*(1+$A18)*'User Segmentation'!$I$49)
-Dynamic_Row_Table[[Fixed Cost]:[Fixed Cost]]
-(Dynamic_Row_Table[[Funding Rate]:[Funding Rate]]*Dynamic_Row_Table[[Tenure (in months)]:[Tenure (in months)]]*$F$5*(1+$A18)/12)
-(IF($A18&lt;0,'Dynamic CM'!$G$5,'Dynamic CM'!$G$5*(($F$5*(1+$A18)/$F$5)^'Dynamic CM'!$H$5))
*VLOOKUP($D$5,EAD_Table[#All],MATCH("EAD",EAD_Table[#Headers],0),FALSE)
*$F$5*(1+$A18))</f>
        <v>29.592324740476251</v>
      </c>
      <c r="E18" s="111" cm="1">
        <f t="array" ref="E18">($F$6*(1+$A18)*'User Segmentation'!$I$49)
-Dynamic_Row_Table[[Fixed Cost]:[Fixed Cost]]
-(Dynamic_Row_Table[[Funding Rate]:[Funding Rate]]*Dynamic_Row_Table[[Tenure (in months)]:[Tenure (in months)]]*$F$6*(1+$A18)/12)
-(IF($A18&lt;0,'Dynamic CM'!$G$6,'Dynamic CM'!$G$6*(($F$6*(1+$A18)/$F$6)^'Dynamic CM'!$H$6))
*VLOOKUP($D$6,EAD_Table[#All],MATCH("EAD",EAD_Table[#Headers],0),FALSE)
*$F$6*(1+$A18))</f>
        <v>4.2393386867985967</v>
      </c>
      <c r="Q18" s="64">
        <v>0</v>
      </c>
      <c r="R18" s="98" cm="1">
        <f t="array" ref="R18">($F$3*(1+$Q18)*'User Segmentation'!$I$49)
-Dynamic_Row_Table[[Fixed Cost]:[Fixed Cost]]
-(Dynamic_Row_Table[[Funding Rate]:[Funding Rate]]*Dynamic_Row_Table[[Tenure (in months)]:[Tenure (in months)]]*$F$3*(1+$Q18)/12)
-(IF($Q18&lt;0,'Dynamic CM'!$G$3,'Dynamic CM'!$G$3*(($F$3*(1+$Q18)/$F$3)^'Dynamic CM'!$H$3))
*VLOOKUP($D$3,EAD_Table[#All],MATCH("EAD",EAD_Table[#Headers],0),FALSE)
*$F$3*(1+$Q18))</f>
        <v>-2.2210398611111115</v>
      </c>
      <c r="S18" s="98" cm="1">
        <f t="array" ref="S18">($F$4*(1+$Q18)*'User Segmentation'!$I$49)
-Dynamic_Row_Table[[Fixed Cost]:[Fixed Cost]]
-(Dynamic_Row_Table[[Funding Rate]:[Funding Rate]]*Dynamic_Row_Table[[Tenure (in months)]:[Tenure (in months)]]*$F$4*(1+$Q18)/12)
-(IF($Q18&lt;0,'Dynamic CM'!$G$4,'Dynamic CM'!$G$4*(($F$4*(1+$Q18)/$F$4)^'Dynamic CM'!$H$4))
*VLOOKUP($D$4,EAD_Table[#All],MATCH("EAD",EAD_Table[#Headers],0),FALSE)
*$F$4*(1+$Q18))</f>
        <v>3.3488810689682529</v>
      </c>
      <c r="T18" s="98" cm="1">
        <f t="array" ref="T18">($F$5*(1+$Q18)*'User Segmentation'!$I$49)
-Dynamic_Row_Table[[Fixed Cost]:[Fixed Cost]]
-(Dynamic_Row_Table[[Funding Rate]:[Funding Rate]]*Dynamic_Row_Table[[Tenure (in months)]:[Tenure (in months)]]*$F$5*(1+$Q18)/12)
-(IF($Q18&lt;0,'Dynamic CM'!$G$5,'Dynamic CM'!$G$5*(($F$5*(1+$Q18)/$F$5)^'Dynamic CM'!$H$5))
*VLOOKUP($D$5,EAD_Table[#All],MATCH("EAD",EAD_Table[#Headers],0),FALSE)
*$F$5*(1+$Q18))</f>
        <v>12.721078373015875</v>
      </c>
      <c r="U18" s="98" cm="1">
        <f t="array" ref="U18">($F$6*(1+$Q18)*'User Segmentation'!$I$49)
-Dynamic_Row_Table[[Fixed Cost]:[Fixed Cost]]
-(Dynamic_Row_Table[[Funding Rate]:[Funding Rate]]*Dynamic_Row_Table[[Tenure (in months)]:[Tenure (in months)]]*$F$6*(1+$Q18)/12)
-(IF($Q18&lt;0,'Dynamic CM'!$G$6,'Dynamic CM'!$G$6*(($F$6*(1+$Q18)/$F$6)^'Dynamic CM'!$H$6))
*VLOOKUP($D$6,EAD_Table[#All],MATCH("EAD",EAD_Table[#Headers],0),FALSE)
*$F$6*(1+$Q18))</f>
        <v>1.211733005952381</v>
      </c>
    </row>
    <row r="19" spans="1:21" x14ac:dyDescent="0.2">
      <c r="A19" s="110">
        <v>1.75</v>
      </c>
      <c r="B19" s="111" cm="1">
        <f t="array" ref="B19">($F$3*(1+$A19)*'User Segmentation'!$I$49)
-Dynamic_Row_Table[[Fixed Cost]:[Fixed Cost]]
-(Dynamic_Row_Table[[Funding Rate]:[Funding Rate]]*Dynamic_Row_Table[[Tenure (in months)]:[Tenure (in months)]]*$F$3*(1+$A19)/12)
-(IF($A19&lt;0,'Dynamic CM'!$G$3,'Dynamic CM'!$G$3*(($F$3*(1+$A19)/$F$3)^'Dynamic CM'!$H$3))
*VLOOKUP($D$3,EAD_Table[#All],MATCH("EAD",EAD_Table[#Headers],0),FALSE)
*$F$3*(1+$A19))</f>
        <v>-23.179788395757878</v>
      </c>
      <c r="C19" s="111" cm="1">
        <f t="array" ref="C19">($F$4*(1+$A19)*'User Segmentation'!$I$49)
-Dynamic_Row_Table[[Fixed Cost]:[Fixed Cost]]
-(Dynamic_Row_Table[[Funding Rate]:[Funding Rate]]*Dynamic_Row_Table[[Tenure (in months)]:[Tenure (in months)]]*$F$4*(1+$A19)/12)
-(IF($A19&lt;0,'Dynamic CM'!$G$4,'Dynamic CM'!$G$4*(($F$4*(1+$A19)/$F$4)^'Dynamic CM'!$H$4))
*VLOOKUP($D$4,EAD_Table[#All],MATCH("EAD",EAD_Table[#Headers],0),FALSE)
*$F$4*(1+$A19))</f>
        <v>8.2329850264689401</v>
      </c>
      <c r="D19" s="111" cm="1">
        <f t="array" ref="D19">($F$5*(1+$A19)*'User Segmentation'!$I$49)
-Dynamic_Row_Table[[Fixed Cost]:[Fixed Cost]]
-(Dynamic_Row_Table[[Funding Rate]:[Funding Rate]]*Dynamic_Row_Table[[Tenure (in months)]:[Tenure (in months)]]*$F$5*(1+$A19)/12)
-(IF($A19&lt;0,'Dynamic CM'!$G$5,'Dynamic CM'!$G$5*(($F$5*(1+$A19)/$F$5)^'Dynamic CM'!$H$5))
*VLOOKUP($D$5,EAD_Table[#All],MATCH("EAD",EAD_Table[#Headers],0),FALSE)
*$F$5*(1+$A19))</f>
        <v>31.582715827919106</v>
      </c>
      <c r="E19" s="111" cm="1">
        <f t="array" ref="E19">($F$6*(1+$A19)*'User Segmentation'!$I$49)
-Dynamic_Row_Table[[Fixed Cost]:[Fixed Cost]]
-(Dynamic_Row_Table[[Funding Rate]:[Funding Rate]]*Dynamic_Row_Table[[Tenure (in months)]:[Tenure (in months)]]*$F$6*(1+$A19)/12)
-(IF($A19&lt;0,'Dynamic CM'!$G$6,'Dynamic CM'!$G$6*(($F$6*(1+$A19)/$F$6)^'Dynamic CM'!$H$6))
*VLOOKUP($D$6,EAD_Table[#All],MATCH("EAD",EAD_Table[#Headers],0),FALSE)
*$F$6*(1+$A19))</f>
        <v>4.2717870253425012</v>
      </c>
      <c r="Q19" s="64">
        <v>0.1</v>
      </c>
      <c r="R19" s="98" cm="1">
        <f t="array" ref="R19">($F$3*(1+$Q19)*'User Segmentation'!$I$49)
-Dynamic_Row_Table[[Fixed Cost]:[Fixed Cost]]
-(Dynamic_Row_Table[[Funding Rate]:[Funding Rate]]*Dynamic_Row_Table[[Tenure (in months)]:[Tenure (in months)]]*$F$3*(1+$Q19)/12)
-(IF($Q19&lt;0,'Dynamic CM'!$G$3,'Dynamic CM'!$G$3*(($F$3*(1+$Q19)/$F$3)^'Dynamic CM'!$H$3))
*VLOOKUP($D$3,EAD_Table[#All],MATCH("EAD",EAD_Table[#Headers],0),FALSE)
*$F$3*(1+$Q19))</f>
        <v>-2.4487860364514504</v>
      </c>
      <c r="S19" s="98" cm="1">
        <f t="array" ref="S19">($F$4*(1+$Q19)*'User Segmentation'!$I$49)
-Dynamic_Row_Table[[Fixed Cost]:[Fixed Cost]]
-(Dynamic_Row_Table[[Funding Rate]:[Funding Rate]]*Dynamic_Row_Table[[Tenure (in months)]:[Tenure (in months)]]*$F$4*(1+$Q19)/12)
-(IF($Q19&lt;0,'Dynamic CM'!$G$4,'Dynamic CM'!$G$4*(($F$4*(1+$Q19)/$F$4)^'Dynamic CM'!$H$4))
*VLOOKUP($D$4,EAD_Table[#All],MATCH("EAD",EAD_Table[#Headers],0),FALSE)
*$F$4*(1+$Q19))</f>
        <v>3.8645691277111855</v>
      </c>
      <c r="T19" s="98" cm="1">
        <f t="array" ref="T19">($F$5*(1+$Q19)*'User Segmentation'!$I$49)
-Dynamic_Row_Table[[Fixed Cost]:[Fixed Cost]]
-(Dynamic_Row_Table[[Funding Rate]:[Funding Rate]]*Dynamic_Row_Table[[Tenure (in months)]:[Tenure (in months)]]*$F$5*(1+$Q19)/12)
-(IF($Q19&lt;0,'Dynamic CM'!$G$5,'Dynamic CM'!$G$5*(($F$5*(1+$Q19)/$F$5)^'Dynamic CM'!$H$5))
*VLOOKUP($D$5,EAD_Table[#All],MATCH("EAD",EAD_Table[#Headers],0),FALSE)
*$F$5*(1+$Q19))</f>
        <v>14.102958588756699</v>
      </c>
      <c r="U19" s="98" cm="1">
        <f t="array" ref="U19">($F$6*(1+$Q19)*'User Segmentation'!$I$49)
-Dynamic_Row_Table[[Fixed Cost]:[Fixed Cost]]
-(Dynamic_Row_Table[[Funding Rate]:[Funding Rate]]*Dynamic_Row_Table[[Tenure (in months)]:[Tenure (in months)]]*$F$6*(1+$Q19)/12)
-(IF($Q19&lt;0,'Dynamic CM'!$G$6,'Dynamic CM'!$G$6*(($F$6*(1+$Q19)/$F$6)^'Dynamic CM'!$H$6))
*VLOOKUP($D$6,EAD_Table[#All],MATCH("EAD",EAD_Table[#Headers],0),FALSE)
*$F$6*(1+$Q19))</f>
        <v>1.5503857256536955</v>
      </c>
    </row>
    <row r="20" spans="1:21" x14ac:dyDescent="0.2">
      <c r="A20" s="112">
        <v>2</v>
      </c>
      <c r="B20" s="111" cm="1">
        <f t="array" ref="B20">($F$3*(1+$A20)*'User Segmentation'!$I$49)
-Dynamic_Row_Table[[Fixed Cost]:[Fixed Cost]]
-(Dynamic_Row_Table[[Funding Rate]:[Funding Rate]]*Dynamic_Row_Table[[Tenure (in months)]:[Tenure (in months)]]*$F$3*(1+$A20)/12)
-(IF($A20&lt;0,'Dynamic CM'!$G$3,'Dynamic CM'!$G$3*(($F$3*(1+$A20)/$F$3)^'Dynamic CM'!$H$3))
*VLOOKUP($D$3,EAD_Table[#All],MATCH("EAD",EAD_Table[#Headers],0),FALSE)
*$F$3*(1+$A20))</f>
        <v>-30.12187798593818</v>
      </c>
      <c r="C20" s="111" cm="1">
        <f t="array" ref="C20">($F$4*(1+$A20)*'User Segmentation'!$I$49)
-Dynamic_Row_Table[[Fixed Cost]:[Fixed Cost]]
-(Dynamic_Row_Table[[Funding Rate]:[Funding Rate]]*Dynamic_Row_Table[[Tenure (in months)]:[Tenure (in months)]]*$F$4*(1+$A20)/12)
-(IF($A20&lt;0,'Dynamic CM'!$G$4,'Dynamic CM'!$G$4*(($F$4*(1+$A20)/$F$4)^'Dynamic CM'!$H$4))
*VLOOKUP($D$4,EAD_Table[#All],MATCH("EAD",EAD_Table[#Headers],0),FALSE)
*$F$4*(1+$A20))</f>
        <v>8.1323162581332955</v>
      </c>
      <c r="D20" s="111" cm="1">
        <f t="array" ref="D20">($F$5*(1+$A20)*'User Segmentation'!$I$49)
-Dynamic_Row_Table[[Fixed Cost]:[Fixed Cost]]
-(Dynamic_Row_Table[[Funding Rate]:[Funding Rate]]*Dynamic_Row_Table[[Tenure (in months)]:[Tenure (in months)]]*$F$5*(1+$A20)/12)
-(IF($A20&lt;0,'Dynamic CM'!$G$5,'Dynamic CM'!$G$5*(($F$5*(1+$A20)/$F$5)^'Dynamic CM'!$H$5))
*VLOOKUP($D$5,EAD_Table[#All],MATCH("EAD",EAD_Table[#Headers],0),FALSE)
*$F$5*(1+$A20))</f>
        <v>33.333433279907069</v>
      </c>
      <c r="E20" s="111" cm="1">
        <f t="array" ref="E20">($F$6*(1+$A20)*'User Segmentation'!$I$49)
-Dynamic_Row_Table[[Fixed Cost]:[Fixed Cost]]
-(Dynamic_Row_Table[[Funding Rate]:[Funding Rate]]*Dynamic_Row_Table[[Tenure (in months)]:[Tenure (in months)]]*$F$6*(1+$A20)/12)
-(IF($A20&lt;0,'Dynamic CM'!$G$6,'Dynamic CM'!$G$6*(($F$6*(1+$A20)/$F$6)^'Dynamic CM'!$H$6))
*VLOOKUP($D$6,EAD_Table[#All],MATCH("EAD",EAD_Table[#Headers],0),FALSE)
*$F$6*(1+$A20))</f>
        <v>4.1562175299144855</v>
      </c>
      <c r="Q20" s="64">
        <v>0.2</v>
      </c>
      <c r="R20" s="98" cm="1">
        <f t="array" ref="R20">($F$3*(1+$Q20)*'User Segmentation'!$I$49)
-Dynamic_Row_Table[[Fixed Cost]:[Fixed Cost]]
-(Dynamic_Row_Table[[Funding Rate]:[Funding Rate]]*Dynamic_Row_Table[[Tenure (in months)]:[Tenure (in months)]]*$F$3*(1+$Q20)/12)
-(IF($Q20&lt;0,'Dynamic CM'!$G$3,'Dynamic CM'!$G$3*(($F$3*(1+$Q20)/$F$3)^'Dynamic CM'!$H$3))
*VLOOKUP($D$3,EAD_Table[#All],MATCH("EAD",EAD_Table[#Headers],0),FALSE)
*$F$3*(1+$Q20))</f>
        <v>-2.7602246546027946</v>
      </c>
      <c r="S20" s="98" cm="1">
        <f t="array" ref="S20">($F$4*(1+$Q20)*'User Segmentation'!$I$49)
-Dynamic_Row_Table[[Fixed Cost]:[Fixed Cost]]
-(Dynamic_Row_Table[[Funding Rate]:[Funding Rate]]*Dynamic_Row_Table[[Tenure (in months)]:[Tenure (in months)]]*$F$4*(1+$Q20)/12)
-(IF($Q20&lt;0,'Dynamic CM'!$G$4,'Dynamic CM'!$G$4*(($F$4*(1+$Q20)/$F$4)^'Dynamic CM'!$H$4))
*VLOOKUP($D$4,EAD_Table[#All],MATCH("EAD",EAD_Table[#Headers],0),FALSE)
*$F$4*(1+$Q20))</f>
        <v>4.3547414928233064</v>
      </c>
      <c r="T20" s="98" cm="1">
        <f t="array" ref="T20">($F$5*(1+$Q20)*'User Segmentation'!$I$49)
-Dynamic_Row_Table[[Fixed Cost]:[Fixed Cost]]
-(Dynamic_Row_Table[[Funding Rate]:[Funding Rate]]*Dynamic_Row_Table[[Tenure (in months)]:[Tenure (in months)]]*$F$5*(1+$Q20)/12)
-(IF($Q20&lt;0,'Dynamic CM'!$G$5,'Dynamic CM'!$G$5*(($F$5*(1+$Q20)/$F$5)^'Dynamic CM'!$H$5))
*VLOOKUP($D$5,EAD_Table[#All],MATCH("EAD",EAD_Table[#Headers],0),FALSE)
*$F$5*(1+$Q20))</f>
        <v>15.448906381339881</v>
      </c>
      <c r="U20" s="98" cm="1">
        <f t="array" ref="U20">($F$6*(1+$Q20)*'User Segmentation'!$I$49)
-Dynamic_Row_Table[[Fixed Cost]:[Fixed Cost]]
-(Dynamic_Row_Table[[Funding Rate]:[Funding Rate]]*Dynamic_Row_Table[[Tenure (in months)]:[Tenure (in months)]]*$F$6*(1+$Q20)/12)
-(IF($Q20&lt;0,'Dynamic CM'!$G$6,'Dynamic CM'!$G$6*(($F$6*(1+$Q20)/$F$6)^'Dynamic CM'!$H$6))
*VLOOKUP($D$6,EAD_Table[#All],MATCH("EAD",EAD_Table[#Headers],0),FALSE)
*$F$6*(1+$Q20))</f>
        <v>1.8713742758103158</v>
      </c>
    </row>
    <row r="21" spans="1:21" x14ac:dyDescent="0.2">
      <c r="A21" s="110">
        <v>2.25</v>
      </c>
      <c r="B21" s="111" cm="1">
        <f t="array" ref="B21">($F$3*(1+$A21)*'User Segmentation'!$I$49)
-Dynamic_Row_Table[[Fixed Cost]:[Fixed Cost]]
-(Dynamic_Row_Table[[Funding Rate]:[Funding Rate]]*Dynamic_Row_Table[[Tenure (in months)]:[Tenure (in months)]]*$F$3*(1+$A21)/12)
-(IF($A21&lt;0,'Dynamic CM'!$G$3,'Dynamic CM'!$G$3*(($F$3*(1+$A21)/$F$3)^'Dynamic CM'!$H$3))
*VLOOKUP($D$3,EAD_Table[#All],MATCH("EAD",EAD_Table[#Headers],0),FALSE)
*$F$3*(1+$A21))</f>
        <v>-38.341492469242475</v>
      </c>
      <c r="C21" s="111" cm="1">
        <f t="array" ref="C21">($F$4*(1+$A21)*'User Segmentation'!$I$49)
-Dynamic_Row_Table[[Fixed Cost]:[Fixed Cost]]
-(Dynamic_Row_Table[[Funding Rate]:[Funding Rate]]*Dynamic_Row_Table[[Tenure (in months)]:[Tenure (in months)]]*$F$4*(1+$A21)/12)
-(IF($A21&lt;0,'Dynamic CM'!$G$4,'Dynamic CM'!$G$4*(($F$4*(1+$A21)/$F$4)^'Dynamic CM'!$H$4))
*VLOOKUP($D$4,EAD_Table[#All],MATCH("EAD",EAD_Table[#Headers],0),FALSE)
*$F$4*(1+$A21))</f>
        <v>7.8117952172413574</v>
      </c>
      <c r="D21" s="111" cm="1">
        <f t="array" ref="D21">($F$5*(1+$A21)*'User Segmentation'!$I$49)
-Dynamic_Row_Table[[Fixed Cost]:[Fixed Cost]]
-(Dynamic_Row_Table[[Funding Rate]:[Funding Rate]]*Dynamic_Row_Table[[Tenure (in months)]:[Tenure (in months)]]*$F$5*(1+$A21)/12)
-(IF($A21&lt;0,'Dynamic CM'!$G$5,'Dynamic CM'!$G$5*(($F$5*(1+$A21)/$F$5)^'Dynamic CM'!$H$5))
*VLOOKUP($D$5,EAD_Table[#All],MATCH("EAD",EAD_Table[#Headers],0),FALSE)
*$F$5*(1+$A21))</f>
        <v>34.842990100889793</v>
      </c>
      <c r="E21" s="111" cm="1">
        <f t="array" ref="E21">($F$6*(1+$A21)*'User Segmentation'!$I$49)
-Dynamic_Row_Table[[Fixed Cost]:[Fixed Cost]]
-(Dynamic_Row_Table[[Funding Rate]:[Funding Rate]]*Dynamic_Row_Table[[Tenure (in months)]:[Tenure (in months)]]*$F$6*(1+$A21)/12)
-(IF($A21&lt;0,'Dynamic CM'!$G$6,'Dynamic CM'!$G$6*(($F$6*(1+$A21)/$F$6)^'Dynamic CM'!$H$6))
*VLOOKUP($D$6,EAD_Table[#All],MATCH("EAD",EAD_Table[#Headers],0),FALSE)
*$F$6*(1+$A21))</f>
        <v>3.8884472801816479</v>
      </c>
      <c r="Q21" s="64">
        <v>0.3</v>
      </c>
      <c r="R21" s="98" cm="1">
        <f t="array" ref="R21">($F$3*(1+$Q21)*'User Segmentation'!$I$49)
-Dynamic_Row_Table[[Fixed Cost]:[Fixed Cost]]
-(Dynamic_Row_Table[[Funding Rate]:[Funding Rate]]*Dynamic_Row_Table[[Tenure (in months)]:[Tenure (in months)]]*$F$3*(1+$Q21)/12)
-(IF($Q21&lt;0,'Dynamic CM'!$G$3,'Dynamic CM'!$G$3*(($F$3*(1+$Q21)/$F$3)^'Dynamic CM'!$H$3))
*VLOOKUP($D$3,EAD_Table[#All],MATCH("EAD",EAD_Table[#Headers],0),FALSE)
*$F$3*(1+$Q21))</f>
        <v>-3.1620953998583055</v>
      </c>
      <c r="S21" s="98" cm="1">
        <f t="array" ref="S21">($F$4*(1+$Q21)*'User Segmentation'!$I$49)
-Dynamic_Row_Table[[Fixed Cost]:[Fixed Cost]]
-(Dynamic_Row_Table[[Funding Rate]:[Funding Rate]]*Dynamic_Row_Table[[Tenure (in months)]:[Tenure (in months)]]*$F$4*(1+$Q21)/12)
-(IF($Q21&lt;0,'Dynamic CM'!$G$4,'Dynamic CM'!$G$4*(($F$4*(1+$Q21)/$F$4)^'Dynamic CM'!$H$4))
*VLOOKUP($D$4,EAD_Table[#All],MATCH("EAD",EAD_Table[#Headers],0),FALSE)
*$F$4*(1+$Q21))</f>
        <v>4.8186771017756449</v>
      </c>
      <c r="T21" s="98" cm="1">
        <f t="array" ref="T21">($F$5*(1+$Q21)*'User Segmentation'!$I$49)
-Dynamic_Row_Table[[Fixed Cost]:[Fixed Cost]]
-(Dynamic_Row_Table[[Funding Rate]:[Funding Rate]]*Dynamic_Row_Table[[Tenure (in months)]:[Tenure (in months)]]*$F$5*(1+$Q21)/12)
-(IF($Q21&lt;0,'Dynamic CM'!$G$5,'Dynamic CM'!$G$5*(($F$5*(1+$Q21)/$F$5)^'Dynamic CM'!$H$5))
*VLOOKUP($D$5,EAD_Table[#All],MATCH("EAD",EAD_Table[#Headers],0),FALSE)
*$F$5*(1+$Q21))</f>
        <v>16.758698816969449</v>
      </c>
      <c r="U21" s="98" cm="1">
        <f t="array" ref="U21">($F$6*(1+$Q21)*'User Segmentation'!$I$49)
-Dynamic_Row_Table[[Fixed Cost]:[Fixed Cost]]
-(Dynamic_Row_Table[[Funding Rate]:[Funding Rate]]*Dynamic_Row_Table[[Tenure (in months)]:[Tenure (in months)]]*$F$6*(1+$Q21)/12)
-(IF($Q21&lt;0,'Dynamic CM'!$G$6,'Dynamic CM'!$G$6*(($F$6*(1+$Q21)/$F$6)^'Dynamic CM'!$H$6))
*VLOOKUP($D$6,EAD_Table[#All],MATCH("EAD",EAD_Table[#Headers],0),FALSE)
*$F$6*(1+$Q21))</f>
        <v>2.1741994745873949</v>
      </c>
    </row>
    <row r="22" spans="1:21" x14ac:dyDescent="0.2">
      <c r="A22" s="112">
        <v>2.5</v>
      </c>
      <c r="B22" s="111" cm="1">
        <f t="array" ref="B22">($F$3*(1+$A22)*'User Segmentation'!$I$49)
-Dynamic_Row_Table[[Fixed Cost]:[Fixed Cost]]
-(Dynamic_Row_Table[[Funding Rate]:[Funding Rate]]*Dynamic_Row_Table[[Tenure (in months)]:[Tenure (in months)]]*$F$3*(1+$A22)/12)
-(IF($A22&lt;0,'Dynamic CM'!$G$3,'Dynamic CM'!$G$3*(($F$3*(1+$A22)/$F$3)^'Dynamic CM'!$H$3))
*VLOOKUP($D$3,EAD_Table[#All],MATCH("EAD",EAD_Table[#Headers],0),FALSE)
*$F$3*(1+$A22))</f>
        <v>-47.932971678710103</v>
      </c>
      <c r="C22" s="111" cm="1">
        <f t="array" ref="C22">($F$4*(1+$A22)*'User Segmentation'!$I$49)
-Dynamic_Row_Table[[Fixed Cost]:[Fixed Cost]]
-(Dynamic_Row_Table[[Funding Rate]:[Funding Rate]]*Dynamic_Row_Table[[Tenure (in months)]:[Tenure (in months)]]*$F$4*(1+$A22)/12)
-(IF($A22&lt;0,'Dynamic CM'!$G$4,'Dynamic CM'!$G$4*(($F$4*(1+$A22)/$F$4)^'Dynamic CM'!$H$4))
*VLOOKUP($D$4,EAD_Table[#All],MATCH("EAD",EAD_Table[#Headers],0),FALSE)
*$F$4*(1+$A22))</f>
        <v>7.265713732835307</v>
      </c>
      <c r="D22" s="111" cm="1">
        <f t="array" ref="D22">($F$5*(1+$A22)*'User Segmentation'!$I$49)
-Dynamic_Row_Table[[Fixed Cost]:[Fixed Cost]]
-(Dynamic_Row_Table[[Funding Rate]:[Funding Rate]]*Dynamic_Row_Table[[Tenure (in months)]:[Tenure (in months)]]*$F$5*(1+$A22)/12)
-(IF($A22&lt;0,'Dynamic CM'!$G$5,'Dynamic CM'!$G$5*(($F$5*(1+$A22)/$F$5)^'Dynamic CM'!$H$5))
*VLOOKUP($D$5,EAD_Table[#All],MATCH("EAD",EAD_Table[#Headers],0),FALSE)
*$F$5*(1+$A22))</f>
        <v>36.110010492603699</v>
      </c>
      <c r="E22" s="111" cm="1">
        <f t="array" ref="E22">($F$6*(1+$A22)*'User Segmentation'!$I$49)
-Dynamic_Row_Table[[Fixed Cost]:[Fixed Cost]]
-(Dynamic_Row_Table[[Funding Rate]:[Funding Rate]]*Dynamic_Row_Table[[Tenure (in months)]:[Tenure (in months)]]*$F$6*(1+$A22)/12)
-(IF($A22&lt;0,'Dynamic CM'!$G$6,'Dynamic CM'!$G$6*(($F$6*(1+$A22)/$F$6)^'Dynamic CM'!$H$6))
*VLOOKUP($D$6,EAD_Table[#All],MATCH("EAD",EAD_Table[#Headers],0),FALSE)
*$F$6*(1+$A22))</f>
        <v>3.4645245866054566</v>
      </c>
      <c r="Q22" s="64">
        <v>0.4</v>
      </c>
      <c r="R22" s="98" cm="1">
        <f t="array" ref="R22">($F$3*(1+$Q22)*'User Segmentation'!$I$49)
-Dynamic_Row_Table[[Fixed Cost]:[Fixed Cost]]
-(Dynamic_Row_Table[[Funding Rate]:[Funding Rate]]*Dynamic_Row_Table[[Tenure (in months)]:[Tenure (in months)]]*$F$3*(1+$Q22)/12)
-(IF($Q22&lt;0,'Dynamic CM'!$G$3,'Dynamic CM'!$G$3*(($F$3*(1+$Q22)/$F$3)^'Dynamic CM'!$H$3))
*VLOOKUP($D$3,EAD_Table[#All],MATCH("EAD",EAD_Table[#Headers],0),FALSE)
*$F$3*(1+$Q22))</f>
        <v>-3.6610763039481751</v>
      </c>
      <c r="S22" s="98" cm="1">
        <f t="array" ref="S22">($F$4*(1+$Q22)*'User Segmentation'!$I$49)
-Dynamic_Row_Table[[Fixed Cost]:[Fixed Cost]]
-(Dynamic_Row_Table[[Funding Rate]:[Funding Rate]]*Dynamic_Row_Table[[Tenure (in months)]:[Tenure (in months)]]*$F$4*(1+$Q22)/12)
-(IF($Q22&lt;0,'Dynamic CM'!$G$4,'Dynamic CM'!$G$4*(($F$4*(1+$Q22)/$F$4)^'Dynamic CM'!$H$4))
*VLOOKUP($D$4,EAD_Table[#All],MATCH("EAD",EAD_Table[#Headers],0),FALSE)
*$F$4*(1+$Q22))</f>
        <v>5.2556947521962734</v>
      </c>
      <c r="T22" s="98" cm="1">
        <f t="array" ref="T22">($F$5*(1+$Q22)*'User Segmentation'!$I$49)
-Dynamic_Row_Table[[Fixed Cost]:[Fixed Cost]]
-(Dynamic_Row_Table[[Funding Rate]:[Funding Rate]]*Dynamic_Row_Table[[Tenure (in months)]:[Tenure (in months)]]*$F$5*(1+$Q22)/12)
-(IF($Q22&lt;0,'Dynamic CM'!$G$5,'Dynamic CM'!$G$5*(($F$5*(1+$Q22)/$F$5)^'Dynamic CM'!$H$5))
*VLOOKUP($D$5,EAD_Table[#All],MATCH("EAD",EAD_Table[#Headers],0),FALSE)
*$F$5*(1+$Q22))</f>
        <v>18.032129632802622</v>
      </c>
      <c r="U22" s="98" cm="1">
        <f t="array" ref="U22">($F$6*(1+$Q22)*'User Segmentation'!$I$49)
-Dynamic_Row_Table[[Fixed Cost]:[Fixed Cost]]
-(Dynamic_Row_Table[[Funding Rate]:[Funding Rate]]*Dynamic_Row_Table[[Tenure (in months)]:[Tenure (in months)]]*$F$6*(1+$Q22)/12)
-(IF($Q22&lt;0,'Dynamic CM'!$G$6,'Dynamic CM'!$G$6*(($F$6*(1+$Q22)/$F$6)^'Dynamic CM'!$H$6))
*VLOOKUP($D$6,EAD_Table[#All],MATCH("EAD",EAD_Table[#Headers],0),FALSE)
*$F$6*(1+$Q22))</f>
        <v>2.4583897347976107</v>
      </c>
    </row>
    <row r="23" spans="1:21" x14ac:dyDescent="0.2">
      <c r="A23" s="110">
        <v>2.75</v>
      </c>
      <c r="B23" s="111" cm="1">
        <f t="array" ref="B23">($F$3*(1+$A23)*'User Segmentation'!$I$49)
-Dynamic_Row_Table[[Fixed Cost]:[Fixed Cost]]
-(Dynamic_Row_Table[[Funding Rate]:[Funding Rate]]*Dynamic_Row_Table[[Tenure (in months)]:[Tenure (in months)]]*$F$3*(1+$A23)/12)
-(IF($A23&lt;0,'Dynamic CM'!$G$3,'Dynamic CM'!$G$3*(($F$3*(1+$A23)/$F$3)^'Dynamic CM'!$H$3))
*VLOOKUP($D$3,EAD_Table[#All],MATCH("EAD",EAD_Table[#Headers],0),FALSE)
*$F$3*(1+$A23))</f>
        <v>-58.989858855385776</v>
      </c>
      <c r="C23" s="111" cm="1">
        <f t="array" ref="C23">($F$4*(1+$A23)*'User Segmentation'!$I$49)
-Dynamic_Row_Table[[Fixed Cost]:[Fixed Cost]]
-(Dynamic_Row_Table[[Funding Rate]:[Funding Rate]]*Dynamic_Row_Table[[Tenure (in months)]:[Tenure (in months)]]*$F$4*(1+$A23)/12)
-(IF($A23&lt;0,'Dynamic CM'!$G$4,'Dynamic CM'!$G$4*(($F$4*(1+$A23)/$F$4)^'Dynamic CM'!$H$4))
*VLOOKUP($D$4,EAD_Table[#All],MATCH("EAD",EAD_Table[#Headers],0),FALSE)
*$F$4*(1+$A23))</f>
        <v>6.4886553905605382</v>
      </c>
      <c r="D23" s="111" cm="1">
        <f t="array" ref="D23">($F$5*(1+$A23)*'User Segmentation'!$I$49)
-Dynamic_Row_Table[[Fixed Cost]:[Fixed Cost]]
-(Dynamic_Row_Table[[Funding Rate]:[Funding Rate]]*Dynamic_Row_Table[[Tenure (in months)]:[Tenure (in months)]]*$F$5*(1+$A23)/12)
-(IF($A23&lt;0,'Dynamic CM'!$G$5,'Dynamic CM'!$G$5*(($F$5*(1+$A23)/$F$5)^'Dynamic CM'!$H$5))
*VLOOKUP($D$5,EAD_Table[#All],MATCH("EAD",EAD_Table[#Headers],0),FALSE)
*$F$5*(1+$A23))</f>
        <v>37.133213851442605</v>
      </c>
      <c r="E23" s="111" cm="1">
        <f t="array" ref="E23">($F$6*(1+$A23)*'User Segmentation'!$I$49)
-Dynamic_Row_Table[[Fixed Cost]:[Fixed Cost]]
-(Dynamic_Row_Table[[Funding Rate]:[Funding Rate]]*Dynamic_Row_Table[[Tenure (in months)]:[Tenure (in months)]]*$F$6*(1+$A23)/12)
-(IF($A23&lt;0,'Dynamic CM'!$G$6,'Dynamic CM'!$G$6*(($F$6*(1+$A23)/$F$6)^'Dynamic CM'!$H$6))
*VLOOKUP($D$6,EAD_Table[#All],MATCH("EAD",EAD_Table[#Headers],0),FALSE)
*$F$6*(1+$A23))</f>
        <v>2.8806997387971442</v>
      </c>
      <c r="Q23" s="64">
        <v>0.5</v>
      </c>
      <c r="R23" s="98" cm="1">
        <f t="array" ref="R23">($F$3*(1+$Q23)*'User Segmentation'!$I$49)
-Dynamic_Row_Table[[Fixed Cost]:[Fixed Cost]]
-(Dynamic_Row_Table[[Funding Rate]:[Funding Rate]]*Dynamic_Row_Table[[Tenure (in months)]:[Tenure (in months)]]*$F$3*(1+$Q23)/12)
-(IF($Q23&lt;0,'Dynamic CM'!$G$3,'Dynamic CM'!$G$3*(($F$3*(1+$Q23)/$F$3)^'Dynamic CM'!$H$3))
*VLOOKUP($D$3,EAD_Table[#All],MATCH("EAD",EAD_Table[#Headers],0),FALSE)
*$F$3*(1+$Q23))</f>
        <v>-4.2637890102622329</v>
      </c>
      <c r="S23" s="98" cm="1">
        <f t="array" ref="S23">($F$4*(1+$Q23)*'User Segmentation'!$I$49)
-Dynamic_Row_Table[[Fixed Cost]:[Fixed Cost]]
-(Dynamic_Row_Table[[Funding Rate]:[Funding Rate]]*Dynamic_Row_Table[[Tenure (in months)]:[Tenure (in months)]]*$F$4*(1+$Q23)/12)
-(IF($Q23&lt;0,'Dynamic CM'!$G$4,'Dynamic CM'!$G$4*(($F$4*(1+$Q23)/$F$4)^'Dynamic CM'!$H$4))
*VLOOKUP($D$4,EAD_Table[#All],MATCH("EAD",EAD_Table[#Headers],0),FALSE)
*$F$4*(1+$Q23))</f>
        <v>5.6651480593968335</v>
      </c>
      <c r="T23" s="98" cm="1">
        <f t="array" ref="T23">($F$5*(1+$Q23)*'User Segmentation'!$I$49)
-Dynamic_Row_Table[[Fixed Cost]:[Fixed Cost]]
-(Dynamic_Row_Table[[Funding Rate]:[Funding Rate]]*Dynamic_Row_Table[[Tenure (in months)]:[Tenure (in months)]]*$F$5*(1+$Q23)/12)
-(IF($Q23&lt;0,'Dynamic CM'!$G$5,'Dynamic CM'!$G$5*(($F$5*(1+$Q23)/$F$5)^'Dynamic CM'!$H$5))
*VLOOKUP($D$5,EAD_Table[#All],MATCH("EAD",EAD_Table[#Headers],0),FALSE)
*$F$5*(1+$Q23))</f>
        <v>19.269006837798813</v>
      </c>
      <c r="U23" s="98" cm="1">
        <f t="array" ref="U23">($F$6*(1+$Q23)*'User Segmentation'!$I$49)
-Dynamic_Row_Table[[Fixed Cost]:[Fixed Cost]]
-(Dynamic_Row_Table[[Funding Rate]:[Funding Rate]]*Dynamic_Row_Table[[Tenure (in months)]:[Tenure (in months)]]*$F$6*(1+$Q23)/12)
-(IF($Q23&lt;0,'Dynamic CM'!$G$6,'Dynamic CM'!$G$6*(($F$6*(1+$Q23)/$F$6)^'Dynamic CM'!$H$6))
*VLOOKUP($D$6,EAD_Table[#All],MATCH("EAD",EAD_Table[#Headers],0),FALSE)
*$F$6*(1+$Q23))</f>
        <v>2.7234975730649826</v>
      </c>
    </row>
    <row r="24" spans="1:21" x14ac:dyDescent="0.2">
      <c r="A24" s="112">
        <v>3</v>
      </c>
      <c r="B24" s="111" cm="1">
        <f t="array" ref="B24">($F$3*(1+$A24)*'User Segmentation'!$I$49)
-Dynamic_Row_Table[[Fixed Cost]:[Fixed Cost]]
-(Dynamic_Row_Table[[Funding Rate]:[Funding Rate]]*Dynamic_Row_Table[[Tenure (in months)]:[Tenure (in months)]]*$F$3*(1+$A24)/12)
-(IF($A24&lt;0,'Dynamic CM'!$G$3,'Dynamic CM'!$G$3*(($F$3*(1+$A24)/$F$3)^'Dynamic CM'!$H$3))
*VLOOKUP($D$3,EAD_Table[#All],MATCH("EAD",EAD_Table[#Headers],0),FALSE)
*$F$3*(1+$A24))</f>
        <v>-71.604963788513984</v>
      </c>
      <c r="C24" s="111" cm="1">
        <f t="array" ref="C24">($F$4*(1+$A24)*'User Segmentation'!$I$49)
-Dynamic_Row_Table[[Fixed Cost]:[Fixed Cost]]
-(Dynamic_Row_Table[[Funding Rate]:[Funding Rate]]*Dynamic_Row_Table[[Tenure (in months)]:[Tenure (in months)]]*$F$4*(1+$A24)/12)
-(IF($A24&lt;0,'Dynamic CM'!$G$4,'Dynamic CM'!$G$4*(($F$4*(1+$A24)/$F$4)^'Dynamic CM'!$H$4))
*VLOOKUP($D$4,EAD_Table[#All],MATCH("EAD",EAD_Table[#Headers],0),FALSE)
*$F$4*(1+$A24))</f>
        <v>5.4754612196420602</v>
      </c>
      <c r="D24" s="111" cm="1">
        <f t="array" ref="D24">($F$5*(1+$A24)*'User Segmentation'!$I$49)
-Dynamic_Row_Table[[Fixed Cost]:[Fixed Cost]]
-(Dynamic_Row_Table[[Funding Rate]:[Funding Rate]]*Dynamic_Row_Table[[Tenure (in months)]:[Tenure (in months)]]*$F$5*(1+$A24)/12)
-(IF($A24&lt;0,'Dynamic CM'!$G$5,'Dynamic CM'!$G$5*(($F$5*(1+$A24)/$F$5)^'Dynamic CM'!$H$5))
*VLOOKUP($D$5,EAD_Table[#All],MATCH("EAD",EAD_Table[#Headers],0),FALSE)
*$F$5*(1+$A24))</f>
        <v>37.91140202392414</v>
      </c>
      <c r="E24" s="111" cm="1">
        <f t="array" ref="E24">($F$6*(1+$A24)*'User Segmentation'!$I$49)
-Dynamic_Row_Table[[Fixed Cost]:[Fixed Cost]]
-(Dynamic_Row_Table[[Funding Rate]:[Funding Rate]]*Dynamic_Row_Table[[Tenure (in months)]:[Tenure (in months)]]*$F$6*(1+$A24)/12)
-(IF($A24&lt;0,'Dynamic CM'!$G$6,'Dynamic CM'!$G$6*(($F$6*(1+$A24)/$F$6)^'Dynamic CM'!$H$6))
*VLOOKUP($D$6,EAD_Table[#All],MATCH("EAD",EAD_Table[#Headers],0),FALSE)
*$F$6*(1+$A24))</f>
        <v>2.13340125107562</v>
      </c>
      <c r="Q24" s="64">
        <v>0.6</v>
      </c>
      <c r="R24" s="98" cm="1">
        <f t="array" ref="R24">($F$3*(1+$Q24)*'User Segmentation'!$I$49)
-Dynamic_Row_Table[[Fixed Cost]:[Fixed Cost]]
-(Dynamic_Row_Table[[Funding Rate]:[Funding Rate]]*Dynamic_Row_Table[[Tenure (in months)]:[Tenure (in months)]]*$F$3*(1+$Q24)/12)
-(IF($Q24&lt;0,'Dynamic CM'!$G$3,'Dynamic CM'!$G$3*(($F$3*(1+$Q24)/$F$3)^'Dynamic CM'!$H$3))
*VLOOKUP($D$3,EAD_Table[#All],MATCH("EAD",EAD_Table[#Headers],0),FALSE)
*$F$3*(1+$Q24))</f>
        <v>-4.9768032433535048</v>
      </c>
      <c r="S24" s="98" cm="1">
        <f t="array" ref="S24">($F$4*(1+$Q24)*'User Segmentation'!$I$49)
-Dynamic_Row_Table[[Fixed Cost]:[Fixed Cost]]
-(Dynamic_Row_Table[[Funding Rate]:[Funding Rate]]*Dynamic_Row_Table[[Tenure (in months)]:[Tenure (in months)]]*$F$4*(1+$Q24)/12)
-(IF($Q24&lt;0,'Dynamic CM'!$G$4,'Dynamic CM'!$G$4*(($F$4*(1+$Q24)/$F$4)^'Dynamic CM'!$H$4))
*VLOOKUP($D$4,EAD_Table[#All],MATCH("EAD",EAD_Table[#Headers],0),FALSE)
*$F$4*(1+$Q24))</f>
        <v>6.0464213615209061</v>
      </c>
      <c r="T24" s="98" cm="1">
        <f t="array" ref="T24">($F$5*(1+$Q24)*'User Segmentation'!$I$49)
-Dynamic_Row_Table[[Fixed Cost]:[Fixed Cost]]
-(Dynamic_Row_Table[[Funding Rate]:[Funding Rate]]*Dynamic_Row_Table[[Tenure (in months)]:[Tenure (in months)]]*$F$5*(1+$Q24)/12)
-(IF($Q24&lt;0,'Dynamic CM'!$G$5,'Dynamic CM'!$G$5*(($F$5*(1+$Q24)/$F$5)^'Dynamic CM'!$H$5))
*VLOOKUP($D$5,EAD_Table[#All],MATCH("EAD",EAD_Table[#Headers],0),FALSE)
*$F$5*(1+$Q24))</f>
        <v>20.46915080202978</v>
      </c>
      <c r="U24" s="98" cm="1">
        <f t="array" ref="U24">($F$6*(1+$Q24)*'User Segmentation'!$I$49)
-Dynamic_Row_Table[[Fixed Cost]:[Fixed Cost]]
-(Dynamic_Row_Table[[Funding Rate]:[Funding Rate]]*Dynamic_Row_Table[[Tenure (in months)]:[Tenure (in months)]]*$F$6*(1+$Q24)/12)
-(IF($Q24&lt;0,'Dynamic CM'!$G$6,'Dynamic CM'!$G$6*(($F$6*(1+$Q24)/$F$6)^'Dynamic CM'!$H$6))
*VLOOKUP($D$6,EAD_Table[#All],MATCH("EAD",EAD_Table[#Headers],0),FALSE)
*$F$6*(1+$Q24))</f>
        <v>2.969096775014501</v>
      </c>
    </row>
    <row r="25" spans="1:21" x14ac:dyDescent="0.2">
      <c r="A25" s="110">
        <v>3.25</v>
      </c>
      <c r="B25" s="111" cm="1">
        <f t="array" ref="B25">($F$3*(1+$A25)*'User Segmentation'!$I$49)
-Dynamic_Row_Table[[Fixed Cost]:[Fixed Cost]]
-(Dynamic_Row_Table[[Funding Rate]:[Funding Rate]]*Dynamic_Row_Table[[Tenure (in months)]:[Tenure (in months)]]*$F$3*(1+$A25)/12)
-(IF($A25&lt;0,'Dynamic CM'!$G$3,'Dynamic CM'!$G$3*(($F$3*(1+$A25)/$F$3)^'Dynamic CM'!$H$3))
*VLOOKUP($D$3,EAD_Table[#All],MATCH("EAD",EAD_Table[#Headers],0),FALSE)
*$F$3*(1+$A25))</f>
        <v>-85.870417063549596</v>
      </c>
      <c r="C25" s="111" cm="1">
        <f t="array" ref="C25">($F$4*(1+$A25)*'User Segmentation'!$I$49)
-Dynamic_Row_Table[[Fixed Cost]:[Fixed Cost]]
-(Dynamic_Row_Table[[Funding Rate]:[Funding Rate]]*Dynamic_Row_Table[[Tenure (in months)]:[Tenure (in months)]]*$F$4*(1+$A25)/12)
-(IF($A25&lt;0,'Dynamic CM'!$G$4,'Dynamic CM'!$G$4*(($F$4*(1+$A25)/$F$4)^'Dynamic CM'!$H$4))
*VLOOKUP($D$4,EAD_Table[#All],MATCH("EAD",EAD_Table[#Headers],0),FALSE)
*$F$4*(1+$A25))</f>
        <v>4.2212014034127634</v>
      </c>
      <c r="D25" s="111" cm="1">
        <f t="array" ref="D25">($F$5*(1+$A25)*'User Segmentation'!$I$49)
-Dynamic_Row_Table[[Fixed Cost]:[Fixed Cost]]
-(Dynamic_Row_Table[[Funding Rate]:[Funding Rate]]*Dynamic_Row_Table[[Tenure (in months)]:[Tenure (in months)]]*$F$5*(1+$A25)/12)
-(IF($A25&lt;0,'Dynamic CM'!$G$5,'Dynamic CM'!$G$5*(($F$5*(1+$A25)/$F$5)^'Dynamic CM'!$H$5))
*VLOOKUP($D$5,EAD_Table[#All],MATCH("EAD",EAD_Table[#Headers],0),FALSE)
*$F$5*(1+$A25))</f>
        <v>38.443448987369464</v>
      </c>
      <c r="E25" s="111" cm="1">
        <f t="array" ref="E25">($F$6*(1+$A25)*'User Segmentation'!$I$49)
-Dynamic_Row_Table[[Fixed Cost]:[Fixed Cost]]
-(Dynamic_Row_Table[[Funding Rate]:[Funding Rate]]*Dynamic_Row_Table[[Tenure (in months)]:[Tenure (in months)]]*$F$6*(1+$A25)/12)
-(IF($A25&lt;0,'Dynamic CM'!$G$6,'Dynamic CM'!$G$6*(($F$6*(1+$A25)/$F$6)^'Dynamic CM'!$H$6))
*VLOOKUP($D$6,EAD_Table[#All],MATCH("EAD",EAD_Table[#Headers],0),FALSE)
*$F$6*(1+$A25))</f>
        <v>1.2192162780488687</v>
      </c>
      <c r="Q25" s="64">
        <v>0.7</v>
      </c>
      <c r="R25" s="98" cm="1">
        <f t="array" ref="R25">($F$3*(1+$Q25)*'User Segmentation'!$I$49)
-Dynamic_Row_Table[[Fixed Cost]:[Fixed Cost]]
-(Dynamic_Row_Table[[Funding Rate]:[Funding Rate]]*Dynamic_Row_Table[[Tenure (in months)]:[Tenure (in months)]]*$F$3*(1+$Q25)/12)
-(IF($Q25&lt;0,'Dynamic CM'!$G$3,'Dynamic CM'!$G$3*(($F$3*(1+$Q25)/$F$3)^'Dynamic CM'!$H$3))
*VLOOKUP($D$3,EAD_Table[#All],MATCH("EAD",EAD_Table[#Headers],0),FALSE)
*$F$3*(1+$Q25))</f>
        <v>-5.8066406489910003</v>
      </c>
      <c r="S25" s="98" cm="1">
        <f t="array" ref="S25">($F$4*(1+$Q25)*'User Segmentation'!$I$49)
-Dynamic_Row_Table[[Fixed Cost]:[Fixed Cost]]
-(Dynamic_Row_Table[[Funding Rate]:[Funding Rate]]*Dynamic_Row_Table[[Tenure (in months)]:[Tenure (in months)]]*$F$4*(1+$Q25)/12)
-(IF($Q25&lt;0,'Dynamic CM'!$G$4,'Dynamic CM'!$G$4*(($F$4*(1+$Q25)/$F$4)^'Dynamic CM'!$H$4))
*VLOOKUP($D$4,EAD_Table[#All],MATCH("EAD",EAD_Table[#Headers],0),FALSE)
*$F$4*(1+$Q25))</f>
        <v>6.3989263435317536</v>
      </c>
      <c r="T25" s="98" cm="1">
        <f t="array" ref="T25">($F$5*(1+$Q25)*'User Segmentation'!$I$49)
-Dynamic_Row_Table[[Fixed Cost]:[Fixed Cost]]
-(Dynamic_Row_Table[[Funding Rate]:[Funding Rate]]*Dynamic_Row_Table[[Tenure (in months)]:[Tenure (in months)]]*$F$5*(1+$Q25)/12)
-(IF($Q25&lt;0,'Dynamic CM'!$G$5,'Dynamic CM'!$G$5*(($F$5*(1+$Q25)/$F$5)^'Dynamic CM'!$H$5))
*VLOOKUP($D$5,EAD_Table[#All],MATCH("EAD",EAD_Table[#Headers],0),FALSE)
*$F$5*(1+$Q25))</f>
        <v>21.632392709583407</v>
      </c>
      <c r="U25" s="98" cm="1">
        <f t="array" ref="U25">($F$6*(1+$Q25)*'User Segmentation'!$I$49)
-Dynamic_Row_Table[[Fixed Cost]:[Fixed Cost]]
-(Dynamic_Row_Table[[Funding Rate]:[Funding Rate]]*Dynamic_Row_Table[[Tenure (in months)]:[Tenure (in months)]]*$F$6*(1+$Q25)/12)
-(IF($Q25&lt;0,'Dynamic CM'!$G$6,'Dynamic CM'!$G$6*(($F$6*(1+$Q25)/$F$6)^'Dynamic CM'!$H$6))
*VLOOKUP($D$6,EAD_Table[#All],MATCH("EAD",EAD_Table[#Headers],0),FALSE)
*$F$6*(1+$Q25))</f>
        <v>3.1947800581044792</v>
      </c>
    </row>
    <row r="26" spans="1:21" x14ac:dyDescent="0.2">
      <c r="A26" s="112">
        <v>3.5</v>
      </c>
      <c r="B26" s="111" cm="1">
        <f t="array" ref="B26">($F$3*(1+$A26)*'User Segmentation'!$I$49)
-Dynamic_Row_Table[[Fixed Cost]:[Fixed Cost]]
-(Dynamic_Row_Table[[Funding Rate]:[Funding Rate]]*Dynamic_Row_Table[[Tenure (in months)]:[Tenure (in months)]]*$F$3*(1+$A26)/12)
-(IF($A26&lt;0,'Dynamic CM'!$G$3,'Dynamic CM'!$G$3*(($F$3*(1+$A26)/$F$3)^'Dynamic CM'!$H$3))
*VLOOKUP($D$3,EAD_Table[#All],MATCH("EAD",EAD_Table[#Headers],0),FALSE)
*$F$3*(1+$A26))</f>
        <v>-101.87771715051711</v>
      </c>
      <c r="C26" s="111" cm="1">
        <f t="array" ref="C26">($F$4*(1+$A26)*'User Segmentation'!$I$49)
-Dynamic_Row_Table[[Fixed Cost]:[Fixed Cost]]
-(Dynamic_Row_Table[[Funding Rate]:[Funding Rate]]*Dynamic_Row_Table[[Tenure (in months)]:[Tenure (in months)]]*$F$4*(1+$A26)/12)
-(IF($A26&lt;0,'Dynamic CM'!$G$4,'Dynamic CM'!$G$4*(($F$4*(1+$A26)/$F$4)^'Dynamic CM'!$H$4))
*VLOOKUP($D$4,EAD_Table[#All],MATCH("EAD",EAD_Table[#Headers],0),FALSE)
*$F$4*(1+$A26))</f>
        <v>2.721151649251599</v>
      </c>
      <c r="D26" s="111" cm="1">
        <f t="array" ref="D26">($F$5*(1+$A26)*'User Segmentation'!$I$49)
-Dynamic_Row_Table[[Fixed Cost]:[Fixed Cost]]
-(Dynamic_Row_Table[[Funding Rate]:[Funding Rate]]*Dynamic_Row_Table[[Tenure (in months)]:[Tenure (in months)]]*$F$5*(1+$A26)/12)
-(IF($A26&lt;0,'Dynamic CM'!$G$5,'Dynamic CM'!$G$5*(($F$5*(1+$A26)/$F$5)^'Dynamic CM'!$H$5))
*VLOOKUP($D$5,EAD_Table[#All],MATCH("EAD",EAD_Table[#Headers],0),FALSE)
*$F$5*(1+$A26))</f>
        <v>38.728292373940825</v>
      </c>
      <c r="E26" s="111" cm="1">
        <f t="array" ref="E26">($F$6*(1+$A26)*'User Segmentation'!$I$49)
-Dynamic_Row_Table[[Fixed Cost]:[Fixed Cost]]
-(Dynamic_Row_Table[[Funding Rate]:[Funding Rate]]*Dynamic_Row_Table[[Tenure (in months)]:[Tenure (in months)]]*$F$6*(1+$A26)/12)
-(IF($A26&lt;0,'Dynamic CM'!$G$6,'Dynamic CM'!$G$6*(($F$6*(1+$A26)/$F$6)^'Dynamic CM'!$H$6))
*VLOOKUP($D$6,EAD_Table[#All],MATCH("EAD",EAD_Table[#Headers],0),FALSE)
*$F$6*(1+$A26))</f>
        <v>0.13487425584179036</v>
      </c>
      <c r="Q26" s="64">
        <v>0.8</v>
      </c>
      <c r="R26" s="98" cm="1">
        <f t="array" ref="R26">($F$3*(1+$Q26)*'User Segmentation'!$I$49)
-Dynamic_Row_Table[[Fixed Cost]:[Fixed Cost]]
-(Dynamic_Row_Table[[Funding Rate]:[Funding Rate]]*Dynamic_Row_Table[[Tenure (in months)]:[Tenure (in months)]]*$F$3*(1+$Q26)/12)
-(IF($Q26&lt;0,'Dynamic CM'!$G$3,'Dynamic CM'!$G$3*(($F$3*(1+$Q26)/$F$3)^'Dynamic CM'!$H$3))
*VLOOKUP($D$3,EAD_Table[#All],MATCH("EAD",EAD_Table[#Headers],0),FALSE)
*$F$3*(1+$Q26))</f>
        <v>-6.7597781274023516</v>
      </c>
      <c r="S26" s="98" cm="1">
        <f t="array" ref="S26">($F$4*(1+$Q26)*'User Segmentation'!$I$49)
-Dynamic_Row_Table[[Fixed Cost]:[Fixed Cost]]
-(Dynamic_Row_Table[[Funding Rate]:[Funding Rate]]*Dynamic_Row_Table[[Tenure (in months)]:[Tenure (in months)]]*$F$4*(1+$Q26)/12)
-(IF($Q26&lt;0,'Dynamic CM'!$G$4,'Dynamic CM'!$G$4*(($F$4*(1+$Q26)/$F$4)^'Dynamic CM'!$H$4))
*VLOOKUP($D$4,EAD_Table[#All],MATCH("EAD",EAD_Table[#Headers],0),FALSE)
*$F$4*(1+$Q26))</f>
        <v>6.7220992172452121</v>
      </c>
      <c r="T26" s="98" cm="1">
        <f t="array" ref="T26">($F$5*(1+$Q26)*'User Segmentation'!$I$49)
-Dynamic_Row_Table[[Fixed Cost]:[Fixed Cost]]
-(Dynamic_Row_Table[[Funding Rate]:[Funding Rate]]*Dynamic_Row_Table[[Tenure (in months)]:[Tenure (in months)]]*$F$5*(1+$Q26)/12)
-(IF($Q26&lt;0,'Dynamic CM'!$G$5,'Dynamic CM'!$G$5*(($F$5*(1+$Q26)/$F$5)^'Dynamic CM'!$H$5))
*VLOOKUP($D$5,EAD_Table[#All],MATCH("EAD",EAD_Table[#Headers],0),FALSE)
*$F$5*(1+$Q26))</f>
        <v>22.758573287827865</v>
      </c>
      <c r="U26" s="98" cm="1">
        <f t="array" ref="U26">($F$6*(1+$Q26)*'User Segmentation'!$I$49)
-Dynamic_Row_Table[[Fixed Cost]:[Fixed Cost]]
-(Dynamic_Row_Table[[Funding Rate]:[Funding Rate]]*Dynamic_Row_Table[[Tenure (in months)]:[Tenure (in months)]]*$F$6*(1+$Q26)/12)
-(IF($Q26&lt;0,'Dynamic CM'!$G$6,'Dynamic CM'!$G$6*(($F$6*(1+$Q26)/$F$6)^'Dynamic CM'!$H$6))
*VLOOKUP($D$6,EAD_Table[#All],MATCH("EAD",EAD_Table[#Headers],0),FALSE)
*$F$6*(1+$Q26))</f>
        <v>3.4001571194015061</v>
      </c>
    </row>
    <row r="27" spans="1:21" x14ac:dyDescent="0.2">
      <c r="A27" s="110">
        <v>3.75</v>
      </c>
      <c r="B27" s="111" cm="1">
        <f t="array" ref="B27">($F$3*(1+$A27)*'User Segmentation'!$I$49)
-Dynamic_Row_Table[[Fixed Cost]:[Fixed Cost]]
-(Dynamic_Row_Table[[Funding Rate]:[Funding Rate]]*Dynamic_Row_Table[[Tenure (in months)]:[Tenure (in months)]]*$F$3*(1+$A27)/12)
-(IF($A27&lt;0,'Dynamic CM'!$G$3,'Dynamic CM'!$G$3*(($F$3*(1+$A27)/$F$3)^'Dynamic CM'!$H$3))
*VLOOKUP($D$3,EAD_Table[#All],MATCH("EAD",EAD_Table[#Headers],0),FALSE)
*$F$3*(1+$A27))</f>
        <v>-119.71777164497109</v>
      </c>
      <c r="C27" s="111" cm="1">
        <f t="array" ref="C27">($F$4*(1+$A27)*'User Segmentation'!$I$49)
-Dynamic_Row_Table[[Fixed Cost]:[Fixed Cost]]
-(Dynamic_Row_Table[[Funding Rate]:[Funding Rate]]*Dynamic_Row_Table[[Tenure (in months)]:[Tenure (in months)]]*$F$4*(1+$A27)/12)
-(IF($A27&lt;0,'Dynamic CM'!$G$4,'Dynamic CM'!$G$4*(($F$4*(1+$A27)/$F$4)^'Dynamic CM'!$H$4))
*VLOOKUP($D$4,EAD_Table[#All],MATCH("EAD",EAD_Table[#Headers],0),FALSE)
*$F$4*(1+$A27))</f>
        <v>0.9707732242416256</v>
      </c>
      <c r="D27" s="111" cm="1">
        <f t="array" ref="D27">($F$5*(1+$A27)*'User Segmentation'!$I$49)
-Dynamic_Row_Table[[Fixed Cost]:[Fixed Cost]]
-(Dynamic_Row_Table[[Funding Rate]:[Funding Rate]]*Dynamic_Row_Table[[Tenure (in months)]:[Tenure (in months)]]*$F$5*(1+$A27)/12)
-(IF($A27&lt;0,'Dynamic CM'!$G$5,'Dynamic CM'!$G$5*(($F$5*(1+$A27)/$F$5)^'Dynamic CM'!$H$5))
*VLOOKUP($D$5,EAD_Table[#All],MATCH("EAD",EAD_Table[#Headers],0),FALSE)
*$F$5*(1+$A27))</f>
        <v>38.764926421370546</v>
      </c>
      <c r="E27" s="111" cm="1">
        <f t="array" ref="E27">($F$6*(1+$A27)*'User Segmentation'!$I$49)
-Dynamic_Row_Table[[Fixed Cost]:[Fixed Cost]]
-(Dynamic_Row_Table[[Funding Rate]:[Funding Rate]]*Dynamic_Row_Table[[Tenure (in months)]:[Tenure (in months)]]*$F$6*(1+$A27)/12)
-(IF($A27&lt;0,'Dynamic CM'!$G$6,'Dynamic CM'!$G$6*(($F$6*(1+$A27)/$F$6)^'Dynamic CM'!$H$6))
*VLOOKUP($D$6,EAD_Table[#All],MATCH("EAD",EAD_Table[#Headers],0),FALSE)
*$F$6*(1+$A27))</f>
        <v>-1.1227669189476543</v>
      </c>
      <c r="Q27" s="64">
        <v>0.9</v>
      </c>
      <c r="R27" s="98" cm="1">
        <f t="array" ref="R27">($F$3*(1+$Q27)*'User Segmentation'!$I$49)
-Dynamic_Row_Table[[Fixed Cost]:[Fixed Cost]]
-(Dynamic_Row_Table[[Funding Rate]:[Funding Rate]]*Dynamic_Row_Table[[Tenure (in months)]:[Tenure (in months)]]*$F$3*(1+$Q27)/12)
-(IF($Q27&lt;0,'Dynamic CM'!$G$3,'Dynamic CM'!$G$3*(($F$3*(1+$Q27)/$F$3)^'Dynamic CM'!$H$3))
*VLOOKUP($D$3,EAD_Table[#All],MATCH("EAD",EAD_Table[#Headers],0),FALSE)
*$F$3*(1+$Q27))</f>
        <v>-7.8426507525968274</v>
      </c>
      <c r="S27" s="98" cm="1">
        <f t="array" ref="S27">($F$4*(1+$Q27)*'User Segmentation'!$I$49)
-Dynamic_Row_Table[[Fixed Cost]:[Fixed Cost]]
-(Dynamic_Row_Table[[Funding Rate]:[Funding Rate]]*Dynamic_Row_Table[[Tenure (in months)]:[Tenure (in months)]]*$F$4*(1+$Q27)/12)
-(IF($Q27&lt;0,'Dynamic CM'!$G$4,'Dynamic CM'!$G$4*(($F$4*(1+$Q27)/$F$4)^'Dynamic CM'!$H$4))
*VLOOKUP($D$4,EAD_Table[#All],MATCH("EAD",EAD_Table[#Headers],0),FALSE)
*$F$4*(1+$Q27))</f>
        <v>7.0153983388227736</v>
      </c>
      <c r="T27" s="98" cm="1">
        <f t="array" ref="T27">($F$5*(1+$Q27)*'User Segmentation'!$I$49)
-Dynamic_Row_Table[[Fixed Cost]:[Fixed Cost]]
-(Dynamic_Row_Table[[Funding Rate]:[Funding Rate]]*Dynamic_Row_Table[[Tenure (in months)]:[Tenure (in months)]]*$F$5*(1+$Q27)/12)
-(IF($Q27&lt;0,'Dynamic CM'!$G$5,'Dynamic CM'!$G$5*(($F$5*(1+$Q27)/$F$5)^'Dynamic CM'!$H$5))
*VLOOKUP($D$5,EAD_Table[#All],MATCH("EAD",EAD_Table[#Headers],0),FALSE)
*$F$5*(1+$Q27))</f>
        <v>23.847541750568737</v>
      </c>
      <c r="U27" s="98" cm="1">
        <f t="array" ref="U27">($F$6*(1+$Q27)*'User Segmentation'!$I$49)
-Dynamic_Row_Table[[Fixed Cost]:[Fixed Cost]]
-(Dynamic_Row_Table[[Funding Rate]:[Funding Rate]]*Dynamic_Row_Table[[Tenure (in months)]:[Tenure (in months)]]*$F$6*(1+$Q27)/12)
-(IF($Q27&lt;0,'Dynamic CM'!$G$6,'Dynamic CM'!$G$6*(($F$6*(1+$Q27)/$F$6)^'Dynamic CM'!$H$6))
*VLOOKUP($D$6,EAD_Table[#All],MATCH("EAD",EAD_Table[#Headers],0),FALSE)
*$F$6*(1+$Q27))</f>
        <v>3.5848529862030989</v>
      </c>
    </row>
    <row r="28" spans="1:21" x14ac:dyDescent="0.2">
      <c r="A28" s="112">
        <v>4</v>
      </c>
      <c r="B28" s="111" cm="1">
        <f t="array" ref="B28">($F$3*(1+$A28)*'User Segmentation'!$I$49)
-Dynamic_Row_Table[[Fixed Cost]:[Fixed Cost]]
-(Dynamic_Row_Table[[Funding Rate]:[Funding Rate]]*Dynamic_Row_Table[[Tenure (in months)]:[Tenure (in months)]]*$F$3*(1+$A28)/12)
-(IF($A28&lt;0,'Dynamic CM'!$G$3,'Dynamic CM'!$G$3*(($F$3*(1+$A28)/$F$3)^'Dynamic CM'!$H$3))
*VLOOKUP($D$3,EAD_Table[#All],MATCH("EAD",EAD_Table[#Headers],0),FALSE)
*$F$3*(1+$A28))</f>
        <v>-139.48093367334951</v>
      </c>
      <c r="C28" s="111" cm="1">
        <f t="array" ref="C28">($F$4*(1+$A28)*'User Segmentation'!$I$49)
-Dynamic_Row_Table[[Fixed Cost]:[Fixed Cost]]
-(Dynamic_Row_Table[[Funding Rate]:[Funding Rate]]*Dynamic_Row_Table[[Tenure (in months)]:[Tenure (in months)]]*$F$4*(1+$A28)/12)
-(IF($A28&lt;0,'Dynamic CM'!$G$4,'Dynamic CM'!$G$4*(($F$4*(1+$A28)/$F$4)^'Dynamic CM'!$H$4))
*VLOOKUP($D$4,EAD_Table[#All],MATCH("EAD",EAD_Table[#Headers],0),FALSE)
*$F$4*(1+$A28))</f>
        <v>-1.0343040821871341</v>
      </c>
      <c r="D28" s="111" cm="1">
        <f t="array" ref="D28">($F$5*(1+$A28)*'User Segmentation'!$I$49)
-Dynamic_Row_Table[[Fixed Cost]:[Fixed Cost]]
-(Dynamic_Row_Table[[Funding Rate]:[Funding Rate]]*Dynamic_Row_Table[[Tenure (in months)]:[Tenure (in months)]]*$F$5*(1+$A28)/12)
-(IF($A28&lt;0,'Dynamic CM'!$G$5,'Dynamic CM'!$G$5*(($F$5*(1+$A28)/$F$5)^'Dynamic CM'!$H$5))
*VLOOKUP($D$5,EAD_Table[#All],MATCH("EAD",EAD_Table[#Headers],0),FALSE)
*$F$5*(1+$A28))</f>
        <v>38.552396045525498</v>
      </c>
      <c r="E28" s="111" cm="1">
        <f t="array" ref="E28">($F$6*(1+$A28)*'User Segmentation'!$I$49)
-Dynamic_Row_Table[[Fixed Cost]:[Fixed Cost]]
-(Dynamic_Row_Table[[Funding Rate]:[Funding Rate]]*Dynamic_Row_Table[[Tenure (in months)]:[Tenure (in months)]]*$F$6*(1+$A28)/12)
-(IF($A28&lt;0,'Dynamic CM'!$G$6,'Dynamic CM'!$G$6*(($F$6*(1+$A28)/$F$6)^'Dynamic CM'!$H$6))
*VLOOKUP($D$6,EAD_Table[#All],MATCH("EAD",EAD_Table[#Headers],0),FALSE)
*$F$6*(1+$A28))</f>
        <v>-2.5567326839803499</v>
      </c>
      <c r="Q28" s="64">
        <v>1</v>
      </c>
      <c r="R28" s="98" cm="1">
        <f t="array" ref="R28">($F$3*(1+$Q28)*'User Segmentation'!$I$49)
-Dynamic_Row_Table[[Fixed Cost]:[Fixed Cost]]
-(Dynamic_Row_Table[[Funding Rate]:[Funding Rate]]*Dynamic_Row_Table[[Tenure (in months)]:[Tenure (in months)]]*$F$3*(1+$Q28)/12)
-(IF($Q28&lt;0,'Dynamic CM'!$G$3,'Dynamic CM'!$G$3*(($F$3*(1+$Q28)/$F$3)^'Dynamic CM'!$H$3))
*VLOOKUP($D$3,EAD_Table[#All],MATCH("EAD",EAD_Table[#Headers],0),FALSE)
*$F$3*(1+$Q28))</f>
        <v>-9.0616543493902668</v>
      </c>
      <c r="S28" s="98" cm="1">
        <f t="array" ref="S28">($F$4*(1+$Q28)*'User Segmentation'!$I$49)
-Dynamic_Row_Table[[Fixed Cost]:[Fixed Cost]]
-(Dynamic_Row_Table[[Funding Rate]:[Funding Rate]]*Dynamic_Row_Table[[Tenure (in months)]:[Tenure (in months)]]*$F$4*(1+$Q28)/12)
-(IF($Q28&lt;0,'Dynamic CM'!$G$4,'Dynamic CM'!$G$4*(($F$4*(1+$Q28)/$F$4)^'Dynamic CM'!$H$4))
*VLOOKUP($D$4,EAD_Table[#All],MATCH("EAD",EAD_Table[#Headers],0),FALSE)
*$F$4*(1+$Q28))</f>
        <v>7.2783021755654058</v>
      </c>
      <c r="T28" s="98" cm="1">
        <f t="array" ref="T28">($F$5*(1+$Q28)*'User Segmentation'!$I$49)
-Dynamic_Row_Table[[Fixed Cost]:[Fixed Cost]]
-(Dynamic_Row_Table[[Funding Rate]:[Funding Rate]]*Dynamic_Row_Table[[Tenure (in months)]:[Tenure (in months)]]*$F$5*(1+$Q28)/12)
-(IF($Q28&lt;0,'Dynamic CM'!$G$5,'Dynamic CM'!$G$5*(($F$5*(1+$Q28)/$F$5)^'Dynamic CM'!$H$5))
*VLOOKUP($D$5,EAD_Table[#All],MATCH("EAD",EAD_Table[#Headers],0),FALSE)
*$F$5*(1+$Q28))</f>
        <v>24.899154909394152</v>
      </c>
      <c r="U28" s="98" cm="1">
        <f t="array" ref="U28">($F$6*(1+$Q28)*'User Segmentation'!$I$49)
-Dynamic_Row_Table[[Fixed Cost]:[Fixed Cost]]
-(Dynamic_Row_Table[[Funding Rate]:[Funding Rate]]*Dynamic_Row_Table[[Tenure (in months)]:[Tenure (in months)]]*$F$6*(1+$Q28)/12)
-(IF($Q28&lt;0,'Dynamic CM'!$G$6,'Dynamic CM'!$G$6*(($F$6*(1+$Q28)/$F$6)^'Dynamic CM'!$H$6))
*VLOOKUP($D$6,EAD_Table[#All],MATCH("EAD",EAD_Table[#Headers],0),FALSE)
*$F$6*(1+$Q28))</f>
        <v>3.7485066084765992</v>
      </c>
    </row>
    <row r="29" spans="1:21" x14ac:dyDescent="0.2">
      <c r="A29" s="110">
        <v>4.25</v>
      </c>
      <c r="B29" s="111" cm="1">
        <f t="array" ref="B29">($F$3*(1+$A29)*'User Segmentation'!$I$49)
-Dynamic_Row_Table[[Fixed Cost]:[Fixed Cost]]
-(Dynamic_Row_Table[[Funding Rate]:[Funding Rate]]*Dynamic_Row_Table[[Tenure (in months)]:[Tenure (in months)]]*$F$3*(1+$A29)/12)
-(IF($A29&lt;0,'Dynamic CM'!$G$3,'Dynamic CM'!$G$3*(($F$3*(1+$A29)/$F$3)^'Dynamic CM'!$H$3))
*VLOOKUP($D$3,EAD_Table[#All],MATCH("EAD",EAD_Table[#Headers],0),FALSE)
*$F$3*(1+$A29))</f>
        <v>-161.25703425513765</v>
      </c>
      <c r="C29" s="111" cm="1">
        <f t="array" ref="C29">($F$4*(1+$A29)*'User Segmentation'!$I$49)
-Dynamic_Row_Table[[Fixed Cost]:[Fixed Cost]]
-(Dynamic_Row_Table[[Funding Rate]:[Funding Rate]]*Dynamic_Row_Table[[Tenure (in months)]:[Tenure (in months)]]*$F$4*(1+$A29)/12)
-(IF($A29&lt;0,'Dynamic CM'!$G$4,'Dynamic CM'!$G$4*(($F$4*(1+$A29)/$F$4)^'Dynamic CM'!$H$4))
*VLOOKUP($D$4,EAD_Table[#All],MATCH("EAD",EAD_Table[#Headers],0),FALSE)
*$F$4*(1+$A29))</f>
        <v>-3.2982966277325119</v>
      </c>
      <c r="D29" s="111" cm="1">
        <f t="array" ref="D29">($F$5*(1+$A29)*'User Segmentation'!$I$49)
-Dynamic_Row_Table[[Fixed Cost]:[Fixed Cost]]
-(Dynamic_Row_Table[[Funding Rate]:[Funding Rate]]*Dynamic_Row_Table[[Tenure (in months)]:[Tenure (in months)]]*$F$5*(1+$A29)/12)
-(IF($A29&lt;0,'Dynamic CM'!$G$5,'Dynamic CM'!$G$5*(($F$5*(1+$A29)/$F$5)^'Dynamic CM'!$H$5))
*VLOOKUP($D$5,EAD_Table[#All],MATCH("EAD",EAD_Table[#Headers],0),FALSE)
*$F$5*(1+$A29))</f>
        <v>38.089791807509506</v>
      </c>
      <c r="E29" s="111" cm="1">
        <f t="array" ref="E29">($F$6*(1+$A29)*'User Segmentation'!$I$49)
-Dynamic_Row_Table[[Fixed Cost]:[Fixed Cost]]
-(Dynamic_Row_Table[[Funding Rate]:[Funding Rate]]*Dynamic_Row_Table[[Tenure (in months)]:[Tenure (in months)]]*$F$6*(1+$A29)/12)
-(IF($A29&lt;0,'Dynamic CM'!$G$6,'Dynamic CM'!$G$6*(($F$6*(1+$A29)/$F$6)^'Dynamic CM'!$H$6))
*VLOOKUP($D$6,EAD_Table[#All],MATCH("EAD",EAD_Table[#Headers],0),FALSE)
*$F$6*(1+$A29))</f>
        <v>-4.1699419666549957</v>
      </c>
      <c r="Q29" s="64">
        <v>1.1000000000000001</v>
      </c>
      <c r="R29" s="98" cm="1">
        <f t="array" ref="R29">($F$3*(1+$Q29)*'User Segmentation'!$I$49)
-Dynamic_Row_Table[[Fixed Cost]:[Fixed Cost]]
-(Dynamic_Row_Table[[Funding Rate]:[Funding Rate]]*Dynamic_Row_Table[[Tenure (in months)]:[Tenure (in months)]]*$F$3*(1+$Q29)/12)
-(IF($Q29&lt;0,'Dynamic CM'!$G$3,'Dynamic CM'!$G$3*(($F$3*(1+$Q29)/$F$3)^'Dynamic CM'!$H$3))
*VLOOKUP($D$3,EAD_Table[#All],MATCH("EAD",EAD_Table[#Headers],0),FALSE)
*$F$3*(1+$Q29))</f>
        <v>-10.423147784224888</v>
      </c>
      <c r="S29" s="98" cm="1">
        <f t="array" ref="S29">($F$4*(1+$Q29)*'User Segmentation'!$I$49)
-Dynamic_Row_Table[[Fixed Cost]:[Fixed Cost]]
-(Dynamic_Row_Table[[Funding Rate]:[Funding Rate]]*Dynamic_Row_Table[[Tenure (in months)]:[Tenure (in months)]]*$F$4*(1+$Q29)/12)
-(IF($Q29&lt;0,'Dynamic CM'!$G$4,'Dynamic CM'!$G$4*(($F$4*(1+$Q29)/$F$4)^'Dynamic CM'!$H$4))
*VLOOKUP($D$4,EAD_Table[#All],MATCH("EAD",EAD_Table[#Headers],0),FALSE)
*$F$4*(1+$Q29))</f>
        <v>7.5103075552861114</v>
      </c>
      <c r="T29" s="98" cm="1">
        <f t="array" ref="T29">($F$5*(1+$Q29)*'User Segmentation'!$I$49)
-Dynamic_Row_Table[[Fixed Cost]:[Fixed Cost]]
-(Dynamic_Row_Table[[Funding Rate]:[Funding Rate]]*Dynamic_Row_Table[[Tenure (in months)]:[Tenure (in months)]]*$F$5*(1+$Q29)/12)
-(IF($Q29&lt;0,'Dynamic CM'!$G$5,'Dynamic CM'!$G$5*(($F$5*(1+$Q29)/$F$5)^'Dynamic CM'!$H$5))
*VLOOKUP($D$5,EAD_Table[#All],MATCH("EAD",EAD_Table[#Headers],0),FALSE)
*$F$5*(1+$Q29))</f>
        <v>25.913276419131272</v>
      </c>
      <c r="U29" s="98" cm="1">
        <f t="array" ref="U29">($F$6*(1+$Q29)*'User Segmentation'!$I$49)
-Dynamic_Row_Table[[Fixed Cost]:[Fixed Cost]]
-(Dynamic_Row_Table[[Funding Rate]:[Funding Rate]]*Dynamic_Row_Table[[Tenure (in months)]:[Tenure (in months)]]*$F$6*(1+$Q29)/12)
-(IF($Q29&lt;0,'Dynamic CM'!$G$6,'Dynamic CM'!$G$6*(($F$6*(1+$Q29)/$F$6)^'Dynamic CM'!$H$6))
*VLOOKUP($D$6,EAD_Table[#All],MATCH("EAD",EAD_Table[#Headers],0),FALSE)
*$F$6*(1+$Q29))</f>
        <v>3.8907696469234572</v>
      </c>
    </row>
    <row r="30" spans="1:21" x14ac:dyDescent="0.2">
      <c r="A30" s="112">
        <v>4.5</v>
      </c>
      <c r="B30" s="111" cm="1">
        <f t="array" ref="B30">($F$3*(1+$A30)*'User Segmentation'!$I$49)
-Dynamic_Row_Table[[Fixed Cost]:[Fixed Cost]]
-(Dynamic_Row_Table[[Funding Rate]:[Funding Rate]]*Dynamic_Row_Table[[Tenure (in months)]:[Tenure (in months)]]*$F$3*(1+$A30)/12)
-(IF($A30&lt;0,'Dynamic CM'!$G$3,'Dynamic CM'!$G$3*(($F$3*(1+$A30)/$F$3)^'Dynamic CM'!$H$3))
*VLOOKUP($D$3,EAD_Table[#All],MATCH("EAD",EAD_Table[#Headers],0),FALSE)
*$F$3*(1+$A30))</f>
        <v>-185.13541125111192</v>
      </c>
      <c r="C30" s="111" cm="1">
        <f t="array" ref="C30">($F$4*(1+$A30)*'User Segmentation'!$I$49)
-Dynamic_Row_Table[[Fixed Cost]:[Fixed Cost]]
-(Dynamic_Row_Table[[Funding Rate]:[Funding Rate]]*Dynamic_Row_Table[[Tenure (in months)]:[Tenure (in months)]]*$F$4*(1+$A30)/12)
-(IF($A30&lt;0,'Dynamic CM'!$G$4,'Dynamic CM'!$G$4*(($F$4*(1+$A30)/$F$4)^'Dynamic CM'!$H$4))
*VLOOKUP($D$4,EAD_Table[#All],MATCH("EAD",EAD_Table[#Headers],0),FALSE)
*$F$4*(1+$A30))</f>
        <v>-5.8252796487109961</v>
      </c>
      <c r="D30" s="111" cm="1">
        <f t="array" ref="D30">($F$5*(1+$A30)*'User Segmentation'!$I$49)
-Dynamic_Row_Table[[Fixed Cost]:[Fixed Cost]]
-(Dynamic_Row_Table[[Funding Rate]:[Funding Rate]]*Dynamic_Row_Table[[Tenure (in months)]:[Tenure (in months)]]*$F$5*(1+$A30)/12)
-(IF($A30&lt;0,'Dynamic CM'!$G$5,'Dynamic CM'!$G$5*(($F$5*(1+$A30)/$F$5)^'Dynamic CM'!$H$5))
*VLOOKUP($D$5,EAD_Table[#All],MATCH("EAD",EAD_Table[#Headers],0),FALSE)
*$F$5*(1+$A30))</f>
        <v>37.376245602981975</v>
      </c>
      <c r="E30" s="111" cm="1">
        <f t="array" ref="E30">($F$6*(1+$A30)*'User Segmentation'!$I$49)
-Dynamic_Row_Table[[Fixed Cost]:[Fixed Cost]]
-(Dynamic_Row_Table[[Funding Rate]:[Funding Rate]]*Dynamic_Row_Table[[Tenure (in months)]:[Tenure (in months)]]*$F$6*(1+$A30)/12)
-(IF($A30&lt;0,'Dynamic CM'!$G$6,'Dynamic CM'!$G$6*(($F$6*(1+$A30)/$F$6)^'Dynamic CM'!$H$6))
*VLOOKUP($D$6,EAD_Table[#All],MATCH("EAD",EAD_Table[#Headers],0),FALSE)
*$F$6*(1+$A30))</f>
        <v>-5.9652159979469346</v>
      </c>
      <c r="Q30" s="64">
        <v>1.2</v>
      </c>
      <c r="R30" s="98" cm="1">
        <f t="array" ref="R30">($F$3*(1+$Q30)*'User Segmentation'!$I$49)
-Dynamic_Row_Table[[Fixed Cost]:[Fixed Cost]]
-(Dynamic_Row_Table[[Funding Rate]:[Funding Rate]]*Dynamic_Row_Table[[Tenure (in months)]:[Tenure (in months)]]*$F$3*(1+$Q30)/12)
-(IF($Q30&lt;0,'Dynamic CM'!$G$3,'Dynamic CM'!$G$3*(($F$3*(1+$Q30)/$F$3)^'Dynamic CM'!$H$3))
*VLOOKUP($D$3,EAD_Table[#All],MATCH("EAD",EAD_Table[#Headers],0),FALSE)
*$F$3*(1+$Q30))</f>
        <v>-11.933455014328018</v>
      </c>
      <c r="S30" s="98" cm="1">
        <f t="array" ref="S30">($F$4*(1+$Q30)*'User Segmentation'!$I$49)
-Dynamic_Row_Table[[Fixed Cost]:[Fixed Cost]]
-(Dynamic_Row_Table[[Funding Rate]:[Funding Rate]]*Dynamic_Row_Table[[Tenure (in months)]:[Tenure (in months)]]*$F$4*(1+$Q30)/12)
-(IF($Q30&lt;0,'Dynamic CM'!$G$4,'Dynamic CM'!$G$4*(($F$4*(1+$Q30)/$F$4)^'Dynamic CM'!$H$4))
*VLOOKUP($D$4,EAD_Table[#All],MATCH("EAD",EAD_Table[#Headers],0),FALSE)
*$F$4*(1+$Q30))</f>
        <v>7.71092814695775</v>
      </c>
      <c r="T30" s="98" cm="1">
        <f t="array" ref="T30">($F$5*(1+$Q30)*'User Segmentation'!$I$49)
-Dynamic_Row_Table[[Fixed Cost]:[Fixed Cost]]
-(Dynamic_Row_Table[[Funding Rate]:[Funding Rate]]*Dynamic_Row_Table[[Tenure (in months)]:[Tenure (in months)]]*$F$5*(1+$Q30)/12)
-(IF($Q30&lt;0,'Dynamic CM'!$G$5,'Dynamic CM'!$G$5*(($F$5*(1+$Q30)/$F$5)^'Dynamic CM'!$H$5))
*VLOOKUP($D$5,EAD_Table[#All],MATCH("EAD",EAD_Table[#Headers],0),FALSE)
*$F$5*(1+$Q30))</f>
        <v>26.88977613157898</v>
      </c>
      <c r="U30" s="98" cm="1">
        <f t="array" ref="U30">($F$6*(1+$Q30)*'User Segmentation'!$I$49)
-Dynamic_Row_Table[[Fixed Cost]:[Fixed Cost]]
-(Dynamic_Row_Table[[Funding Rate]:[Funding Rate]]*Dynamic_Row_Table[[Tenure (in months)]:[Tenure (in months)]]*$F$6*(1+$Q30)/12)
-(IF($Q30&lt;0,'Dynamic CM'!$G$6,'Dynamic CM'!$G$6*(($F$6*(1+$Q30)/$F$6)^'Dynamic CM'!$H$6))
*VLOOKUP($D$6,EAD_Table[#All],MATCH("EAD",EAD_Table[#Headers],0),FALSE)
*$F$6*(1+$Q30))</f>
        <v>4.0113054211522901</v>
      </c>
    </row>
    <row r="31" spans="1:21" x14ac:dyDescent="0.2">
      <c r="A31" s="110">
        <v>4.75</v>
      </c>
      <c r="B31" s="111" cm="1">
        <f t="array" ref="B31">($F$3*(1+$A31)*'User Segmentation'!$I$49)
-Dynamic_Row_Table[[Fixed Cost]:[Fixed Cost]]
-(Dynamic_Row_Table[[Funding Rate]:[Funding Rate]]*Dynamic_Row_Table[[Tenure (in months)]:[Tenure (in months)]]*$F$3*(1+$A31)/12)
-(IF($A31&lt;0,'Dynamic CM'!$G$3,'Dynamic CM'!$G$3*(($F$3*(1+$A31)/$F$3)^'Dynamic CM'!$H$3))
*VLOOKUP($D$3,EAD_Table[#All],MATCH("EAD",EAD_Table[#Headers],0),FALSE)
*$F$3*(1+$A31))</f>
        <v>-211.20493540358089</v>
      </c>
      <c r="C31" s="111" cm="1">
        <f t="array" ref="C31">($F$4*(1+$A31)*'User Segmentation'!$I$49)
-Dynamic_Row_Table[[Fixed Cost]:[Fixed Cost]]
-(Dynamic_Row_Table[[Funding Rate]:[Funding Rate]]*Dynamic_Row_Table[[Tenure (in months)]:[Tenure (in months)]]*$F$4*(1+$A31)/12)
-(IF($A31&lt;0,'Dynamic CM'!$G$4,'Dynamic CM'!$G$4*(($F$4*(1+$A31)/$F$4)^'Dynamic CM'!$H$4))
*VLOOKUP($D$4,EAD_Table[#All],MATCH("EAD",EAD_Table[#Headers],0),FALSE)
*$F$4*(1+$A31))</f>
        <v>-8.61919838881321</v>
      </c>
      <c r="D31" s="111" cm="1">
        <f t="array" ref="D31">($F$5*(1+$A31)*'User Segmentation'!$I$49)
-Dynamic_Row_Table[[Fixed Cost]:[Fixed Cost]]
-(Dynamic_Row_Table[[Funding Rate]:[Funding Rate]]*Dynamic_Row_Table[[Tenure (in months)]:[Tenure (in months)]]*$F$5*(1+$A31)/12)
-(IF($A31&lt;0,'Dynamic CM'!$G$5,'Dynamic CM'!$G$5*(($F$5*(1+$A31)/$F$5)^'Dynamic CM'!$H$5))
*VLOOKUP($D$5,EAD_Table[#All],MATCH("EAD",EAD_Table[#Headers],0),FALSE)
*$F$5*(1+$A31))</f>
        <v>36.410926941090651</v>
      </c>
      <c r="E31" s="111" cm="1">
        <f t="array" ref="E31">($F$6*(1+$A31)*'User Segmentation'!$I$49)
-Dynamic_Row_Table[[Fixed Cost]:[Fixed Cost]]
-(Dynamic_Row_Table[[Funding Rate]:[Funding Rate]]*Dynamic_Row_Table[[Tenure (in months)]:[Tenure (in months)]]*$F$6*(1+$A31)/12)
-(IF($A31&lt;0,'Dynamic CM'!$G$6,'Dynamic CM'!$G$6*(($F$6*(1+$A31)/$F$6)^'Dynamic CM'!$H$6))
*VLOOKUP($D$6,EAD_Table[#All],MATCH("EAD",EAD_Table[#Headers],0),FALSE)
*$F$6*(1+$A31))</f>
        <v>-7.9452860166950927</v>
      </c>
      <c r="Q31" s="64">
        <v>1.3</v>
      </c>
      <c r="R31" s="98" cm="1">
        <f t="array" ref="R31">($F$3*(1+$Q31)*'User Segmentation'!$I$49)
-Dynamic_Row_Table[[Fixed Cost]:[Fixed Cost]]
-(Dynamic_Row_Table[[Funding Rate]:[Funding Rate]]*Dynamic_Row_Table[[Tenure (in months)]:[Tenure (in months)]]*$F$3*(1+$Q31)/12)
-(IF($Q31&lt;0,'Dynamic CM'!$G$3,'Dynamic CM'!$G$3*(($F$3*(1+$Q31)/$F$3)^'Dynamic CM'!$H$3))
*VLOOKUP($D$3,EAD_Table[#All],MATCH("EAD",EAD_Table[#Headers],0),FALSE)
*$F$3*(1+$Q31))</f>
        <v>-13.598866931022009</v>
      </c>
      <c r="S31" s="98" cm="1">
        <f t="array" ref="S31">($F$4*(1+$Q31)*'User Segmentation'!$I$49)
-Dynamic_Row_Table[[Fixed Cost]:[Fixed Cost]]
-(Dynamic_Row_Table[[Funding Rate]:[Funding Rate]]*Dynamic_Row_Table[[Tenure (in months)]:[Tenure (in months)]]*$F$4*(1+$Q31)/12)
-(IF($Q31&lt;0,'Dynamic CM'!$G$4,'Dynamic CM'!$G$4*(($F$4*(1+$Q31)/$F$4)^'Dynamic CM'!$H$4))
*VLOOKUP($D$4,EAD_Table[#All],MATCH("EAD",EAD_Table[#Headers],0),FALSE)
*$F$4*(1+$Q31))</f>
        <v>7.8796931326283595</v>
      </c>
      <c r="T31" s="98" cm="1">
        <f t="array" ref="T31">($F$5*(1+$Q31)*'User Segmentation'!$I$49)
-Dynamic_Row_Table[[Fixed Cost]:[Fixed Cost]]
-(Dynamic_Row_Table[[Funding Rate]:[Funding Rate]]*Dynamic_Row_Table[[Tenure (in months)]:[Tenure (in months)]]*$F$5*(1+$Q31)/12)
-(IF($Q31&lt;0,'Dynamic CM'!$G$5,'Dynamic CM'!$G$5*(($F$5*(1+$Q31)/$F$5)^'Dynamic CM'!$H$5))
*VLOOKUP($D$5,EAD_Table[#All],MATCH("EAD",EAD_Table[#Headers],0),FALSE)
*$F$5*(1+$Q31))</f>
        <v>27.828529537636893</v>
      </c>
      <c r="U31" s="98" cm="1">
        <f t="array" ref="U31">($F$6*(1+$Q31)*'User Segmentation'!$I$49)
-Dynamic_Row_Table[[Fixed Cost]:[Fixed Cost]]
-(Dynamic_Row_Table[[Funding Rate]:[Funding Rate]]*Dynamic_Row_Table[[Tenure (in months)]:[Tenure (in months)]]*$F$6*(1+$Q31)/12)
-(IF($Q31&lt;0,'Dynamic CM'!$G$6,'Dynamic CM'!$G$6*(($F$6*(1+$Q31)/$F$6)^'Dynamic CM'!$H$6))
*VLOOKUP($D$6,EAD_Table[#All],MATCH("EAD",EAD_Table[#Headers],0),FALSE)
*$F$6*(1+$Q31))</f>
        <v>4.109787990263797</v>
      </c>
    </row>
    <row r="32" spans="1:21" x14ac:dyDescent="0.2">
      <c r="A32" s="112">
        <v>5</v>
      </c>
      <c r="B32" s="111" cm="1">
        <f t="array" ref="B32">($F$3*(1+$A32)*'User Segmentation'!$I$49)
-Dynamic_Row_Table[[Fixed Cost]:[Fixed Cost]]
-(Dynamic_Row_Table[[Funding Rate]:[Funding Rate]]*Dynamic_Row_Table[[Tenure (in months)]:[Tenure (in months)]]*$F$3*(1+$A32)/12)
-(IF($A32&lt;0,'Dynamic CM'!$G$3,'Dynamic CM'!$G$3*(($F$3*(1+$A32)/$F$3)^'Dynamic CM'!$H$3))
*VLOOKUP($D$3,EAD_Table[#All],MATCH("EAD",EAD_Table[#Headers],0),FALSE)
*$F$3*(1+$A32))</f>
        <v>-239.55403387990108</v>
      </c>
      <c r="C32" s="111" cm="1">
        <f t="array" ref="C32">($F$4*(1+$A32)*'User Segmentation'!$I$49)
-Dynamic_Row_Table[[Fixed Cost]:[Fixed Cost]]
-(Dynamic_Row_Table[[Funding Rate]:[Funding Rate]]*Dynamic_Row_Table[[Tenure (in months)]:[Tenure (in months)]]*$F$4*(1+$A32)/12)
-(IF($A32&lt;0,'Dynamic CM'!$G$4,'Dynamic CM'!$G$4*(($F$4*(1+$A32)/$F$4)^'Dynamic CM'!$H$4))
*VLOOKUP($D$4,EAD_Table[#All],MATCH("EAD",EAD_Table[#Headers],0),FALSE)
*$F$4*(1+$A32))</f>
        <v>-11.683877889890589</v>
      </c>
      <c r="D32" s="111" cm="1">
        <f t="array" ref="D32">($F$5*(1+$A32)*'User Segmentation'!$I$49)
-Dynamic_Row_Table[[Fixed Cost]:[Fixed Cost]]
-(Dynamic_Row_Table[[Funding Rate]:[Funding Rate]]*Dynamic_Row_Table[[Tenure (in months)]:[Tenure (in months)]]*$F$5*(1+$A32)/12)
-(IF($A32&lt;0,'Dynamic CM'!$G$5,'Dynamic CM'!$G$5*(($F$5*(1+$A32)/$F$5)^'Dynamic CM'!$H$5))
*VLOOKUP($D$5,EAD_Table[#All],MATCH("EAD",EAD_Table[#Headers],0),FALSE)
*$F$5*(1+$A32))</f>
        <v>35.193039709611185</v>
      </c>
      <c r="E32" s="111" cm="1">
        <f t="array" ref="E32">($F$6*(1+$A32)*'User Segmentation'!$I$49)
-Dynamic_Row_Table[[Fixed Cost]:[Fixed Cost]]
-(Dynamic_Row_Table[[Funding Rate]:[Funding Rate]]*Dynamic_Row_Table[[Tenure (in months)]:[Tenure (in months)]]*$F$6*(1+$A32)/12)
-(IF($A32&lt;0,'Dynamic CM'!$G$6,'Dynamic CM'!$G$6*(($F$6*(1+$A32)/$F$6)^'Dynamic CM'!$H$6))
*VLOOKUP($D$6,EAD_Table[#All],MATCH("EAD",EAD_Table[#Headers],0),FALSE)
*$F$6*(1+$A32))</f>
        <v>-10.112800047631097</v>
      </c>
      <c r="Q32" s="64">
        <v>1.4</v>
      </c>
      <c r="R32" s="98" cm="1">
        <f t="array" ref="R32">($F$3*(1+$Q32)*'User Segmentation'!$I$49)
-Dynamic_Row_Table[[Fixed Cost]:[Fixed Cost]]
-(Dynamic_Row_Table[[Funding Rate]:[Funding Rate]]*Dynamic_Row_Table[[Tenure (in months)]:[Tenure (in months)]]*$F$3*(1+$Q32)/12)
-(IF($Q32&lt;0,'Dynamic CM'!$G$3,'Dynamic CM'!$G$3*(($F$3*(1+$Q32)/$F$3)^'Dynamic CM'!$H$3))
*VLOOKUP($D$3,EAD_Table[#All],MATCH("EAD",EAD_Table[#Headers],0),FALSE)
*$F$3*(1+$Q32))</f>
        <v>-15.425643026298724</v>
      </c>
      <c r="S32" s="98" cm="1">
        <f t="array" ref="S32">($F$4*(1+$Q32)*'User Segmentation'!$I$49)
-Dynamic_Row_Table[[Fixed Cost]:[Fixed Cost]]
-(Dynamic_Row_Table[[Funding Rate]:[Funding Rate]]*Dynamic_Row_Table[[Tenure (in months)]:[Tenure (in months)]]*$F$4*(1+$Q32)/12)
-(IF($Q32&lt;0,'Dynamic CM'!$G$4,'Dynamic CM'!$G$4*(($F$4*(1+$Q32)/$F$4)^'Dynamic CM'!$H$4))
*VLOOKUP($D$4,EAD_Table[#All],MATCH("EAD",EAD_Table[#Headers],0),FALSE)
*$F$4*(1+$Q32))</f>
        <v>8.0161460390070722</v>
      </c>
      <c r="T32" s="98" cm="1">
        <f t="array" ref="T32">($F$5*(1+$Q32)*'User Segmentation'!$I$49)
-Dynamic_Row_Table[[Fixed Cost]:[Fixed Cost]]
-(Dynamic_Row_Table[[Funding Rate]:[Funding Rate]]*Dynamic_Row_Table[[Tenure (in months)]:[Tenure (in months)]]*$F$5*(1+$Q32)/12)
-(IF($Q32&lt;0,'Dynamic CM'!$G$5,'Dynamic CM'!$G$5*(($F$5*(1+$Q32)/$F$5)^'Dynamic CM'!$H$5))
*VLOOKUP($D$5,EAD_Table[#All],MATCH("EAD",EAD_Table[#Headers],0),FALSE)
*$F$5*(1+$Q32))</f>
        <v>28.729417282327699</v>
      </c>
      <c r="U32" s="98" cm="1">
        <f t="array" ref="U32">($F$6*(1+$Q32)*'User Segmentation'!$I$49)
-Dynamic_Row_Table[[Fixed Cost]:[Fixed Cost]]
-(Dynamic_Row_Table[[Funding Rate]:[Funding Rate]]*Dynamic_Row_Table[[Tenure (in months)]:[Tenure (in months)]]*$F$6*(1+$Q32)/12)
-(IF($Q32&lt;0,'Dynamic CM'!$G$6,'Dynamic CM'!$G$6*(($F$6*(1+$Q32)/$F$6)^'Dynamic CM'!$H$6))
*VLOOKUP($D$6,EAD_Table[#All],MATCH("EAD",EAD_Table[#Headers],0),FALSE)
*$F$6*(1+$Q32))</f>
        <v>4.1859013439735104</v>
      </c>
    </row>
    <row r="33" spans="1:21" x14ac:dyDescent="0.2">
      <c r="Q33" s="64">
        <v>1.5</v>
      </c>
      <c r="R33" s="98" cm="1">
        <f t="array" ref="R33">($F$3*(1+$Q33)*'User Segmentation'!$I$49)
-Dynamic_Row_Table[[Fixed Cost]:[Fixed Cost]]
-(Dynamic_Row_Table[[Funding Rate]:[Funding Rate]]*Dynamic_Row_Table[[Tenure (in months)]:[Tenure (in months)]]*$F$3*(1+$Q33)/12)
-(IF($Q33&lt;0,'Dynamic CM'!$G$3,'Dynamic CM'!$G$3*(($F$3*(1+$Q33)/$F$3)^'Dynamic CM'!$H$3))
*VLOOKUP($D$3,EAD_Table[#All],MATCH("EAD",EAD_Table[#Headers],0),FALSE)
*$F$3*(1+$Q33))</f>
        <v>-17.420012906563663</v>
      </c>
      <c r="S33" s="98" cm="1">
        <f t="array" ref="S33">($F$4*(1+$Q33)*'User Segmentation'!$I$49)
-Dynamic_Row_Table[[Fixed Cost]:[Fixed Cost]]
-(Dynamic_Row_Table[[Funding Rate]:[Funding Rate]]*Dynamic_Row_Table[[Tenure (in months)]:[Tenure (in months)]]*$F$4*(1+$Q33)/12)
-(IF($Q33&lt;0,'Dynamic CM'!$G$4,'Dynamic CM'!$G$4*(($F$4*(1+$Q33)/$F$4)^'Dynamic CM'!$H$4))
*VLOOKUP($D$4,EAD_Table[#All],MATCH("EAD",EAD_Table[#Headers],0),FALSE)
*$F$4*(1+$Q33))</f>
        <v>8.1198437034799973</v>
      </c>
      <c r="T33" s="98" cm="1">
        <f t="array" ref="T33">($F$5*(1+$Q33)*'User Segmentation'!$I$49)
-Dynamic_Row_Table[[Fixed Cost]:[Fixed Cost]]
-(Dynamic_Row_Table[[Funding Rate]:[Funding Rate]]*Dynamic_Row_Table[[Tenure (in months)]:[Tenure (in months)]]*$F$5*(1+$Q33)/12)
-(IF($Q33&lt;0,'Dynamic CM'!$G$5,'Dynamic CM'!$G$5*(($F$5*(1+$Q33)/$F$5)^'Dynamic CM'!$H$5))
*VLOOKUP($D$5,EAD_Table[#All],MATCH("EAD",EAD_Table[#Headers],0),FALSE)
*$F$5*(1+$Q33))</f>
        <v>29.592324740476251</v>
      </c>
      <c r="U33" s="98" cm="1">
        <f t="array" ref="U33">($F$6*(1+$Q33)*'User Segmentation'!$I$49)
-Dynamic_Row_Table[[Fixed Cost]:[Fixed Cost]]
-(Dynamic_Row_Table[[Funding Rate]:[Funding Rate]]*Dynamic_Row_Table[[Tenure (in months)]:[Tenure (in months)]]*$F$6*(1+$Q33)/12)
-(IF($Q33&lt;0,'Dynamic CM'!$G$6,'Dynamic CM'!$G$6*(($F$6*(1+$Q33)/$F$6)^'Dynamic CM'!$H$6))
*VLOOKUP($D$6,EAD_Table[#All],MATCH("EAD",EAD_Table[#Headers],0),FALSE)
*$F$6*(1+$Q33))</f>
        <v>4.2393386867985967</v>
      </c>
    </row>
    <row r="34" spans="1:21" x14ac:dyDescent="0.2">
      <c r="A34" t="s">
        <v>159</v>
      </c>
      <c r="B34" t="s">
        <v>160</v>
      </c>
      <c r="C34" t="s">
        <v>161</v>
      </c>
      <c r="D34" t="s">
        <v>162</v>
      </c>
      <c r="E34" t="s">
        <v>163</v>
      </c>
      <c r="Q34" s="64">
        <v>1.6</v>
      </c>
      <c r="R34" s="98" cm="1">
        <f t="array" ref="R34">($F$3*(1+$Q34)*'User Segmentation'!$I$49)
-Dynamic_Row_Table[[Fixed Cost]:[Fixed Cost]]
-(Dynamic_Row_Table[[Funding Rate]:[Funding Rate]]*Dynamic_Row_Table[[Tenure (in months)]:[Tenure (in months)]]*$F$3*(1+$Q34)/12)
-(IF($Q34&lt;0,'Dynamic CM'!$G$3,'Dynamic CM'!$G$3*(($F$3*(1+$Q34)/$F$3)^'Dynamic CM'!$H$3))
*VLOOKUP($D$3,EAD_Table[#All],MATCH("EAD",EAD_Table[#Headers],0),FALSE)
*$F$3*(1+$Q34))</f>
        <v>-19.588177673358022</v>
      </c>
      <c r="S34" s="98" cm="1">
        <f t="array" ref="S34">($F$4*(1+$Q34)*'User Segmentation'!$I$49)
-Dynamic_Row_Table[[Fixed Cost]:[Fixed Cost]]
-(Dynamic_Row_Table[[Funding Rate]:[Funding Rate]]*Dynamic_Row_Table[[Tenure (in months)]:[Tenure (in months)]]*$F$4*(1+$Q34)/12)
-(IF($Q34&lt;0,'Dynamic CM'!$G$4,'Dynamic CM'!$G$4*(($F$4*(1+$Q34)/$F$4)^'Dynamic CM'!$H$4))
*VLOOKUP($D$4,EAD_Table[#All],MATCH("EAD",EAD_Table[#Headers],0),FALSE)
*$F$4*(1+$Q34))</f>
        <v>8.1903553541830405</v>
      </c>
      <c r="T34" s="98" cm="1">
        <f t="array" ref="T34">($F$5*(1+$Q34)*'User Segmentation'!$I$49)
-Dynamic_Row_Table[[Fixed Cost]:[Fixed Cost]]
-(Dynamic_Row_Table[[Funding Rate]:[Funding Rate]]*Dynamic_Row_Table[[Tenure (in months)]:[Tenure (in months)]]*$F$5*(1+$Q34)/12)
-(IF($Q34&lt;0,'Dynamic CM'!$G$5,'Dynamic CM'!$G$5*(($F$5*(1+$Q34)/$F$5)^'Dynamic CM'!$H$5))
*VLOOKUP($D$5,EAD_Table[#All],MATCH("EAD",EAD_Table[#Headers],0),FALSE)
*$F$5*(1+$Q34))</f>
        <v>30.41714164328166</v>
      </c>
      <c r="U34" s="98" cm="1">
        <f t="array" ref="U34">($F$6*(1+$Q34)*'User Segmentation'!$I$49)
-Dynamic_Row_Table[[Fixed Cost]:[Fixed Cost]]
-(Dynamic_Row_Table[[Funding Rate]:[Funding Rate]]*Dynamic_Row_Table[[Tenure (in months)]:[Tenure (in months)]]*$F$6*(1+$Q34)/12)
-(IF($Q34&lt;0,'Dynamic CM'!$G$6,'Dynamic CM'!$G$6*(($F$6*(1+$Q34)/$F$6)^'Dynamic CM'!$H$6))
*VLOOKUP($D$6,EAD_Table[#All],MATCH("EAD",EAD_Table[#Headers],0),FALSE)
*$F$6*(1+$Q34))</f>
        <v>4.2698018012046672</v>
      </c>
    </row>
    <row r="35" spans="1:21" x14ac:dyDescent="0.2">
      <c r="A35" s="98">
        <f>MAX(U9:U169)</f>
        <v>4.2770004782205922</v>
      </c>
      <c r="B35" s="64">
        <f>INDEX(Q9:Q169, MATCH(MAX(U9:U169), U9:U169, 0))</f>
        <v>1.7</v>
      </c>
      <c r="C35" s="98">
        <f>(1+$B$35)*$F$6</f>
        <v>337.90178571428572</v>
      </c>
      <c r="D35" s="64" cm="1">
        <f t="array" ref="D35">IF(COUNTIF(U9:U169,"&gt;0")=0,
   "#NA",
   MIN(IF(U9:U169&gt;0, Q9:Q169))
 )</f>
        <v>-0.2</v>
      </c>
      <c r="E35" s="64" cm="1">
        <f t="array" ref="E35">IF(COUNTIF(U9:U169,"&gt;0")=0,
   "#NA",
   MAX(IF(U9:U169&gt;0, Q9:Q169))
 )</f>
        <v>3.5</v>
      </c>
      <c r="Q35" s="64">
        <v>1.7</v>
      </c>
      <c r="R35" s="98" cm="1">
        <f t="array" ref="R35">($F$3*(1+$Q35)*'User Segmentation'!$I$49)
-Dynamic_Row_Table[[Fixed Cost]:[Fixed Cost]]
-(Dynamic_Row_Table[[Funding Rate]:[Funding Rate]]*Dynamic_Row_Table[[Tenure (in months)]:[Tenure (in months)]]*$F$3*(1+$Q35)/12)
-(IF($Q35&lt;0,'Dynamic CM'!$G$3,'Dynamic CM'!$G$3*(($F$3*(1+$Q35)/$F$3)^'Dynamic CM'!$H$3))
*VLOOKUP($D$3,EAD_Table[#All],MATCH("EAD",EAD_Table[#Headers],0),FALSE)
*$F$3*(1+$Q35))</f>
        <v>-21.936311187607664</v>
      </c>
      <c r="S35" s="98" cm="1">
        <f t="array" ref="S35">($F$4*(1+$Q35)*'User Segmentation'!$I$49)
-Dynamic_Row_Table[[Fixed Cost]:[Fixed Cost]]
-(Dynamic_Row_Table[[Funding Rate]:[Funding Rate]]*Dynamic_Row_Table[[Tenure (in months)]:[Tenure (in months)]]*$F$4*(1+$Q35)/12)
-(IF($Q35&lt;0,'Dynamic CM'!$G$4,'Dynamic CM'!$G$4*(($F$4*(1+$Q35)/$F$4)^'Dynamic CM'!$H$4))
*VLOOKUP($D$4,EAD_Table[#All],MATCH("EAD",EAD_Table[#Headers],0),FALSE)
*$F$4*(1+$Q35))</f>
        <v>8.2272617875313436</v>
      </c>
      <c r="T35" s="98" cm="1">
        <f t="array" ref="T35">($F$5*(1+$Q35)*'User Segmentation'!$I$49)
-Dynamic_Row_Table[[Fixed Cost]:[Fixed Cost]]
-(Dynamic_Row_Table[[Funding Rate]:[Funding Rate]]*Dynamic_Row_Table[[Tenure (in months)]:[Tenure (in months)]]*$F$5*(1+$Q35)/12)
-(IF($Q35&lt;0,'Dynamic CM'!$G$5,'Dynamic CM'!$G$5*(($F$5*(1+$Q35)/$F$5)^'Dynamic CM'!$H$5))
*VLOOKUP($D$5,EAD_Table[#All],MATCH("EAD",EAD_Table[#Headers],0),FALSE)
*$F$5*(1+$Q35))</f>
        <v>31.203761747913127</v>
      </c>
      <c r="U35" s="98" cm="1">
        <f t="array" ref="U35">($F$6*(1+$Q35)*'User Segmentation'!$I$49)
-Dynamic_Row_Table[[Fixed Cost]:[Fixed Cost]]
-(Dynamic_Row_Table[[Funding Rate]:[Funding Rate]]*Dynamic_Row_Table[[Tenure (in months)]:[Tenure (in months)]]*$F$6*(1+$Q35)/12)
-(IF($Q35&lt;0,'Dynamic CM'!$G$6,'Dynamic CM'!$G$6*(($F$6*(1+$Q35)/$F$6)^'Dynamic CM'!$H$6))
*VLOOKUP($D$6,EAD_Table[#All],MATCH("EAD",EAD_Table[#Headers],0),FALSE)
*$F$6*(1+$Q35))</f>
        <v>4.2770004782205922</v>
      </c>
    </row>
    <row r="36" spans="1:21" x14ac:dyDescent="0.2">
      <c r="D36" t="s">
        <v>164</v>
      </c>
      <c r="E36" t="s">
        <v>165</v>
      </c>
      <c r="Q36" s="64">
        <v>1.8</v>
      </c>
      <c r="R36" s="98" cm="1">
        <f t="array" ref="R36">($F$3*(1+$Q36)*'User Segmentation'!$I$49)
-Dynamic_Row_Table[[Fixed Cost]:[Fixed Cost]]
-(Dynamic_Row_Table[[Funding Rate]:[Funding Rate]]*Dynamic_Row_Table[[Tenure (in months)]:[Tenure (in months)]]*$F$3*(1+$Q36)/12)
-(IF($Q36&lt;0,'Dynamic CM'!$G$3,'Dynamic CM'!$G$3*(($F$3*(1+$Q36)/$F$3)^'Dynamic CM'!$H$3))
*VLOOKUP($D$3,EAD_Table[#All],MATCH("EAD",EAD_Table[#Headers],0),FALSE)
*$F$3*(1+$Q36))</f>
        <v>-24.470561231330873</v>
      </c>
      <c r="S36" s="98" cm="1">
        <f t="array" ref="S36">($F$4*(1+$Q36)*'User Segmentation'!$I$49)
-Dynamic_Row_Table[[Fixed Cost]:[Fixed Cost]]
-(Dynamic_Row_Table[[Funding Rate]:[Funding Rate]]*Dynamic_Row_Table[[Tenure (in months)]:[Tenure (in months)]]*$F$4*(1+$Q36)/12)
-(IF($Q36&lt;0,'Dynamic CM'!$G$4,'Dynamic CM'!$G$4*(($F$4*(1+$Q36)/$F$4)^'Dynamic CM'!$H$4))
*VLOOKUP($D$4,EAD_Table[#All],MATCH("EAD",EAD_Table[#Headers],0),FALSE)
*$F$4*(1+$Q36))</f>
        <v>8.2301546295622163</v>
      </c>
      <c r="T36" s="98" cm="1">
        <f t="array" ref="T36">($F$5*(1+$Q36)*'User Segmentation'!$I$49)
-Dynamic_Row_Table[[Fixed Cost]:[Fixed Cost]]
-(Dynamic_Row_Table[[Funding Rate]:[Funding Rate]]*Dynamic_Row_Table[[Tenure (in months)]:[Tenure (in months)]]*$F$5*(1+$Q36)/12)
-(IF($Q36&lt;0,'Dynamic CM'!$G$5,'Dynamic CM'!$G$5*(($F$5*(1+$Q36)/$F$5)^'Dynamic CM'!$H$5))
*VLOOKUP($D$5,EAD_Table[#All],MATCH("EAD",EAD_Table[#Headers],0),FALSE)
*$F$5*(1+$Q36))</f>
        <v>31.952082543729567</v>
      </c>
      <c r="U36" s="98" cm="1">
        <f t="array" ref="U36">($F$6*(1+$Q36)*'User Segmentation'!$I$49)
-Dynamic_Row_Table[[Fixed Cost]:[Fixed Cost]]
-(Dynamic_Row_Table[[Funding Rate]:[Funding Rate]]*Dynamic_Row_Table[[Tenure (in months)]:[Tenure (in months)]]*$F$6*(1+$Q36)/12)
-(IF($Q36&lt;0,'Dynamic CM'!$G$6,'Dynamic CM'!$G$6*(($F$6*(1+$Q36)/$F$6)^'Dynamic CM'!$H$6))
*VLOOKUP($D$6,EAD_Table[#All],MATCH("EAD",EAD_Table[#Headers],0),FALSE)
*$F$6*(1+$Q36))</f>
        <v>4.2606520060761426</v>
      </c>
    </row>
    <row r="37" spans="1:21" x14ac:dyDescent="0.2">
      <c r="D37">
        <f>IF(ISNUMBER(D$35),(1+D$35)*$F$6,"#NA")</f>
        <v>100.11904761904762</v>
      </c>
      <c r="E37">
        <f>IF(ISNUMBER(E$35),(1+E$35)*$F$6,"#NA")</f>
        <v>563.16964285714289</v>
      </c>
      <c r="Q37" s="64">
        <v>1.9</v>
      </c>
      <c r="R37" s="98" cm="1">
        <f t="array" ref="R37">($F$3*(1+$Q37)*'User Segmentation'!$I$49)
-Dynamic_Row_Table[[Fixed Cost]:[Fixed Cost]]
-(Dynamic_Row_Table[[Funding Rate]:[Funding Rate]]*Dynamic_Row_Table[[Tenure (in months)]:[Tenure (in months)]]*$F$3*(1+$Q37)/12)
-(IF($Q37&lt;0,'Dynamic CM'!$G$3,'Dynamic CM'!$G$3*(($F$3*(1+$Q37)/$F$3)^'Dynamic CM'!$H$3))
*VLOOKUP($D$3,EAD_Table[#All],MATCH("EAD",EAD_Table[#Headers],0),FALSE)
*$F$3*(1+$Q37))</f>
        <v>-27.197050578615048</v>
      </c>
      <c r="S37" s="98" cm="1">
        <f t="array" ref="S37">($F$4*(1+$Q37)*'User Segmentation'!$I$49)
-Dynamic_Row_Table[[Fixed Cost]:[Fixed Cost]]
-(Dynamic_Row_Table[[Funding Rate]:[Funding Rate]]*Dynamic_Row_Table[[Tenure (in months)]:[Tenure (in months)]]*$F$4*(1+$Q37)/12)
-(IF($Q37&lt;0,'Dynamic CM'!$G$4,'Dynamic CM'!$G$4*(($F$4*(1+$Q37)/$F$4)^'Dynamic CM'!$H$4))
*VLOOKUP($D$4,EAD_Table[#All],MATCH("EAD",EAD_Table[#Headers],0),FALSE)
*$F$4*(1+$Q37))</f>
        <v>8.1986356697888976</v>
      </c>
      <c r="T37" s="98" cm="1">
        <f t="array" ref="T37">($F$5*(1+$Q37)*'User Segmentation'!$I$49)
-Dynamic_Row_Table[[Fixed Cost]:[Fixed Cost]]
-(Dynamic_Row_Table[[Funding Rate]:[Funding Rate]]*Dynamic_Row_Table[[Tenure (in months)]:[Tenure (in months)]]*$F$5*(1+$Q37)/12)
-(IF($Q37&lt;0,'Dynamic CM'!$G$5,'Dynamic CM'!$G$5*(($F$5*(1+$Q37)/$F$5)^'Dynamic CM'!$H$5))
*VLOOKUP($D$5,EAD_Table[#All],MATCH("EAD",EAD_Table[#Headers],0),FALSE)
*$F$5*(1+$Q37))</f>
        <v>32.662004989874383</v>
      </c>
      <c r="U37" s="98" cm="1">
        <f t="array" ref="U37">($F$6*(1+$Q37)*'User Segmentation'!$I$49)
-Dynamic_Row_Table[[Fixed Cost]:[Fixed Cost]]
-(Dynamic_Row_Table[[Funding Rate]:[Funding Rate]]*Dynamic_Row_Table[[Tenure (in months)]:[Tenure (in months)]]*$F$6*(1+$Q37)/12)
-(IF($Q37&lt;0,'Dynamic CM'!$G$6,'Dynamic CM'!$G$6*(($F$6*(1+$Q37)/$F$6)^'Dynamic CM'!$H$6))
*VLOOKUP($D$6,EAD_Table[#All],MATCH("EAD",EAD_Table[#Headers],0),FALSE)
*$F$6*(1+$Q37))</f>
        <v>4.2204807090380108</v>
      </c>
    </row>
    <row r="38" spans="1:21" x14ac:dyDescent="0.2">
      <c r="Q38" s="64">
        <v>2</v>
      </c>
      <c r="R38" s="98" cm="1">
        <f t="array" ref="R38">($F$3*(1+$Q38)*'User Segmentation'!$I$49)
-Dynamic_Row_Table[[Fixed Cost]:[Fixed Cost]]
-(Dynamic_Row_Table[[Funding Rate]:[Funding Rate]]*Dynamic_Row_Table[[Tenure (in months)]:[Tenure (in months)]]*$F$3*(1+$Q38)/12)
-(IF($Q38&lt;0,'Dynamic CM'!$G$3,'Dynamic CM'!$G$3*(($F$3*(1+$Q38)/$F$3)^'Dynamic CM'!$H$3))
*VLOOKUP($D$3,EAD_Table[#All],MATCH("EAD",EAD_Table[#Headers],0),FALSE)
*$F$3*(1+$Q38))</f>
        <v>-30.12187798593818</v>
      </c>
      <c r="S38" s="98" cm="1">
        <f t="array" ref="S38">($F$4*(1+$Q38)*'User Segmentation'!$I$49)
-Dynamic_Row_Table[[Fixed Cost]:[Fixed Cost]]
-(Dynamic_Row_Table[[Funding Rate]:[Funding Rate]]*Dynamic_Row_Table[[Tenure (in months)]:[Tenure (in months)]]*$F$4*(1+$Q38)/12)
-(IF($Q38&lt;0,'Dynamic CM'!$G$4,'Dynamic CM'!$G$4*(($F$4*(1+$Q38)/$F$4)^'Dynamic CM'!$H$4))
*VLOOKUP($D$4,EAD_Table[#All],MATCH("EAD",EAD_Table[#Headers],0),FALSE)
*$F$4*(1+$Q38))</f>
        <v>8.1323162581332955</v>
      </c>
      <c r="T38" s="98" cm="1">
        <f t="array" ref="T38">($F$5*(1+$Q38)*'User Segmentation'!$I$49)
-Dynamic_Row_Table[[Fixed Cost]:[Fixed Cost]]
-(Dynamic_Row_Table[[Funding Rate]:[Funding Rate]]*Dynamic_Row_Table[[Tenure (in months)]:[Tenure (in months)]]*$F$5*(1+$Q38)/12)
-(IF($Q38&lt;0,'Dynamic CM'!$G$5,'Dynamic CM'!$G$5*(($F$5*(1+$Q38)/$F$5)^'Dynamic CM'!$H$5))
*VLOOKUP($D$5,EAD_Table[#All],MATCH("EAD",EAD_Table[#Headers],0),FALSE)
*$F$5*(1+$Q38))</f>
        <v>33.333433279907069</v>
      </c>
      <c r="U38" s="98" cm="1">
        <f t="array" ref="U38">($F$6*(1+$Q38)*'User Segmentation'!$I$49)
-Dynamic_Row_Table[[Fixed Cost]:[Fixed Cost]]
-(Dynamic_Row_Table[[Funding Rate]:[Funding Rate]]*Dynamic_Row_Table[[Tenure (in months)]:[Tenure (in months)]]*$F$6*(1+$Q38)/12)
-(IF($Q38&lt;0,'Dynamic CM'!$G$6,'Dynamic CM'!$G$6*(($F$6*(1+$Q38)/$F$6)^'Dynamic CM'!$H$6))
*VLOOKUP($D$6,EAD_Table[#All],MATCH("EAD",EAD_Table[#Headers],0),FALSE)
*$F$6*(1+$Q38))</f>
        <v>4.1562175299144855</v>
      </c>
    </row>
    <row r="39" spans="1:21" x14ac:dyDescent="0.2">
      <c r="Q39" s="64">
        <v>2.1</v>
      </c>
      <c r="R39" s="98" cm="1">
        <f t="array" ref="R39">($F$3*(1+$Q39)*'User Segmentation'!$I$49)
-Dynamic_Row_Table[[Fixed Cost]:[Fixed Cost]]
-(Dynamic_Row_Table[[Funding Rate]:[Funding Rate]]*Dynamic_Row_Table[[Tenure (in months)]:[Tenure (in months)]]*$F$3*(1+$Q39)/12)
-(IF($Q39&lt;0,'Dynamic CM'!$G$3,'Dynamic CM'!$G$3*(($F$3*(1+$Q39)/$F$3)^'Dynamic CM'!$H$3))
*VLOOKUP($D$3,EAD_Table[#All],MATCH("EAD",EAD_Table[#Headers],0),FALSE)
*$F$3*(1+$Q39))</f>
        <v>-33.251119110482882</v>
      </c>
      <c r="S39" s="98" cm="1">
        <f t="array" ref="S39">($F$4*(1+$Q39)*'User Segmentation'!$I$49)
-Dynamic_Row_Table[[Fixed Cost]:[Fixed Cost]]
-(Dynamic_Row_Table[[Funding Rate]:[Funding Rate]]*Dynamic_Row_Table[[Tenure (in months)]:[Tenure (in months)]]*$F$4*(1+$Q39)/12)
-(IF($Q39&lt;0,'Dynamic CM'!$G$4,'Dynamic CM'!$G$4*(($F$4*(1+$Q39)/$F$4)^'Dynamic CM'!$H$4))
*VLOOKUP($D$4,EAD_Table[#All],MATCH("EAD",EAD_Table[#Headers],0),FALSE)
*$F$4*(1+$Q39))</f>
        <v>8.0308167570131364</v>
      </c>
      <c r="T39" s="98" cm="1">
        <f t="array" ref="T39">($F$5*(1+$Q39)*'User Segmentation'!$I$49)
-Dynamic_Row_Table[[Fixed Cost]:[Fixed Cost]]
-(Dynamic_Row_Table[[Funding Rate]:[Funding Rate]]*Dynamic_Row_Table[[Tenure (in months)]:[Tenure (in months)]]*$F$5*(1+$Q39)/12)
-(IF($Q39&lt;0,'Dynamic CM'!$G$5,'Dynamic CM'!$G$5*(($F$5*(1+$Q39)/$F$5)^'Dynamic CM'!$H$5))
*VLOOKUP($D$5,EAD_Table[#All],MATCH("EAD",EAD_Table[#Headers],0),FALSE)
*$F$5*(1+$Q39))</f>
        <v>33.966274629861076</v>
      </c>
      <c r="U39" s="98" cm="1">
        <f t="array" ref="U39">($F$6*(1+$Q39)*'User Segmentation'!$I$49)
-Dynamic_Row_Table[[Fixed Cost]:[Fixed Cost]]
-(Dynamic_Row_Table[[Funding Rate]:[Funding Rate]]*Dynamic_Row_Table[[Tenure (in months)]:[Tenure (in months)]]*$F$6*(1+$Q39)/12)
-(IF($Q39&lt;0,'Dynamic CM'!$G$6,'Dynamic CM'!$G$6*(($F$6*(1+$Q39)/$F$6)^'Dynamic CM'!$H$6))
*VLOOKUP($D$6,EAD_Table[#All],MATCH("EAD",EAD_Table[#Headers],0),FALSE)
*$F$6*(1+$Q39))</f>
        <v>4.0675996507427978</v>
      </c>
    </row>
    <row r="40" spans="1:21" x14ac:dyDescent="0.2">
      <c r="Q40" s="64">
        <v>2.2000000000000002</v>
      </c>
      <c r="R40" s="98" cm="1">
        <f t="array" ref="R40">($F$3*(1+$Q40)*'User Segmentation'!$I$49)
-Dynamic_Row_Table[[Fixed Cost]:[Fixed Cost]]
-(Dynamic_Row_Table[[Funding Rate]:[Funding Rate]]*Dynamic_Row_Table[[Tenure (in months)]:[Tenure (in months)]]*$F$3*(1+$Q40)/12)
-(IF($Q40&lt;0,'Dynamic CM'!$G$3,'Dynamic CM'!$G$3*(($F$3*(1+$Q40)/$F$3)^'Dynamic CM'!$H$3))
*VLOOKUP($D$3,EAD_Table[#All],MATCH("EAD",EAD_Table[#Headers],0),FALSE)
*$F$3*(1+$Q40))</f>
        <v>-36.590827363905852</v>
      </c>
      <c r="S40" s="98" cm="1">
        <f t="array" ref="S40">($F$4*(1+$Q40)*'User Segmentation'!$I$49)
-Dynamic_Row_Table[[Fixed Cost]:[Fixed Cost]]
-(Dynamic_Row_Table[[Funding Rate]:[Funding Rate]]*Dynamic_Row_Table[[Tenure (in months)]:[Tenure (in months)]]*$F$4*(1+$Q40)/12)
-(IF($Q40&lt;0,'Dynamic CM'!$G$4,'Dynamic CM'!$G$4*(($F$4*(1+$Q40)/$F$4)^'Dynamic CM'!$H$4))
*VLOOKUP($D$4,EAD_Table[#All],MATCH("EAD",EAD_Table[#Headers],0),FALSE)
*$F$4*(1+$Q40))</f>
        <v>7.8937660418836568</v>
      </c>
      <c r="T40" s="98" cm="1">
        <f t="array" ref="T40">($F$5*(1+$Q40)*'User Segmentation'!$I$49)
-Dynamic_Row_Table[[Fixed Cost]:[Fixed Cost]]
-(Dynamic_Row_Table[[Funding Rate]:[Funding Rate]]*Dynamic_Row_Table[[Tenure (in months)]:[Tenure (in months)]]*$F$5*(1+$Q40)/12)
-(IF($Q40&lt;0,'Dynamic CM'!$G$5,'Dynamic CM'!$G$5*(($F$5*(1+$Q40)/$F$5)^'Dynamic CM'!$H$5))
*VLOOKUP($D$5,EAD_Table[#All],MATCH("EAD",EAD_Table[#Headers],0),FALSE)
*$F$5*(1+$Q40))</f>
        <v>34.560439086701912</v>
      </c>
      <c r="U40" s="98" cm="1">
        <f t="array" ref="U40">($F$6*(1+$Q40)*'User Segmentation'!$I$49)
-Dynamic_Row_Table[[Fixed Cost]:[Fixed Cost]]
-(Dynamic_Row_Table[[Funding Rate]:[Funding Rate]]*Dynamic_Row_Table[[Tenure (in months)]:[Tenure (in months)]]*$F$6*(1+$Q40)/12)
-(IF($Q40&lt;0,'Dynamic CM'!$G$6,'Dynamic CM'!$G$6*(($F$6*(1+$Q40)/$F$6)^'Dynamic CM'!$H$6))
*VLOOKUP($D$6,EAD_Table[#All],MATCH("EAD",EAD_Table[#Headers],0),FALSE)
*$F$6*(1+$Q40))</f>
        <v>3.9543701470208727</v>
      </c>
    </row>
    <row r="41" spans="1:21" x14ac:dyDescent="0.2">
      <c r="Q41" s="64">
        <v>2.2999999999999998</v>
      </c>
      <c r="R41" s="98" cm="1">
        <f t="array" ref="R41">($F$3*(1+$Q41)*'User Segmentation'!$I$49)
-Dynamic_Row_Table[[Fixed Cost]:[Fixed Cost]]
-(Dynamic_Row_Table[[Funding Rate]:[Funding Rate]]*Dynamic_Row_Table[[Tenure (in months)]:[Tenure (in months)]]*$F$3*(1+$Q41)/12)
-(IF($Q41&lt;0,'Dynamic CM'!$G$3,'Dynamic CM'!$G$3*(($F$3*(1+$Q41)/$F$3)^'Dynamic CM'!$H$3))
*VLOOKUP($D$3,EAD_Table[#All],MATCH("EAD",EAD_Table[#Headers],0),FALSE)
*$F$3*(1+$Q41))</f>
        <v>-40.147034708035733</v>
      </c>
      <c r="S41" s="98" cm="1">
        <f t="array" ref="S41">($F$4*(1+$Q41)*'User Segmentation'!$I$49)
-Dynamic_Row_Table[[Fixed Cost]:[Fixed Cost]]
-(Dynamic_Row_Table[[Funding Rate]:[Funding Rate]]*Dynamic_Row_Table[[Tenure (in months)]:[Tenure (in months)]]*$F$4*(1+$Q41)/12)
-(IF($Q41&lt;0,'Dynamic CM'!$G$4,'Dynamic CM'!$G$4*(($F$4*(1+$Q41)/$F$4)^'Dynamic CM'!$H$4))
*VLOOKUP($D$4,EAD_Table[#All],MATCH("EAD",EAD_Table[#Headers],0),FALSE)
*$F$4*(1+$Q41))</f>
        <v>7.7208010445362678</v>
      </c>
      <c r="T41" s="98" cm="1">
        <f t="array" ref="T41">($F$5*(1+$Q41)*'User Segmentation'!$I$49)
-Dynamic_Row_Table[[Fixed Cost]:[Fixed Cost]]
-(Dynamic_Row_Table[[Funding Rate]:[Funding Rate]]*Dynamic_Row_Table[[Tenure (in months)]:[Tenure (in months)]]*$F$5*(1+$Q41)/12)
-(IF($Q41&lt;0,'Dynamic CM'!$G$5,'Dynamic CM'!$G$5*(($F$5*(1+$Q41)/$F$5)^'Dynamic CM'!$H$5))
*VLOOKUP($D$5,EAD_Table[#All],MATCH("EAD",EAD_Table[#Headers],0),FALSE)
*$F$5*(1+$Q41))</f>
        <v>35.115839354634772</v>
      </c>
      <c r="U41" s="98" cm="1">
        <f t="array" ref="U41">($F$6*(1+$Q41)*'User Segmentation'!$I$49)
-Dynamic_Row_Table[[Fixed Cost]:[Fixed Cost]]
-(Dynamic_Row_Table[[Funding Rate]:[Funding Rate]]*Dynamic_Row_Table[[Tenure (in months)]:[Tenure (in months)]]*$F$6*(1+$Q41)/12)
-(IF($Q41&lt;0,'Dynamic CM'!$G$6,'Dynamic CM'!$G$6*(($F$6*(1+$Q41)/$F$6)^'Dynamic CM'!$H$6))
*VLOOKUP($D$6,EAD_Table[#All],MATCH("EAD",EAD_Table[#Headers],0),FALSE)
*$F$6*(1+$Q41))</f>
        <v>3.8162776715391971</v>
      </c>
    </row>
    <row r="42" spans="1:21" x14ac:dyDescent="0.2">
      <c r="Q42" s="64">
        <v>2.4</v>
      </c>
      <c r="R42" s="98" cm="1">
        <f t="array" ref="R42">($F$3*(1+$Q42)*'User Segmentation'!$I$49)
-Dynamic_Row_Table[[Fixed Cost]:[Fixed Cost]]
-(Dynamic_Row_Table[[Funding Rate]:[Funding Rate]]*Dynamic_Row_Table[[Tenure (in months)]:[Tenure (in months)]]*$F$3*(1+$Q42)/12)
-(IF($Q42&lt;0,'Dynamic CM'!$G$3,'Dynamic CM'!$G$3*(($F$3*(1+$Q42)/$F$3)^'Dynamic CM'!$H$3))
*VLOOKUP($D$3,EAD_Table[#All],MATCH("EAD",EAD_Table[#Headers],0),FALSE)
*$F$3*(1+$Q42))</f>
        <v>-43.925752398141455</v>
      </c>
      <c r="S42" s="98" cm="1">
        <f t="array" ref="S42">($F$4*(1+$Q42)*'User Segmentation'!$I$49)
-Dynamic_Row_Table[[Fixed Cost]:[Fixed Cost]]
-(Dynamic_Row_Table[[Funding Rate]:[Funding Rate]]*Dynamic_Row_Table[[Tenure (in months)]:[Tenure (in months)]]*$F$4*(1+$Q42)/12)
-(IF($Q42&lt;0,'Dynamic CM'!$G$4,'Dynamic CM'!$G$4*(($F$4*(1+$Q42)/$F$4)^'Dynamic CM'!$H$4))
*VLOOKUP($D$4,EAD_Table[#All],MATCH("EAD",EAD_Table[#Headers],0),FALSE)
*$F$4*(1+$Q42))</f>
        <v>7.5115663342823282</v>
      </c>
      <c r="T42" s="98" cm="1">
        <f t="array" ref="T42">($F$5*(1+$Q42)*'User Segmentation'!$I$49)
-Dynamic_Row_Table[[Fixed Cost]:[Fixed Cost]]
-(Dynamic_Row_Table[[Funding Rate]:[Funding Rate]]*Dynamic_Row_Table[[Tenure (in months)]:[Tenure (in months)]]*$F$5*(1+$Q42)/12)
-(IF($Q42&lt;0,'Dynamic CM'!$G$5,'Dynamic CM'!$G$5*(($F$5*(1+$Q42)/$F$5)^'Dynamic CM'!$H$5))
*VLOOKUP($D$5,EAD_Table[#All],MATCH("EAD",EAD_Table[#Headers],0),FALSE)
*$F$5*(1+$Q42))</f>
        <v>35.632390637098808</v>
      </c>
      <c r="U42" s="98" cm="1">
        <f t="array" ref="U42">($F$6*(1+$Q42)*'User Segmentation'!$I$49)
-Dynamic_Row_Table[[Fixed Cost]:[Fixed Cost]]
-(Dynamic_Row_Table[[Funding Rate]:[Funding Rate]]*Dynamic_Row_Table[[Tenure (in months)]:[Tenure (in months)]]*$F$6*(1+$Q42)/12)
-(IF($Q42&lt;0,'Dynamic CM'!$G$6,'Dynamic CM'!$G$6*(($F$6*(1+$Q42)/$F$6)^'Dynamic CM'!$H$6))
*VLOOKUP($D$6,EAD_Table[#All],MATCH("EAD",EAD_Table[#Headers],0),FALSE)
*$F$6*(1+$Q42))</f>
        <v>3.6530761644400265</v>
      </c>
    </row>
    <row r="43" spans="1:21" x14ac:dyDescent="0.2">
      <c r="Q43" s="64">
        <v>2.5</v>
      </c>
      <c r="R43" s="98" cm="1">
        <f t="array" ref="R43">($F$3*(1+$Q43)*'User Segmentation'!$I$49)
-Dynamic_Row_Table[[Fixed Cost]:[Fixed Cost]]
-(Dynamic_Row_Table[[Funding Rate]:[Funding Rate]]*Dynamic_Row_Table[[Tenure (in months)]:[Tenure (in months)]]*$F$3*(1+$Q43)/12)
-(IF($Q43&lt;0,'Dynamic CM'!$G$3,'Dynamic CM'!$G$3*(($F$3*(1+$Q43)/$F$3)^'Dynamic CM'!$H$3))
*VLOOKUP($D$3,EAD_Table[#All],MATCH("EAD",EAD_Table[#Headers],0),FALSE)
*$F$3*(1+$Q43))</f>
        <v>-47.932971678710103</v>
      </c>
      <c r="S43" s="98" cm="1">
        <f t="array" ref="S43">($F$4*(1+$Q43)*'User Segmentation'!$I$49)
-Dynamic_Row_Table[[Fixed Cost]:[Fixed Cost]]
-(Dynamic_Row_Table[[Funding Rate]:[Funding Rate]]*Dynamic_Row_Table[[Tenure (in months)]:[Tenure (in months)]]*$F$4*(1+$Q43)/12)
-(IF($Q43&lt;0,'Dynamic CM'!$G$4,'Dynamic CM'!$G$4*(($F$4*(1+$Q43)/$F$4)^'Dynamic CM'!$H$4))
*VLOOKUP($D$4,EAD_Table[#All],MATCH("EAD",EAD_Table[#Headers],0),FALSE)
*$F$4*(1+$Q43))</f>
        <v>7.265713732835307</v>
      </c>
      <c r="T43" s="98" cm="1">
        <f t="array" ref="T43">($F$5*(1+$Q43)*'User Segmentation'!$I$49)
-Dynamic_Row_Table[[Fixed Cost]:[Fixed Cost]]
-(Dynamic_Row_Table[[Funding Rate]:[Funding Rate]]*Dynamic_Row_Table[[Tenure (in months)]:[Tenure (in months)]]*$F$5*(1+$Q43)/12)
-(IF($Q43&lt;0,'Dynamic CM'!$G$5,'Dynamic CM'!$G$5*(($F$5*(1+$Q43)/$F$5)^'Dynamic CM'!$H$5))
*VLOOKUP($D$5,EAD_Table[#All],MATCH("EAD",EAD_Table[#Headers],0),FALSE)
*$F$5*(1+$Q43))</f>
        <v>36.110010492603699</v>
      </c>
      <c r="U43" s="98" cm="1">
        <f t="array" ref="U43">($F$6*(1+$Q43)*'User Segmentation'!$I$49)
-Dynamic_Row_Table[[Fixed Cost]:[Fixed Cost]]
-(Dynamic_Row_Table[[Funding Rate]:[Funding Rate]]*Dynamic_Row_Table[[Tenure (in months)]:[Tenure (in months)]]*$F$6*(1+$Q43)/12)
-(IF($Q43&lt;0,'Dynamic CM'!$G$6,'Dynamic CM'!$G$6*(($F$6*(1+$Q43)/$F$6)^'Dynamic CM'!$H$6))
*VLOOKUP($D$6,EAD_Table[#All],MATCH("EAD",EAD_Table[#Headers],0),FALSE)
*$F$6*(1+$Q43))</f>
        <v>3.4645245866054566</v>
      </c>
    </row>
    <row r="44" spans="1:21" x14ac:dyDescent="0.2">
      <c r="Q44" s="64">
        <v>2.6</v>
      </c>
      <c r="R44" s="98" cm="1">
        <f t="array" ref="R44">($F$3*(1+$Q44)*'User Segmentation'!$I$49)
-Dynamic_Row_Table[[Fixed Cost]:[Fixed Cost]]
-(Dynamic_Row_Table[[Funding Rate]:[Funding Rate]]*Dynamic_Row_Table[[Tenure (in months)]:[Tenure (in months)]]*$F$3*(1+$Q44)/12)
-(IF($Q44&lt;0,'Dynamic CM'!$G$3,'Dynamic CM'!$G$3*(($F$3*(1+$Q44)/$F$3)^'Dynamic CM'!$H$3))
*VLOOKUP($D$3,EAD_Table[#All],MATCH("EAD",EAD_Table[#Headers],0),FALSE)
*$F$3*(1+$Q44))</f>
        <v>-52.174664436076775</v>
      </c>
      <c r="S44" s="98" cm="1">
        <f t="array" ref="S44">($F$4*(1+$Q44)*'User Segmentation'!$I$49)
-Dynamic_Row_Table[[Fixed Cost]:[Fixed Cost]]
-(Dynamic_Row_Table[[Funding Rate]:[Funding Rate]]*Dynamic_Row_Table[[Tenure (in months)]:[Tenure (in months)]]*$F$4*(1+$Q44)/12)
-(IF($Q44&lt;0,'Dynamic CM'!$G$4,'Dynamic CM'!$G$4*(($F$4*(1+$Q44)/$F$4)^'Dynamic CM'!$H$4))
*VLOOKUP($D$4,EAD_Table[#All],MATCH("EAD",EAD_Table[#Headers],0),FALSE)
*$F$4*(1+$Q44))</f>
        <v>6.9829019592757504</v>
      </c>
      <c r="T44" s="98" cm="1">
        <f t="array" ref="T44">($F$5*(1+$Q44)*'User Segmentation'!$I$49)
-Dynamic_Row_Table[[Fixed Cost]:[Fixed Cost]]
-(Dynamic_Row_Table[[Funding Rate]:[Funding Rate]]*Dynamic_Row_Table[[Tenure (in months)]:[Tenure (in months)]]*$F$5*(1+$Q44)/12)
-(IF($Q44&lt;0,'Dynamic CM'!$G$5,'Dynamic CM'!$G$5*(($F$5*(1+$Q44)/$F$5)^'Dynamic CM'!$H$5))
*VLOOKUP($D$5,EAD_Table[#All],MATCH("EAD",EAD_Table[#Headers],0),FALSE)
*$F$5*(1+$Q44))</f>
        <v>36.548618702829316</v>
      </c>
      <c r="U44" s="98" cm="1">
        <f t="array" ref="U44">($F$6*(1+$Q44)*'User Segmentation'!$I$49)
-Dynamic_Row_Table[[Fixed Cost]:[Fixed Cost]]
-(Dynamic_Row_Table[[Funding Rate]:[Funding Rate]]*Dynamic_Row_Table[[Tenure (in months)]:[Tenure (in months)]]*$F$6*(1+$Q44)/12)
-(IF($Q44&lt;0,'Dynamic CM'!$G$6,'Dynamic CM'!$G$6*(($F$6*(1+$Q44)/$F$6)^'Dynamic CM'!$H$6))
*VLOOKUP($D$6,EAD_Table[#All],MATCH("EAD",EAD_Table[#Headers],0),FALSE)
*$F$6*(1+$Q44))</f>
        <v>3.2503866738715317</v>
      </c>
    </row>
    <row r="45" spans="1:21" x14ac:dyDescent="0.2">
      <c r="Q45" s="64">
        <v>2.7</v>
      </c>
      <c r="R45" s="98" cm="1">
        <f t="array" ref="R45">($F$3*(1+$Q45)*'User Segmentation'!$I$49)
-Dynamic_Row_Table[[Fixed Cost]:[Fixed Cost]]
-(Dynamic_Row_Table[[Funding Rate]:[Funding Rate]]*Dynamic_Row_Table[[Tenure (in months)]:[Tenure (in months)]]*$F$3*(1+$Q45)/12)
-(IF($Q45&lt;0,'Dynamic CM'!$G$3,'Dynamic CM'!$G$3*(($F$3*(1+$Q45)/$F$3)^'Dynamic CM'!$H$3))
*VLOOKUP($D$3,EAD_Table[#All],MATCH("EAD",EAD_Table[#Headers],0),FALSE)
*$F$3*(1+$Q45))</f>
        <v>-56.656783811738464</v>
      </c>
      <c r="S45" s="98" cm="1">
        <f t="array" ref="S45">($F$4*(1+$Q45)*'User Segmentation'!$I$49)
-Dynamic_Row_Table[[Fixed Cost]:[Fixed Cost]]
-(Dynamic_Row_Table[[Funding Rate]:[Funding Rate]]*Dynamic_Row_Table[[Tenure (in months)]:[Tenure (in months)]]*$F$4*(1+$Q45)/12)
-(IF($Q45&lt;0,'Dynamic CM'!$G$4,'Dynamic CM'!$G$4*(($F$4*(1+$Q45)/$F$4)^'Dynamic CM'!$H$4))
*VLOOKUP($D$4,EAD_Table[#All],MATCH("EAD",EAD_Table[#Headers],0),FALSE)
*$F$4*(1+$Q45))</f>
        <v>6.6627963019631302</v>
      </c>
      <c r="T45" s="98" cm="1">
        <f t="array" ref="T45">($F$5*(1+$Q45)*'User Segmentation'!$I$49)
-Dynamic_Row_Table[[Fixed Cost]:[Fixed Cost]]
-(Dynamic_Row_Table[[Funding Rate]:[Funding Rate]]*Dynamic_Row_Table[[Tenure (in months)]:[Tenure (in months)]]*$F$5*(1+$Q45)/12)
-(IF($Q45&lt;0,'Dynamic CM'!$G$5,'Dynamic CM'!$G$5*(($F$5*(1+$Q45)/$F$5)^'Dynamic CM'!$H$5))
*VLOOKUP($D$5,EAD_Table[#All],MATCH("EAD",EAD_Table[#Headers],0),FALSE)
*$F$5*(1+$Q45))</f>
        <v>36.948137151627762</v>
      </c>
      <c r="U45" s="98" cm="1">
        <f t="array" ref="U45">($F$6*(1+$Q45)*'User Segmentation'!$I$49)
-Dynamic_Row_Table[[Fixed Cost]:[Fixed Cost]]
-(Dynamic_Row_Table[[Funding Rate]:[Funding Rate]]*Dynamic_Row_Table[[Tenure (in months)]:[Tenure (in months)]]*$F$6*(1+$Q45)/12)
-(IF($Q45&lt;0,'Dynamic CM'!$G$6,'Dynamic CM'!$G$6*(($F$6*(1+$Q45)/$F$6)^'Dynamic CM'!$H$6))
*VLOOKUP($D$6,EAD_Table[#All],MATCH("EAD",EAD_Table[#Headers],0),FALSE)
*$F$6*(1+$Q45))</f>
        <v>3.0104307098972143</v>
      </c>
    </row>
    <row r="46" spans="1:21" x14ac:dyDescent="0.2">
      <c r="Q46" s="64">
        <v>2.8</v>
      </c>
      <c r="R46" s="98" cm="1">
        <f t="array" ref="R46">($F$3*(1+$Q46)*'User Segmentation'!$I$49)
-Dynamic_Row_Table[[Fixed Cost]:[Fixed Cost]]
-(Dynamic_Row_Table[[Funding Rate]:[Funding Rate]]*Dynamic_Row_Table[[Tenure (in months)]:[Tenure (in months)]]*$F$3*(1+$Q46)/12)
-(IF($Q46&lt;0,'Dynamic CM'!$G$3,'Dynamic CM'!$G$3*(($F$3*(1+$Q46)/$F$3)^'Dynamic CM'!$H$3))
*VLOOKUP($D$3,EAD_Table[#All],MATCH("EAD",EAD_Table[#Headers],0),FALSE)
*$F$3*(1+$Q46))</f>
        <v>-61.385264779746862</v>
      </c>
      <c r="S46" s="98" cm="1">
        <f t="array" ref="S46">($F$4*(1+$Q46)*'User Segmentation'!$I$49)
-Dynamic_Row_Table[[Fixed Cost]:[Fixed Cost]]
-(Dynamic_Row_Table[[Funding Rate]:[Funding Rate]]*Dynamic_Row_Table[[Tenure (in months)]:[Tenure (in months)]]*$F$4*(1+$Q46)/12)
-(IF($Q46&lt;0,'Dynamic CM'!$G$4,'Dynamic CM'!$G$4*(($F$4*(1+$Q46)/$F$4)^'Dynamic CM'!$H$4))
*VLOOKUP($D$4,EAD_Table[#All],MATCH("EAD",EAD_Table[#Headers],0),FALSE)
*$F$4*(1+$Q46))</f>
        <v>6.3050683146629112</v>
      </c>
      <c r="T46" s="98" cm="1">
        <f t="array" ref="T46">($F$5*(1+$Q46)*'User Segmentation'!$I$49)
-Dynamic_Row_Table[[Fixed Cost]:[Fixed Cost]]
-(Dynamic_Row_Table[[Funding Rate]:[Funding Rate]]*Dynamic_Row_Table[[Tenure (in months)]:[Tenure (in months)]]*$F$5*(1+$Q46)/12)
-(IF($Q46&lt;0,'Dynamic CM'!$G$5,'Dynamic CM'!$G$5*(($F$5*(1+$Q46)/$F$5)^'Dynamic CM'!$H$5))
*VLOOKUP($D$5,EAD_Table[#All],MATCH("EAD",EAD_Table[#Headers],0),FALSE)
*$F$5*(1+$Q46))</f>
        <v>37.308489713752429</v>
      </c>
      <c r="U46" s="98" cm="1">
        <f t="array" ref="U46">($F$6*(1+$Q46)*'User Segmentation'!$I$49)
-Dynamic_Row_Table[[Fixed Cost]:[Fixed Cost]]
-(Dynamic_Row_Table[[Funding Rate]:[Funding Rate]]*Dynamic_Row_Table[[Tenure (in months)]:[Tenure (in months)]]*$F$6*(1+$Q46)/12)
-(IF($Q46&lt;0,'Dynamic CM'!$G$6,'Dynamic CM'!$G$6*(($F$6*(1+$Q46)/$F$6)^'Dynamic CM'!$H$6))
*VLOOKUP($D$6,EAD_Table[#All],MATCH("EAD",EAD_Table[#Headers],0),FALSE)
*$F$6*(1+$Q46))</f>
        <v>2.7444293157973227</v>
      </c>
    </row>
    <row r="47" spans="1:21" x14ac:dyDescent="0.2">
      <c r="Q47" s="64">
        <v>2.9</v>
      </c>
      <c r="R47" s="98" cm="1">
        <f t="array" ref="R47">($F$3*(1+$Q47)*'User Segmentation'!$I$49)
-Dynamic_Row_Table[[Fixed Cost]:[Fixed Cost]]
-(Dynamic_Row_Table[[Funding Rate]:[Funding Rate]]*Dynamic_Row_Table[[Tenure (in months)]:[Tenure (in months)]]*$F$3*(1+$Q47)/12)
-(IF($Q47&lt;0,'Dynamic CM'!$G$3,'Dynamic CM'!$G$3*(($F$3*(1+$Q47)/$F$3)^'Dynamic CM'!$H$3))
*VLOOKUP($D$3,EAD_Table[#All],MATCH("EAD",EAD_Table[#Headers],0),FALSE)
*$F$3*(1+$Q47))</f>
        <v>-66.366024691198717</v>
      </c>
      <c r="S47" s="98" cm="1">
        <f t="array" ref="S47">($F$4*(1+$Q47)*'User Segmentation'!$I$49)
-Dynamic_Row_Table[[Fixed Cost]:[Fixed Cost]]
-(Dynamic_Row_Table[[Funding Rate]:[Funding Rate]]*Dynamic_Row_Table[[Tenure (in months)]:[Tenure (in months)]]*$F$4*(1+$Q47)/12)
-(IF($Q47&lt;0,'Dynamic CM'!$G$4,'Dynamic CM'!$G$4*(($F$4*(1+$Q47)/$F$4)^'Dynamic CM'!$H$4))
*VLOOKUP($D$4,EAD_Table[#All],MATCH("EAD",EAD_Table[#Headers],0),FALSE)
*$F$4*(1+$Q47))</f>
        <v>5.9093955345000744</v>
      </c>
      <c r="T47" s="98" cm="1">
        <f t="array" ref="T47">($F$5*(1+$Q47)*'User Segmentation'!$I$49)
-Dynamic_Row_Table[[Fixed Cost]:[Fixed Cost]]
-(Dynamic_Row_Table[[Funding Rate]:[Funding Rate]]*Dynamic_Row_Table[[Tenure (in months)]:[Tenure (in months)]]*$F$5*(1+$Q47)/12)
-(IF($Q47&lt;0,'Dynamic CM'!$G$5,'Dynamic CM'!$G$5*(($F$5*(1+$Q47)/$F$5)^'Dynamic CM'!$H$5))
*VLOOKUP($D$5,EAD_Table[#All],MATCH("EAD",EAD_Table[#Headers],0),FALSE)
*$F$5*(1+$Q47))</f>
        <v>37.629602152292648</v>
      </c>
      <c r="U47" s="98" cm="1">
        <f t="array" ref="U47">($F$6*(1+$Q47)*'User Segmentation'!$I$49)
-Dynamic_Row_Table[[Fixed Cost]:[Fixed Cost]]
-(Dynamic_Row_Table[[Funding Rate]:[Funding Rate]]*Dynamic_Row_Table[[Tenure (in months)]:[Tenure (in months)]]*$F$6*(1+$Q47)/12)
-(IF($Q47&lt;0,'Dynamic CM'!$G$6,'Dynamic CM'!$G$6*(($F$6*(1+$Q47)/$F$6)^'Dynamic CM'!$H$6))
*VLOOKUP($D$6,EAD_Table[#All],MATCH("EAD",EAD_Table[#Headers],0),FALSE)
*$F$6*(1+$Q47))</f>
        <v>2.4521592548854727</v>
      </c>
    </row>
    <row r="48" spans="1:21" x14ac:dyDescent="0.2">
      <c r="Q48" s="64">
        <v>3</v>
      </c>
      <c r="R48" s="98" cm="1">
        <f t="array" ref="R48">($F$3*(1+$Q48)*'User Segmentation'!$I$49)
-Dynamic_Row_Table[[Fixed Cost]:[Fixed Cost]]
-(Dynamic_Row_Table[[Funding Rate]:[Funding Rate]]*Dynamic_Row_Table[[Tenure (in months)]:[Tenure (in months)]]*$F$3*(1+$Q48)/12)
-(IF($Q48&lt;0,'Dynamic CM'!$G$3,'Dynamic CM'!$G$3*(($F$3*(1+$Q48)/$F$3)^'Dynamic CM'!$H$3))
*VLOOKUP($D$3,EAD_Table[#All],MATCH("EAD",EAD_Table[#Headers],0),FALSE)
*$F$3*(1+$Q48))</f>
        <v>-71.604963788513984</v>
      </c>
      <c r="S48" s="98" cm="1">
        <f t="array" ref="S48">($F$4*(1+$Q48)*'User Segmentation'!$I$49)
-Dynamic_Row_Table[[Fixed Cost]:[Fixed Cost]]
-(Dynamic_Row_Table[[Funding Rate]:[Funding Rate]]*Dynamic_Row_Table[[Tenure (in months)]:[Tenure (in months)]]*$F$4*(1+$Q48)/12)
-(IF($Q48&lt;0,'Dynamic CM'!$G$4,'Dynamic CM'!$G$4*(($F$4*(1+$Q48)/$F$4)^'Dynamic CM'!$H$4))
*VLOOKUP($D$4,EAD_Table[#All],MATCH("EAD",EAD_Table[#Headers],0),FALSE)
*$F$4*(1+$Q48))</f>
        <v>5.4754612196420602</v>
      </c>
      <c r="T48" s="98" cm="1">
        <f t="array" ref="T48">($F$5*(1+$Q48)*'User Segmentation'!$I$49)
-Dynamic_Row_Table[[Fixed Cost]:[Fixed Cost]]
-(Dynamic_Row_Table[[Funding Rate]:[Funding Rate]]*Dynamic_Row_Table[[Tenure (in months)]:[Tenure (in months)]]*$F$5*(1+$Q48)/12)
-(IF($Q48&lt;0,'Dynamic CM'!$G$5,'Dynamic CM'!$G$5*(($F$5*(1+$Q48)/$F$5)^'Dynamic CM'!$H$5))
*VLOOKUP($D$5,EAD_Table[#All],MATCH("EAD",EAD_Table[#Headers],0),FALSE)
*$F$5*(1+$Q48))</f>
        <v>37.91140202392414</v>
      </c>
      <c r="U48" s="98" cm="1">
        <f t="array" ref="U48">($F$6*(1+$Q48)*'User Segmentation'!$I$49)
-Dynamic_Row_Table[[Fixed Cost]:[Fixed Cost]]
-(Dynamic_Row_Table[[Funding Rate]:[Funding Rate]]*Dynamic_Row_Table[[Tenure (in months)]:[Tenure (in months)]]*$F$6*(1+$Q48)/12)
-(IF($Q48&lt;0,'Dynamic CM'!$G$6,'Dynamic CM'!$G$6*(($F$6*(1+$Q48)/$F$6)^'Dynamic CM'!$H$6))
*VLOOKUP($D$6,EAD_Table[#All],MATCH("EAD",EAD_Table[#Headers],0),FALSE)
*$F$6*(1+$Q48))</f>
        <v>2.13340125107562</v>
      </c>
    </row>
    <row r="49" spans="17:21" x14ac:dyDescent="0.2">
      <c r="Q49" s="64">
        <v>3.1</v>
      </c>
      <c r="R49" s="98" cm="1">
        <f t="array" ref="R49">($F$3*(1+$Q49)*'User Segmentation'!$I$49)
-Dynamic_Row_Table[[Fixed Cost]:[Fixed Cost]]
-(Dynamic_Row_Table[[Funding Rate]:[Funding Rate]]*Dynamic_Row_Table[[Tenure (in months)]:[Tenure (in months)]]*$F$3*(1+$Q49)/12)
-(IF($Q49&lt;0,'Dynamic CM'!$G$3,'Dynamic CM'!$G$3*(($F$3*(1+$Q49)/$F$3)^'Dynamic CM'!$H$3))
*VLOOKUP($D$3,EAD_Table[#All],MATCH("EAD",EAD_Table[#Headers],0),FALSE)
*$F$3*(1+$Q49))</f>
        <v>-77.107965691910962</v>
      </c>
      <c r="S49" s="98" cm="1">
        <f t="array" ref="S49">($F$4*(1+$Q49)*'User Segmentation'!$I$49)
-Dynamic_Row_Table[[Fixed Cost]:[Fixed Cost]]
-(Dynamic_Row_Table[[Funding Rate]:[Funding Rate]]*Dynamic_Row_Table[[Tenure (in months)]:[Tenure (in months)]]*$F$4*(1+$Q49)/12)
-(IF($Q49&lt;0,'Dynamic CM'!$G$4,'Dynamic CM'!$G$4*(($F$4*(1+$Q49)/$F$4)^'Dynamic CM'!$H$4))
*VLOOKUP($D$4,EAD_Table[#All],MATCH("EAD",EAD_Table[#Headers],0),FALSE)
*$F$4*(1+$Q49))</f>
        <v>5.0029541048639921</v>
      </c>
      <c r="T49" s="98" cm="1">
        <f t="array" ref="T49">($F$5*(1+$Q49)*'User Segmentation'!$I$49)
-Dynamic_Row_Table[[Fixed Cost]:[Fixed Cost]]
-(Dynamic_Row_Table[[Funding Rate]:[Funding Rate]]*Dynamic_Row_Table[[Tenure (in months)]:[Tenure (in months)]]*$F$5*(1+$Q49)/12)
-(IF($Q49&lt;0,'Dynamic CM'!$G$5,'Dynamic CM'!$G$5*(($F$5*(1+$Q49)/$F$5)^'Dynamic CM'!$H$5))
*VLOOKUP($D$5,EAD_Table[#All],MATCH("EAD",EAD_Table[#Headers],0),FALSE)
*$F$5*(1+$Q49))</f>
        <v>38.153818591196334</v>
      </c>
      <c r="U49" s="98" cm="1">
        <f t="array" ref="U49">($F$6*(1+$Q49)*'User Segmentation'!$I$49)
-Dynamic_Row_Table[[Fixed Cost]:[Fixed Cost]]
-(Dynamic_Row_Table[[Funding Rate]:[Funding Rate]]*Dynamic_Row_Table[[Tenure (in months)]:[Tenure (in months)]]*$F$6*(1+$Q49)/12)
-(IF($Q49&lt;0,'Dynamic CM'!$G$6,'Dynamic CM'!$G$6*(($F$6*(1+$Q49)/$F$6)^'Dynamic CM'!$H$6))
*VLOOKUP($D$6,EAD_Table[#All],MATCH("EAD",EAD_Table[#Headers],0),FALSE)
*$F$6*(1+$Q49))</f>
        <v>1.7879398196631318</v>
      </c>
    </row>
    <row r="50" spans="17:21" x14ac:dyDescent="0.2">
      <c r="Q50" s="64">
        <v>3.2</v>
      </c>
      <c r="R50" s="98" cm="1">
        <f t="array" ref="R50">($F$3*(1+$Q50)*'User Segmentation'!$I$49)
-Dynamic_Row_Table[[Fixed Cost]:[Fixed Cost]]
-(Dynamic_Row_Table[[Funding Rate]:[Funding Rate]]*Dynamic_Row_Table[[Tenure (in months)]:[Tenure (in months)]]*$F$3*(1+$Q50)/12)
-(IF($Q50&lt;0,'Dynamic CM'!$G$3,'Dynamic CM'!$G$3*(($F$3*(1+$Q50)/$F$3)^'Dynamic CM'!$H$3))
*VLOOKUP($D$3,EAD_Table[#All],MATCH("EAD",EAD_Table[#Headers],0),FALSE)
*$F$3*(1+$Q50))</f>
        <v>-82.880897860238349</v>
      </c>
      <c r="S50" s="98" cm="1">
        <f t="array" ref="S50">($F$4*(1+$Q50)*'User Segmentation'!$I$49)
-Dynamic_Row_Table[[Fixed Cost]:[Fixed Cost]]
-(Dynamic_Row_Table[[Funding Rate]:[Funding Rate]]*Dynamic_Row_Table[[Tenure (in months)]:[Tenure (in months)]]*$F$4*(1+$Q50)/12)
-(IF($Q50&lt;0,'Dynamic CM'!$G$4,'Dynamic CM'!$G$4*(($F$4*(1+$Q50)/$F$4)^'Dynamic CM'!$H$4))
*VLOOKUP($D$4,EAD_Table[#All],MATCH("EAD",EAD_Table[#Headers],0),FALSE)
*$F$4*(1+$Q50))</f>
        <v>4.4915681733636106</v>
      </c>
      <c r="T50" s="98" cm="1">
        <f t="array" ref="T50">($F$5*(1+$Q50)*'User Segmentation'!$I$49)
-Dynamic_Row_Table[[Fixed Cost]:[Fixed Cost]]
-(Dynamic_Row_Table[[Funding Rate]:[Funding Rate]]*Dynamic_Row_Table[[Tenure (in months)]:[Tenure (in months)]]*$F$5*(1+$Q50)/12)
-(IF($Q50&lt;0,'Dynamic CM'!$G$5,'Dynamic CM'!$G$5*(($F$5*(1+$Q50)/$F$5)^'Dynamic CM'!$H$5))
*VLOOKUP($D$5,EAD_Table[#All],MATCH("EAD",EAD_Table[#Headers],0),FALSE)
*$F$5*(1+$Q50))</f>
        <v>38.356782741172793</v>
      </c>
      <c r="U50" s="98" cm="1">
        <f t="array" ref="U50">($F$6*(1+$Q50)*'User Segmentation'!$I$49)
-Dynamic_Row_Table[[Fixed Cost]:[Fixed Cost]]
-(Dynamic_Row_Table[[Funding Rate]:[Funding Rate]]*Dynamic_Row_Table[[Tenure (in months)]:[Tenure (in months)]]*$F$6*(1+$Q50)/12)
-(IF($Q50&lt;0,'Dynamic CM'!$G$6,'Dynamic CM'!$G$6*(($F$6*(1+$Q50)/$F$6)^'Dynamic CM'!$H$6))
*VLOOKUP($D$6,EAD_Table[#All],MATCH("EAD",EAD_Table[#Headers],0),FALSE)
*$F$6*(1+$Q50))</f>
        <v>1.4155631093553609</v>
      </c>
    </row>
    <row r="51" spans="17:21" x14ac:dyDescent="0.2">
      <c r="Q51" s="64">
        <v>3.3</v>
      </c>
      <c r="R51" s="98" cm="1">
        <f t="array" ref="R51">($F$3*(1+$Q51)*'User Segmentation'!$I$49)
-Dynamic_Row_Table[[Fixed Cost]:[Fixed Cost]]
-(Dynamic_Row_Table[[Funding Rate]:[Funding Rate]]*Dynamic_Row_Table[[Tenure (in months)]:[Tenure (in months)]]*$F$3*(1+$Q51)/12)
-(IF($Q51&lt;0,'Dynamic CM'!$G$3,'Dynamic CM'!$G$3*(($F$3*(1+$Q51)/$F$3)^'Dynamic CM'!$H$3))
*VLOOKUP($D$3,EAD_Table[#All],MATCH("EAD",EAD_Table[#Headers],0),FALSE)
*$F$3*(1+$Q51))</f>
        <v>-88.929612028108451</v>
      </c>
      <c r="S51" s="98" cm="1">
        <f t="array" ref="S51">($F$4*(1+$Q51)*'User Segmentation'!$I$49)
-Dynamic_Row_Table[[Fixed Cost]:[Fixed Cost]]
-(Dynamic_Row_Table[[Funding Rate]:[Funding Rate]]*Dynamic_Row_Table[[Tenure (in months)]:[Tenure (in months)]]*$F$4*(1+$Q51)/12)
-(IF($Q51&lt;0,'Dynamic CM'!$G$4,'Dynamic CM'!$G$4*(($F$4*(1+$Q51)/$F$4)^'Dynamic CM'!$H$4))
*VLOOKUP($D$4,EAD_Table[#All],MATCH("EAD",EAD_Table[#Headers],0),FALSE)
*$F$4*(1+$Q51))</f>
        <v>3.941002443378089</v>
      </c>
      <c r="T51" s="98" cm="1">
        <f t="array" ref="T51">($F$5*(1+$Q51)*'User Segmentation'!$I$49)
-Dynamic_Row_Table[[Fixed Cost]:[Fixed Cost]]
-(Dynamic_Row_Table[[Funding Rate]:[Funding Rate]]*Dynamic_Row_Table[[Tenure (in months)]:[Tenure (in months)]]*$F$5*(1+$Q51)/12)
-(IF($Q51&lt;0,'Dynamic CM'!$G$5,'Dynamic CM'!$G$5*(($F$5*(1+$Q51)/$F$5)^'Dynamic CM'!$H$5))
*VLOOKUP($D$5,EAD_Table[#All],MATCH("EAD",EAD_Table[#Headers],0),FALSE)
*$F$5*(1+$Q51))</f>
        <v>38.520226909822107</v>
      </c>
      <c r="U51" s="98" cm="1">
        <f t="array" ref="U51">($F$6*(1+$Q51)*'User Segmentation'!$I$49)
-Dynamic_Row_Table[[Fixed Cost]:[Fixed Cost]]
-(Dynamic_Row_Table[[Funding Rate]:[Funding Rate]]*Dynamic_Row_Table[[Tenure (in months)]:[Tenure (in months)]]*$F$6*(1+$Q51)/12)
-(IF($Q51&lt;0,'Dynamic CM'!$G$6,'Dynamic CM'!$G$6*(($F$6*(1+$Q51)/$F$6)^'Dynamic CM'!$H$6))
*VLOOKUP($D$6,EAD_Table[#All],MATCH("EAD",EAD_Table[#Headers],0),FALSE)
*$F$6*(1+$Q51))</f>
        <v>1.016062754549349</v>
      </c>
    </row>
    <row r="52" spans="17:21" x14ac:dyDescent="0.2">
      <c r="Q52" s="64">
        <v>3.4</v>
      </c>
      <c r="R52" s="98" cm="1">
        <f t="array" ref="R52">($F$3*(1+$Q52)*'User Segmentation'!$I$49)
-Dynamic_Row_Table[[Fixed Cost]:[Fixed Cost]]
-(Dynamic_Row_Table[[Funding Rate]:[Funding Rate]]*Dynamic_Row_Table[[Tenure (in months)]:[Tenure (in months)]]*$F$3*(1+$Q52)/12)
-(IF($Q52&lt;0,'Dynamic CM'!$G$3,'Dynamic CM'!$G$3*(($F$3*(1+$Q52)/$F$3)^'Dynamic CM'!$H$3))
*VLOOKUP($D$3,EAD_Table[#All],MATCH("EAD",EAD_Table[#Headers],0),FALSE)
*$F$3*(1+$Q52))</f>
        <v>-95.259944621085879</v>
      </c>
      <c r="S52" s="98" cm="1">
        <f t="array" ref="S52">($F$4*(1+$Q52)*'User Segmentation'!$I$49)
-Dynamic_Row_Table[[Fixed Cost]:[Fixed Cost]]
-(Dynamic_Row_Table[[Funding Rate]:[Funding Rate]]*Dynamic_Row_Table[[Tenure (in months)]:[Tenure (in months)]]*$F$4*(1+$Q52)/12)
-(IF($Q52&lt;0,'Dynamic CM'!$G$4,'Dynamic CM'!$G$4*(($F$4*(1+$Q52)/$F$4)^'Dynamic CM'!$H$4))
*VLOOKUP($D$4,EAD_Table[#All],MATCH("EAD",EAD_Table[#Headers],0),FALSE)
*$F$4*(1+$Q52))</f>
        <v>3.3509607683153604</v>
      </c>
      <c r="T52" s="98" cm="1">
        <f t="array" ref="T52">($F$5*(1+$Q52)*'User Segmentation'!$I$49)
-Dynamic_Row_Table[[Fixed Cost]:[Fixed Cost]]
-(Dynamic_Row_Table[[Funding Rate]:[Funding Rate]]*Dynamic_Row_Table[[Tenure (in months)]:[Tenure (in months)]]*$F$5*(1+$Q52)/12)
-(IF($Q52&lt;0,'Dynamic CM'!$G$5,'Dynamic CM'!$G$5*(($F$5*(1+$Q52)/$F$5)^'Dynamic CM'!$H$5))
*VLOOKUP($D$5,EAD_Table[#All],MATCH("EAD",EAD_Table[#Headers],0),FALSE)
*$F$5*(1+$Q52))</f>
        <v>38.644085011627261</v>
      </c>
      <c r="U52" s="98" cm="1">
        <f t="array" ref="U52">($F$6*(1+$Q52)*'User Segmentation'!$I$49)
-Dynamic_Row_Table[[Fixed Cost]:[Fixed Cost]]
-(Dynamic_Row_Table[[Funding Rate]:[Funding Rate]]*Dynamic_Row_Table[[Tenure (in months)]:[Tenure (in months)]]*$F$6*(1+$Q52)/12)
-(IF($Q52&lt;0,'Dynamic CM'!$G$6,'Dynamic CM'!$G$6*(($F$6*(1+$Q52)/$F$6)^'Dynamic CM'!$H$6))
*VLOOKUP($D$6,EAD_Table[#All],MATCH("EAD",EAD_Table[#Headers],0),FALSE)
*$F$6*(1+$Q52))</f>
        <v>0.58923373696542214</v>
      </c>
    </row>
    <row r="53" spans="17:21" x14ac:dyDescent="0.2">
      <c r="Q53" s="64">
        <v>3.5</v>
      </c>
      <c r="R53" s="98" cm="1">
        <f t="array" ref="R53">($F$3*(1+$Q53)*'User Segmentation'!$I$49)
-Dynamic_Row_Table[[Fixed Cost]:[Fixed Cost]]
-(Dynamic_Row_Table[[Funding Rate]:[Funding Rate]]*Dynamic_Row_Table[[Tenure (in months)]:[Tenure (in months)]]*$F$3*(1+$Q53)/12)
-(IF($Q53&lt;0,'Dynamic CM'!$G$3,'Dynamic CM'!$G$3*(($F$3*(1+$Q53)/$F$3)^'Dynamic CM'!$H$3))
*VLOOKUP($D$3,EAD_Table[#All],MATCH("EAD",EAD_Table[#Headers],0),FALSE)
*$F$3*(1+$Q53))</f>
        <v>-101.87771715051711</v>
      </c>
      <c r="S53" s="98" cm="1">
        <f t="array" ref="S53">($F$4*(1+$Q53)*'User Segmentation'!$I$49)
-Dynamic_Row_Table[[Fixed Cost]:[Fixed Cost]]
-(Dynamic_Row_Table[[Funding Rate]:[Funding Rate]]*Dynamic_Row_Table[[Tenure (in months)]:[Tenure (in months)]]*$F$4*(1+$Q53)/12)
-(IF($Q53&lt;0,'Dynamic CM'!$G$4,'Dynamic CM'!$G$4*(($F$4*(1+$Q53)/$F$4)^'Dynamic CM'!$H$4))
*VLOOKUP($D$4,EAD_Table[#All],MATCH("EAD",EAD_Table[#Headers],0),FALSE)
*$F$4*(1+$Q53))</f>
        <v>2.721151649251599</v>
      </c>
      <c r="T53" s="98" cm="1">
        <f t="array" ref="T53">($F$5*(1+$Q53)*'User Segmentation'!$I$49)
-Dynamic_Row_Table[[Fixed Cost]:[Fixed Cost]]
-(Dynamic_Row_Table[[Funding Rate]:[Funding Rate]]*Dynamic_Row_Table[[Tenure (in months)]:[Tenure (in months)]]*$F$5*(1+$Q53)/12)
-(IF($Q53&lt;0,'Dynamic CM'!$G$5,'Dynamic CM'!$G$5*(($F$5*(1+$Q53)/$F$5)^'Dynamic CM'!$H$5))
*VLOOKUP($D$5,EAD_Table[#All],MATCH("EAD",EAD_Table[#Headers],0),FALSE)
*$F$5*(1+$Q53))</f>
        <v>38.728292373940825</v>
      </c>
      <c r="U53" s="98" cm="1">
        <f t="array" ref="U53">($F$6*(1+$Q53)*'User Segmentation'!$I$49)
-Dynamic_Row_Table[[Fixed Cost]:[Fixed Cost]]
-(Dynamic_Row_Table[[Funding Rate]:[Funding Rate]]*Dynamic_Row_Table[[Tenure (in months)]:[Tenure (in months)]]*$F$6*(1+$Q53)/12)
-(IF($Q53&lt;0,'Dynamic CM'!$G$6,'Dynamic CM'!$G$6*(($F$6*(1+$Q53)/$F$6)^'Dynamic CM'!$H$6))
*VLOOKUP($D$6,EAD_Table[#All],MATCH("EAD",EAD_Table[#Headers],0),FALSE)
*$F$6*(1+$Q53))</f>
        <v>0.13487425584179036</v>
      </c>
    </row>
    <row r="54" spans="17:21" x14ac:dyDescent="0.2">
      <c r="Q54" s="64">
        <v>3.6</v>
      </c>
      <c r="R54" s="98" cm="1">
        <f t="array" ref="R54">($F$3*(1+$Q54)*'User Segmentation'!$I$49)
-Dynamic_Row_Table[[Fixed Cost]:[Fixed Cost]]
-(Dynamic_Row_Table[[Funding Rate]:[Funding Rate]]*Dynamic_Row_Table[[Tenure (in months)]:[Tenure (in months)]]*$F$3*(1+$Q54)/12)
-(IF($Q54&lt;0,'Dynamic CM'!$G$3,'Dynamic CM'!$G$3*(($F$3*(1+$Q54)/$F$3)^'Dynamic CM'!$H$3))
*VLOOKUP($D$3,EAD_Table[#All],MATCH("EAD",EAD_Table[#Headers],0),FALSE)
*$F$3*(1+$Q54))</f>
        <v>-108.78873658944018</v>
      </c>
      <c r="S54" s="98" cm="1">
        <f t="array" ref="S54">($F$4*(1+$Q54)*'User Segmentation'!$I$49)
-Dynamic_Row_Table[[Fixed Cost]:[Fixed Cost]]
-(Dynamic_Row_Table[[Funding Rate]:[Funding Rate]]*Dynamic_Row_Table[[Tenure (in months)]:[Tenure (in months)]]*$F$4*(1+$Q54)/12)
-(IF($Q54&lt;0,'Dynamic CM'!$G$4,'Dynamic CM'!$G$4*(($F$4*(1+$Q54)/$F$4)^'Dynamic CM'!$H$4))
*VLOOKUP($D$4,EAD_Table[#All],MATCH("EAD",EAD_Table[#Headers],0),FALSE)
*$F$4*(1+$Q54))</f>
        <v>2.0512880587677031</v>
      </c>
      <c r="T54" s="98" cm="1">
        <f t="array" ref="T54">($F$5*(1+$Q54)*'User Segmentation'!$I$49)
-Dynamic_Row_Table[[Fixed Cost]:[Fixed Cost]]
-(Dynamic_Row_Table[[Funding Rate]:[Funding Rate]]*Dynamic_Row_Table[[Tenure (in months)]:[Tenure (in months)]]*$F$5*(1+$Q54)/12)
-(IF($Q54&lt;0,'Dynamic CM'!$G$5,'Dynamic CM'!$G$5*(($F$5*(1+$Q54)/$F$5)^'Dynamic CM'!$H$5))
*VLOOKUP($D$5,EAD_Table[#All],MATCH("EAD",EAD_Table[#Headers],0),FALSE)
*$F$5*(1+$Q54))</f>
        <v>38.772785675666874</v>
      </c>
      <c r="U54" s="98" cm="1">
        <f t="array" ref="U54">($F$6*(1+$Q54)*'User Segmentation'!$I$49)
-Dynamic_Row_Table[[Fixed Cost]:[Fixed Cost]]
-(Dynamic_Row_Table[[Funding Rate]:[Funding Rate]]*Dynamic_Row_Table[[Tenure (in months)]:[Tenure (in months)]]*$F$6*(1+$Q54)/12)
-(IF($Q54&lt;0,'Dynamic CM'!$G$6,'Dynamic CM'!$G$6*(($F$6*(1+$Q54)/$F$6)^'Dynamic CM'!$H$6))
*VLOOKUP($D$6,EAD_Table[#All],MATCH("EAD",EAD_Table[#Headers],0),FALSE)
*$F$6*(1+$Q54))</f>
        <v>-0.34721439402110477</v>
      </c>
    </row>
    <row r="55" spans="17:21" x14ac:dyDescent="0.2">
      <c r="Q55" s="64">
        <v>3.7</v>
      </c>
      <c r="R55" s="98" cm="1">
        <f t="array" ref="R55">($F$3*(1+$Q55)*'User Segmentation'!$I$49)
-Dynamic_Row_Table[[Fixed Cost]:[Fixed Cost]]
-(Dynamic_Row_Table[[Funding Rate]:[Funding Rate]]*Dynamic_Row_Table[[Tenure (in months)]:[Tenure (in months)]]*$F$3*(1+$Q55)/12)
-(IF($Q55&lt;0,'Dynamic CM'!$G$3,'Dynamic CM'!$G$3*(($F$3*(1+$Q55)/$F$3)^'Dynamic CM'!$H$3))
*VLOOKUP($D$3,EAD_Table[#All],MATCH("EAD",EAD_Table[#Headers],0),FALSE)
*$F$3*(1+$Q55))</f>
        <v>-115.99879573088118</v>
      </c>
      <c r="S55" s="98" cm="1">
        <f t="array" ref="S55">($F$4*(1+$Q55)*'User Segmentation'!$I$49)
-Dynamic_Row_Table[[Fixed Cost]:[Fixed Cost]]
-(Dynamic_Row_Table[[Funding Rate]:[Funding Rate]]*Dynamic_Row_Table[[Tenure (in months)]:[Tenure (in months)]]*$F$4*(1+$Q55)/12)
-(IF($Q55&lt;0,'Dynamic CM'!$G$4,'Dynamic CM'!$G$4*(($F$4*(1+$Q55)/$F$4)^'Dynamic CM'!$H$4))
*VLOOKUP($D$4,EAD_Table[#All],MATCH("EAD",EAD_Table[#Headers],0),FALSE)
*$F$4*(1+$Q55))</f>
        <v>1.3410872752040532</v>
      </c>
      <c r="T55" s="98" cm="1">
        <f t="array" ref="T55">($F$5*(1+$Q55)*'User Segmentation'!$I$49)
-Dynamic_Row_Table[[Fixed Cost]:[Fixed Cost]]
-(Dynamic_Row_Table[[Funding Rate]:[Funding Rate]]*Dynamic_Row_Table[[Tenure (in months)]:[Tenure (in months)]]*$F$5*(1+$Q55)/12)
-(IF($Q55&lt;0,'Dynamic CM'!$G$5,'Dynamic CM'!$G$5*(($F$5*(1+$Q55)/$F$5)^'Dynamic CM'!$H$5))
*VLOOKUP($D$5,EAD_Table[#All],MATCH("EAD",EAD_Table[#Headers],0),FALSE)
*$F$5*(1+$Q55))</f>
        <v>38.777502889895068</v>
      </c>
      <c r="U55" s="98" cm="1">
        <f t="array" ref="U55">($F$6*(1+$Q55)*'User Segmentation'!$I$49)
-Dynamic_Row_Table[[Fixed Cost]:[Fixed Cost]]
-(Dynamic_Row_Table[[Funding Rate]:[Funding Rate]]*Dynamic_Row_Table[[Tenure (in months)]:[Tenure (in months)]]*$F$6*(1+$Q55)/12)
-(IF($Q55&lt;0,'Dynamic CM'!$G$6,'Dynamic CM'!$G$6*(($F$6*(1+$Q55)/$F$6)^'Dynamic CM'!$H$6))
*VLOOKUP($D$6,EAD_Table[#All],MATCH("EAD",EAD_Table[#Headers],0),FALSE)
*$F$6*(1+$Q55))</f>
        <v>-0.85722793700379185</v>
      </c>
    </row>
    <row r="56" spans="17:21" x14ac:dyDescent="0.2">
      <c r="Q56" s="64">
        <v>3.8</v>
      </c>
      <c r="R56" s="98" cm="1">
        <f t="array" ref="R56">($F$3*(1+$Q56)*'User Segmentation'!$I$49)
-Dynamic_Row_Table[[Fixed Cost]:[Fixed Cost]]
-(Dynamic_Row_Table[[Funding Rate]:[Funding Rate]]*Dynamic_Row_Table[[Tenure (in months)]:[Tenure (in months)]]*$F$3*(1+$Q56)/12)
-(IF($Q56&lt;0,'Dynamic CM'!$G$3,'Dynamic CM'!$G$3*(($F$3*(1+$Q56)/$F$3)^'Dynamic CM'!$H$3))
*VLOOKUP($D$3,EAD_Table[#All],MATCH("EAD",EAD_Table[#Headers],0),FALSE)
*$F$3*(1+$Q56))</f>
        <v>-123.51367352972638</v>
      </c>
      <c r="S56" s="98" cm="1">
        <f t="array" ref="S56">($F$4*(1+$Q56)*'User Segmentation'!$I$49)
-Dynamic_Row_Table[[Fixed Cost]:[Fixed Cost]]
-(Dynamic_Row_Table[[Funding Rate]:[Funding Rate]]*Dynamic_Row_Table[[Tenure (in months)]:[Tenure (in months)]]*$F$4*(1+$Q56)/12)
-(IF($Q56&lt;0,'Dynamic CM'!$G$4,'Dynamic CM'!$G$4*(($F$4*(1+$Q56)/$F$4)^'Dynamic CM'!$H$4))
*VLOOKUP($D$4,EAD_Table[#All],MATCH("EAD",EAD_Table[#Headers],0),FALSE)
*$F$4*(1+$Q56))</f>
        <v>0.5902707265055831</v>
      </c>
      <c r="T56" s="98" cm="1">
        <f t="array" ref="T56">($F$5*(1+$Q56)*'User Segmentation'!$I$49)
-Dynamic_Row_Table[[Fixed Cost]:[Fixed Cost]]
-(Dynamic_Row_Table[[Funding Rate]:[Funding Rate]]*Dynamic_Row_Table[[Tenure (in months)]:[Tenure (in months)]]*$F$5*(1+$Q56)/12)
-(IF($Q56&lt;0,'Dynamic CM'!$G$5,'Dynamic CM'!$G$5*(($F$5*(1+$Q56)/$F$5)^'Dynamic CM'!$H$5))
*VLOOKUP($D$5,EAD_Table[#All],MATCH("EAD",EAD_Table[#Headers],0),FALSE)
*$F$5*(1+$Q56))</f>
        <v>38.742383230152733</v>
      </c>
      <c r="U56" s="98" cm="1">
        <f t="array" ref="U56">($F$6*(1+$Q56)*'User Segmentation'!$I$49)
-Dynamic_Row_Table[[Fixed Cost]:[Fixed Cost]]
-(Dynamic_Row_Table[[Funding Rate]:[Funding Rate]]*Dynamic_Row_Table[[Tenure (in months)]:[Tenure (in months)]]*$F$6*(1+$Q56)/12)
-(IF($Q56&lt;0,'Dynamic CM'!$G$6,'Dynamic CM'!$G$6*(($F$6*(1+$Q56)/$F$6)^'Dynamic CM'!$H$6))
*VLOOKUP($D$6,EAD_Table[#All],MATCH("EAD",EAD_Table[#Headers],0),FALSE)
*$F$6*(1+$Q56))</f>
        <v>-1.3953592247717204</v>
      </c>
    </row>
    <row r="57" spans="17:21" x14ac:dyDescent="0.2">
      <c r="Q57" s="64">
        <v>3.9</v>
      </c>
      <c r="R57" s="98" cm="1">
        <f t="array" ref="R57">($F$3*(1+$Q57)*'User Segmentation'!$I$49)
-Dynamic_Row_Table[[Fixed Cost]:[Fixed Cost]]
-(Dynamic_Row_Table[[Funding Rate]:[Funding Rate]]*Dynamic_Row_Table[[Tenure (in months)]:[Tenure (in months)]]*$F$3*(1+$Q57)/12)
-(IF($Q57&lt;0,'Dynamic CM'!$G$3,'Dynamic CM'!$G$3*(($F$3*(1+$Q57)/$F$3)^'Dynamic CM'!$H$3))
*VLOOKUP($D$3,EAD_Table[#All],MATCH("EAD",EAD_Table[#Headers],0),FALSE)
*$F$3*(1+$Q57))</f>
        <v>-131.33913542925887</v>
      </c>
      <c r="S57" s="98" cm="1">
        <f t="array" ref="S57">($F$4*(1+$Q57)*'User Segmentation'!$I$49)
-Dynamic_Row_Table[[Fixed Cost]:[Fixed Cost]]
-(Dynamic_Row_Table[[Funding Rate]:[Funding Rate]]*Dynamic_Row_Table[[Tenure (in months)]:[Tenure (in months)]]*$F$4*(1+$Q57)/12)
-(IF($Q57&lt;0,'Dynamic CM'!$G$4,'Dynamic CM'!$G$4*(($F$4*(1+$Q57)/$F$4)^'Dynamic CM'!$H$4))
*VLOOKUP($D$4,EAD_Table[#All],MATCH("EAD",EAD_Table[#Headers],0),FALSE)
*$F$4*(1+$Q57))</f>
        <v>-0.20143615708902729</v>
      </c>
      <c r="T57" s="98" cm="1">
        <f t="array" ref="T57">($F$5*(1+$Q57)*'User Segmentation'!$I$49)
-Dynamic_Row_Table[[Fixed Cost]:[Fixed Cost]]
-(Dynamic_Row_Table[[Funding Rate]:[Funding Rate]]*Dynamic_Row_Table[[Tenure (in months)]:[Tenure (in months)]]*$F$5*(1+$Q57)/12)
-(IF($Q57&lt;0,'Dynamic CM'!$G$5,'Dynamic CM'!$G$5*(($F$5*(1+$Q57)/$F$5)^'Dynamic CM'!$H$5))
*VLOOKUP($D$5,EAD_Table[#All],MATCH("EAD",EAD_Table[#Headers],0),FALSE)
*$F$5*(1+$Q57))</f>
        <v>38.667367099975245</v>
      </c>
      <c r="U57" s="98" cm="1">
        <f t="array" ref="U57">($F$6*(1+$Q57)*'User Segmentation'!$I$49)
-Dynamic_Row_Table[[Fixed Cost]:[Fixed Cost]]
-(Dynamic_Row_Table[[Funding Rate]:[Funding Rate]]*Dynamic_Row_Table[[Tenure (in months)]:[Tenure (in months)]]*$F$6*(1+$Q57)/12)
-(IF($Q57&lt;0,'Dynamic CM'!$G$6,'Dynamic CM'!$G$6*(($F$6*(1+$Q57)/$F$6)^'Dynamic CM'!$H$6))
*VLOOKUP($D$6,EAD_Table[#All],MATCH("EAD",EAD_Table[#Headers],0),FALSE)
*$F$6*(1+$Q57))</f>
        <v>-1.9617983382564361</v>
      </c>
    </row>
    <row r="58" spans="17:21" x14ac:dyDescent="0.2">
      <c r="Q58" s="64">
        <v>4</v>
      </c>
      <c r="R58" s="98" cm="1">
        <f t="array" ref="R58">($F$3*(1+$Q58)*'User Segmentation'!$I$49)
-Dynamic_Row_Table[[Fixed Cost]:[Fixed Cost]]
-(Dynamic_Row_Table[[Funding Rate]:[Funding Rate]]*Dynamic_Row_Table[[Tenure (in months)]:[Tenure (in months)]]*$F$3*(1+$Q58)/12)
-(IF($Q58&lt;0,'Dynamic CM'!$G$3,'Dynamic CM'!$G$3*(($F$3*(1+$Q58)/$F$3)^'Dynamic CM'!$H$3))
*VLOOKUP($D$3,EAD_Table[#All],MATCH("EAD",EAD_Table[#Headers],0),FALSE)
*$F$3*(1+$Q58))</f>
        <v>-139.48093367334951</v>
      </c>
      <c r="S58" s="98" cm="1">
        <f t="array" ref="S58">($F$4*(1+$Q58)*'User Segmentation'!$I$49)
-Dynamic_Row_Table[[Fixed Cost]:[Fixed Cost]]
-(Dynamic_Row_Table[[Funding Rate]:[Funding Rate]]*Dynamic_Row_Table[[Tenure (in months)]:[Tenure (in months)]]*$F$4*(1+$Q58)/12)
-(IF($Q58&lt;0,'Dynamic CM'!$G$4,'Dynamic CM'!$G$4*(($F$4*(1+$Q58)/$F$4)^'Dynamic CM'!$H$4))
*VLOOKUP($D$4,EAD_Table[#All],MATCH("EAD",EAD_Table[#Headers],0),FALSE)
*$F$4*(1+$Q58))</f>
        <v>-1.0343040821871341</v>
      </c>
      <c r="T58" s="98" cm="1">
        <f t="array" ref="T58">($F$5*(1+$Q58)*'User Segmentation'!$I$49)
-Dynamic_Row_Table[[Fixed Cost]:[Fixed Cost]]
-(Dynamic_Row_Table[[Funding Rate]:[Funding Rate]]*Dynamic_Row_Table[[Tenure (in months)]:[Tenure (in months)]]*$F$5*(1+$Q58)/12)
-(IF($Q58&lt;0,'Dynamic CM'!$G$5,'Dynamic CM'!$G$5*(($F$5*(1+$Q58)/$F$5)^'Dynamic CM'!$H$5))
*VLOOKUP($D$5,EAD_Table[#All],MATCH("EAD",EAD_Table[#Headers],0),FALSE)
*$F$5*(1+$Q58))</f>
        <v>38.552396045525498</v>
      </c>
      <c r="U58" s="98" cm="1">
        <f t="array" ref="U58">($F$6*(1+$Q58)*'User Segmentation'!$I$49)
-Dynamic_Row_Table[[Fixed Cost]:[Fixed Cost]]
-(Dynamic_Row_Table[[Funding Rate]:[Funding Rate]]*Dynamic_Row_Table[[Tenure (in months)]:[Tenure (in months)]]*$F$6*(1+$Q58)/12)
-(IF($Q58&lt;0,'Dynamic CM'!$G$6,'Dynamic CM'!$G$6*(($F$6*(1+$Q58)/$F$6)^'Dynamic CM'!$H$6))
*VLOOKUP($D$6,EAD_Table[#All],MATCH("EAD",EAD_Table[#Headers],0),FALSE)
*$F$6*(1+$Q58))</f>
        <v>-2.5567326839803499</v>
      </c>
    </row>
    <row r="59" spans="17:21" x14ac:dyDescent="0.2">
      <c r="Q59" s="64">
        <v>4.0999999999999996</v>
      </c>
      <c r="R59" s="98" cm="1">
        <f t="array" ref="R59">($F$3*(1+$Q59)*'User Segmentation'!$I$49)
-Dynamic_Row_Table[[Fixed Cost]:[Fixed Cost]]
-(Dynamic_Row_Table[[Funding Rate]:[Funding Rate]]*Dynamic_Row_Table[[Tenure (in months)]:[Tenure (in months)]]*$F$3*(1+$Q59)/12)
-(IF($Q59&lt;0,'Dynamic CM'!$G$3,'Dynamic CM'!$G$3*(($F$3*(1+$Q59)/$F$3)^'Dynamic CM'!$H$3))
*VLOOKUP($D$3,EAD_Table[#All],MATCH("EAD",EAD_Table[#Headers],0),FALSE)
*$F$3*(1+$Q59))</f>
        <v>-147.94480760521543</v>
      </c>
      <c r="S59" s="98" cm="1">
        <f t="array" ref="S59">($F$4*(1+$Q59)*'User Segmentation'!$I$49)
-Dynamic_Row_Table[[Fixed Cost]:[Fixed Cost]]
-(Dynamic_Row_Table[[Funding Rate]:[Funding Rate]]*Dynamic_Row_Table[[Tenure (in months)]:[Tenure (in months)]]*$F$4*(1+$Q59)/12)
-(IF($Q59&lt;0,'Dynamic CM'!$G$4,'Dynamic CM'!$G$4*(($F$4*(1+$Q59)/$F$4)^'Dynamic CM'!$H$4))
*VLOOKUP($D$4,EAD_Table[#All],MATCH("EAD",EAD_Table[#Headers],0),FALSE)
*$F$4*(1+$Q59))</f>
        <v>-1.9086000238213714</v>
      </c>
      <c r="T59" s="98" cm="1">
        <f t="array" ref="T59">($F$5*(1+$Q59)*'User Segmentation'!$I$49)
-Dynamic_Row_Table[[Fixed Cost]:[Fixed Cost]]
-(Dynamic_Row_Table[[Funding Rate]:[Funding Rate]]*Dynamic_Row_Table[[Tenure (in months)]:[Tenure (in months)]]*$F$5*(1+$Q59)/12)
-(IF($Q59&lt;0,'Dynamic CM'!$G$5,'Dynamic CM'!$G$5*(($F$5*(1+$Q59)/$F$5)^'Dynamic CM'!$H$5))
*VLOOKUP($D$5,EAD_Table[#All],MATCH("EAD",EAD_Table[#Headers],0),FALSE)
*$F$5*(1+$Q59))</f>
        <v>38.397412711020152</v>
      </c>
      <c r="U59" s="98" cm="1">
        <f t="array" ref="U59">($F$6*(1+$Q59)*'User Segmentation'!$I$49)
-Dynamic_Row_Table[[Fixed Cost]:[Fixed Cost]]
-(Dynamic_Row_Table[[Funding Rate]:[Funding Rate]]*Dynamic_Row_Table[[Tenure (in months)]:[Tenure (in months)]]*$F$6*(1+$Q59)/12)
-(IF($Q59&lt;0,'Dynamic CM'!$G$6,'Dynamic CM'!$G$6*(($F$6*(1+$Q59)/$F$6)^'Dynamic CM'!$H$6))
*VLOOKUP($D$6,EAD_Table[#All],MATCH("EAD",EAD_Table[#Headers],0),FALSE)
*$F$6*(1+$Q59))</f>
        <v>-3.1803470851471296</v>
      </c>
    </row>
    <row r="60" spans="17:21" x14ac:dyDescent="0.2">
      <c r="Q60" s="64">
        <v>4.2</v>
      </c>
      <c r="R60" s="98" cm="1">
        <f t="array" ref="R60">($F$3*(1+$Q60)*'User Segmentation'!$I$49)
-Dynamic_Row_Table[[Fixed Cost]:[Fixed Cost]]
-(Dynamic_Row_Table[[Funding Rate]:[Funding Rate]]*Dynamic_Row_Table[[Tenure (in months)]:[Tenure (in months)]]*$F$3*(1+$Q60)/12)
-(IF($Q60&lt;0,'Dynamic CM'!$G$3,'Dynamic CM'!$G$3*(($F$3*(1+$Q60)/$F$3)^'Dynamic CM'!$H$3))
*VLOOKUP($D$3,EAD_Table[#All],MATCH("EAD",EAD_Table[#Headers],0),FALSE)
*$F$3*(1+$Q60))</f>
        <v>-156.73648395357864</v>
      </c>
      <c r="S60" s="98" cm="1">
        <f t="array" ref="S60">($F$4*(1+$Q60)*'User Segmentation'!$I$49)
-Dynamic_Row_Table[[Fixed Cost]:[Fixed Cost]]
-(Dynamic_Row_Table[[Funding Rate]:[Funding Rate]]*Dynamic_Row_Table[[Tenure (in months)]:[Tenure (in months)]]*$F$4*(1+$Q60)/12)
-(IF($Q60&lt;0,'Dynamic CM'!$G$4,'Dynamic CM'!$G$4*(($F$4*(1+$Q60)/$F$4)^'Dynamic CM'!$H$4))
*VLOOKUP($D$4,EAD_Table[#All],MATCH("EAD",EAD_Table[#Headers],0),FALSE)
*$F$4*(1+$Q60))</f>
        <v>-2.8245873500207281</v>
      </c>
      <c r="T60" s="98" cm="1">
        <f t="array" ref="T60">($F$5*(1+$Q60)*'User Segmentation'!$I$49)
-Dynamic_Row_Table[[Fixed Cost]:[Fixed Cost]]
-(Dynamic_Row_Table[[Funding Rate]:[Funding Rate]]*Dynamic_Row_Table[[Tenure (in months)]:[Tenure (in months)]]*$F$5*(1+$Q60)/12)
-(IF($Q60&lt;0,'Dynamic CM'!$G$5,'Dynamic CM'!$G$5*(($F$5*(1+$Q60)/$F$5)^'Dynamic CM'!$H$5))
*VLOOKUP($D$5,EAD_Table[#All],MATCH("EAD",EAD_Table[#Headers],0),FALSE)
*$F$5*(1+$Q60))</f>
        <v>38.202360796744095</v>
      </c>
      <c r="U60" s="98" cm="1">
        <f t="array" ref="U60">($F$6*(1+$Q60)*'User Segmentation'!$I$49)
-Dynamic_Row_Table[[Fixed Cost]:[Fixed Cost]]
-(Dynamic_Row_Table[[Funding Rate]:[Funding Rate]]*Dynamic_Row_Table[[Tenure (in months)]:[Tenure (in months)]]*$F$6*(1+$Q60)/12)
-(IF($Q60&lt;0,'Dynamic CM'!$G$6,'Dynamic CM'!$G$6*(($F$6*(1+$Q60)/$F$6)^'Dynamic CM'!$H$6))
*VLOOKUP($D$6,EAD_Table[#All],MATCH("EAD",EAD_Table[#Headers],0),FALSE)
*$F$6*(1+$Q60))</f>
        <v>-3.8328238678805846</v>
      </c>
    </row>
    <row r="61" spans="17:21" x14ac:dyDescent="0.2">
      <c r="Q61" s="64">
        <v>4.3</v>
      </c>
      <c r="R61" s="98" cm="1">
        <f t="array" ref="R61">($F$3*(1+$Q61)*'User Segmentation'!$I$49)
-Dynamic_Row_Table[[Fixed Cost]:[Fixed Cost]]
-(Dynamic_Row_Table[[Funding Rate]:[Funding Rate]]*Dynamic_Row_Table[[Tenure (in months)]:[Tenure (in months)]]*$F$3*(1+$Q61)/12)
-(IF($Q61&lt;0,'Dynamic CM'!$G$3,'Dynamic CM'!$G$3*(($F$3*(1+$Q61)/$F$3)^'Dynamic CM'!$H$3))
*VLOOKUP($D$3,EAD_Table[#All],MATCH("EAD",EAD_Table[#Headers],0),FALSE)
*$F$3*(1+$Q61))</f>
        <v>-165.86167710699343</v>
      </c>
      <c r="S61" s="98" cm="1">
        <f t="array" ref="S61">($F$4*(1+$Q61)*'User Segmentation'!$I$49)
-Dynamic_Row_Table[[Fixed Cost]:[Fixed Cost]]
-(Dynamic_Row_Table[[Funding Rate]:[Funding Rate]]*Dynamic_Row_Table[[Tenure (in months)]:[Tenure (in months)]]*$F$4*(1+$Q61)/12)
-(IF($Q61&lt;0,'Dynamic CM'!$G$4,'Dynamic CM'!$G$4*(($F$4*(1+$Q61)/$F$4)^'Dynamic CM'!$H$4))
*VLOOKUP($D$4,EAD_Table[#All],MATCH("EAD",EAD_Table[#Headers],0),FALSE)
*$F$4*(1+$Q61))</f>
        <v>-3.7825259398763862</v>
      </c>
      <c r="T61" s="98" cm="1">
        <f t="array" ref="T61">($F$5*(1+$Q61)*'User Segmentation'!$I$49)
-Dynamic_Row_Table[[Fixed Cost]:[Fixed Cost]]
-(Dynamic_Row_Table[[Funding Rate]:[Funding Rate]]*Dynamic_Row_Table[[Tenure (in months)]:[Tenure (in months)]]*$F$5*(1+$Q61)/12)
-(IF($Q61&lt;0,'Dynamic CM'!$G$5,'Dynamic CM'!$G$5*(($F$5*(1+$Q61)/$F$5)^'Dynamic CM'!$H$5))
*VLOOKUP($D$5,EAD_Table[#All],MATCH("EAD",EAD_Table[#Headers],0),FALSE)
*$F$5*(1+$Q61))</f>
        <v>37.967185019455215</v>
      </c>
      <c r="U61" s="98" cm="1">
        <f t="array" ref="U61">($F$6*(1+$Q61)*'User Segmentation'!$I$49)
-Dynamic_Row_Table[[Fixed Cost]:[Fixed Cost]]
-(Dynamic_Row_Table[[Funding Rate]:[Funding Rate]]*Dynamic_Row_Table[[Tenure (in months)]:[Tenure (in months)]]*$F$6*(1+$Q61)/12)
-(IF($Q61&lt;0,'Dynamic CM'!$G$6,'Dynamic CM'!$G$6*(($F$6*(1+$Q61)/$F$6)^'Dynamic CM'!$H$6))
*VLOOKUP($D$6,EAD_Table[#All],MATCH("EAD",EAD_Table[#Headers],0),FALSE)
*$F$6*(1+$Q61))</f>
        <v>-4.5143429429601269</v>
      </c>
    </row>
    <row r="62" spans="17:21" x14ac:dyDescent="0.2">
      <c r="Q62" s="64">
        <v>4.4000000000000004</v>
      </c>
      <c r="R62" s="98" cm="1">
        <f t="array" ref="R62">($F$3*(1+$Q62)*'User Segmentation'!$I$49)
-Dynamic_Row_Table[[Fixed Cost]:[Fixed Cost]]
-(Dynamic_Row_Table[[Funding Rate]:[Funding Rate]]*Dynamic_Row_Table[[Tenure (in months)]:[Tenure (in months)]]*$F$3*(1+$Q62)/12)
-(IF($Q62&lt;0,'Dynamic CM'!$G$3,'Dynamic CM'!$G$3*(($F$3*(1+$Q62)/$F$3)^'Dynamic CM'!$H$3))
*VLOOKUP($D$3,EAD_Table[#All],MATCH("EAD",EAD_Table[#Headers],0),FALSE)
*$F$3*(1+$Q62))</f>
        <v>-175.32608937705123</v>
      </c>
      <c r="S62" s="98" cm="1">
        <f t="array" ref="S62">($F$4*(1+$Q62)*'User Segmentation'!$I$49)
-Dynamic_Row_Table[[Fixed Cost]:[Fixed Cost]]
-(Dynamic_Row_Table[[Funding Rate]:[Funding Rate]]*Dynamic_Row_Table[[Tenure (in months)]:[Tenure (in months)]]*$F$4*(1+$Q62)/12)
-(IF($Q62&lt;0,'Dynamic CM'!$G$4,'Dynamic CM'!$G$4*(($F$4*(1+$Q62)/$F$4)^'Dynamic CM'!$H$4))
*VLOOKUP($D$4,EAD_Table[#All],MATCH("EAD",EAD_Table[#Headers],0),FALSE)
*$F$4*(1+$Q62))</f>
        <v>-4.7826722955599266</v>
      </c>
      <c r="T62" s="98" cm="1">
        <f t="array" ref="T62">($F$5*(1+$Q62)*'User Segmentation'!$I$49)
-Dynamic_Row_Table[[Fixed Cost]:[Fixed Cost]]
-(Dynamic_Row_Table[[Funding Rate]:[Funding Rate]]*Dynamic_Row_Table[[Tenure (in months)]:[Tenure (in months)]]*$F$5*(1+$Q62)/12)
-(IF($Q62&lt;0,'Dynamic CM'!$G$5,'Dynamic CM'!$G$5*(($F$5*(1+$Q62)/$F$5)^'Dynamic CM'!$H$5))
*VLOOKUP($D$5,EAD_Table[#All],MATCH("EAD",EAD_Table[#Headers],0),FALSE)
*$F$5*(1+$Q62))</f>
        <v>37.691831075000671</v>
      </c>
      <c r="U62" s="98" cm="1">
        <f t="array" ref="U62">($F$6*(1+$Q62)*'User Segmentation'!$I$49)
-Dynamic_Row_Table[[Fixed Cost]:[Fixed Cost]]
-(Dynamic_Row_Table[[Funding Rate]:[Funding Rate]]*Dynamic_Row_Table[[Tenure (in months)]:[Tenure (in months)]]*$F$6*(1+$Q62)/12)
-(IF($Q62&lt;0,'Dynamic CM'!$G$6,'Dynamic CM'!$G$6*(($F$6*(1+$Q62)/$F$6)^'Dynamic CM'!$H$6))
*VLOOKUP($D$6,EAD_Table[#All],MATCH("EAD",EAD_Table[#Headers],0),FALSE)
*$F$6*(1+$Q62))</f>
        <v>-5.2250818833693522</v>
      </c>
    </row>
    <row r="63" spans="17:21" x14ac:dyDescent="0.2">
      <c r="Q63" s="64">
        <v>4.5</v>
      </c>
      <c r="R63" s="98" cm="1">
        <f t="array" ref="R63">($F$3*(1+$Q63)*'User Segmentation'!$I$49)
-Dynamic_Row_Table[[Fixed Cost]:[Fixed Cost]]
-(Dynamic_Row_Table[[Funding Rate]:[Funding Rate]]*Dynamic_Row_Table[[Tenure (in months)]:[Tenure (in months)]]*$F$3*(1+$Q63)/12)
-(IF($Q63&lt;0,'Dynamic CM'!$G$3,'Dynamic CM'!$G$3*(($F$3*(1+$Q63)/$F$3)^'Dynamic CM'!$H$3))
*VLOOKUP($D$3,EAD_Table[#All],MATCH("EAD",EAD_Table[#Headers],0),FALSE)
*$F$3*(1+$Q63))</f>
        <v>-185.13541125111192</v>
      </c>
      <c r="S63" s="98" cm="1">
        <f t="array" ref="S63">($F$4*(1+$Q63)*'User Segmentation'!$I$49)
-Dynamic_Row_Table[[Fixed Cost]:[Fixed Cost]]
-(Dynamic_Row_Table[[Funding Rate]:[Funding Rate]]*Dynamic_Row_Table[[Tenure (in months)]:[Tenure (in months)]]*$F$4*(1+$Q63)/12)
-(IF($Q63&lt;0,'Dynamic CM'!$G$4,'Dynamic CM'!$G$4*(($F$4*(1+$Q63)/$F$4)^'Dynamic CM'!$H$4))
*VLOOKUP($D$4,EAD_Table[#All],MATCH("EAD",EAD_Table[#Headers],0),FALSE)
*$F$4*(1+$Q63))</f>
        <v>-5.8252796487109961</v>
      </c>
      <c r="T63" s="98" cm="1">
        <f t="array" ref="T63">($F$5*(1+$Q63)*'User Segmentation'!$I$49)
-Dynamic_Row_Table[[Fixed Cost]:[Fixed Cost]]
-(Dynamic_Row_Table[[Funding Rate]:[Funding Rate]]*Dynamic_Row_Table[[Tenure (in months)]:[Tenure (in months)]]*$F$5*(1+$Q63)/12)
-(IF($Q63&lt;0,'Dynamic CM'!$G$5,'Dynamic CM'!$G$5*(($F$5*(1+$Q63)/$F$5)^'Dynamic CM'!$H$5))
*VLOOKUP($D$5,EAD_Table[#All],MATCH("EAD",EAD_Table[#Headers],0),FALSE)
*$F$5*(1+$Q63))</f>
        <v>37.376245602981975</v>
      </c>
      <c r="U63" s="98" cm="1">
        <f t="array" ref="U63">($F$6*(1+$Q63)*'User Segmentation'!$I$49)
-Dynamic_Row_Table[[Fixed Cost]:[Fixed Cost]]
-(Dynamic_Row_Table[[Funding Rate]:[Funding Rate]]*Dynamic_Row_Table[[Tenure (in months)]:[Tenure (in months)]]*$F$6*(1+$Q63)/12)
-(IF($Q63&lt;0,'Dynamic CM'!$G$6,'Dynamic CM'!$G$6*(($F$6*(1+$Q63)/$F$6)^'Dynamic CM'!$H$6))
*VLOOKUP($D$6,EAD_Table[#All],MATCH("EAD",EAD_Table[#Headers],0),FALSE)
*$F$6*(1+$Q63))</f>
        <v>-5.9652159979469346</v>
      </c>
    </row>
    <row r="64" spans="17:21" x14ac:dyDescent="0.2">
      <c r="Q64" s="64">
        <v>4.5999999999999996</v>
      </c>
      <c r="R64" s="98" cm="1">
        <f t="array" ref="R64">($F$3*(1+$Q64)*'User Segmentation'!$I$49)
-Dynamic_Row_Table[[Fixed Cost]:[Fixed Cost]]
-(Dynamic_Row_Table[[Funding Rate]:[Funding Rate]]*Dynamic_Row_Table[[Tenure (in months)]:[Tenure (in months)]]*$F$3*(1+$Q64)/12)
-(IF($Q64&lt;0,'Dynamic CM'!$G$3,'Dynamic CM'!$G$3*(($F$3*(1+$Q64)/$F$3)^'Dynamic CM'!$H$3))
*VLOOKUP($D$3,EAD_Table[#All],MATCH("EAD",EAD_Table[#Headers],0),FALSE)
*$F$3*(1+$Q64))</f>
        <v>-195.29532163516913</v>
      </c>
      <c r="S64" s="98" cm="1">
        <f t="array" ref="S64">($F$4*(1+$Q64)*'User Segmentation'!$I$49)
-Dynamic_Row_Table[[Fixed Cost]:[Fixed Cost]]
-(Dynamic_Row_Table[[Funding Rate]:[Funding Rate]]*Dynamic_Row_Table[[Tenure (in months)]:[Tenure (in months)]]*$F$4*(1+$Q64)/12)
-(IF($Q64&lt;0,'Dynamic CM'!$G$4,'Dynamic CM'!$G$4*(($F$4*(1+$Q64)/$F$4)^'Dynamic CM'!$H$4))
*VLOOKUP($D$4,EAD_Table[#All],MATCH("EAD",EAD_Table[#Headers],0),FALSE)
*$F$4*(1+$Q64))</f>
        <v>-6.9105980615767137</v>
      </c>
      <c r="T64" s="98" cm="1">
        <f t="array" ref="T64">($F$5*(1+$Q64)*'User Segmentation'!$I$49)
-Dynamic_Row_Table[[Fixed Cost]:[Fixed Cost]]
-(Dynamic_Row_Table[[Funding Rate]:[Funding Rate]]*Dynamic_Row_Table[[Tenure (in months)]:[Tenure (in months)]]*$F$5*(1+$Q64)/12)
-(IF($Q64&lt;0,'Dynamic CM'!$G$5,'Dynamic CM'!$G$5*(($F$5*(1+$Q64)/$F$5)^'Dynamic CM'!$H$5))
*VLOOKUP($D$5,EAD_Table[#All],MATCH("EAD",EAD_Table[#Headers],0),FALSE)
*$F$5*(1+$Q64))</f>
        <v>37.020376153320761</v>
      </c>
      <c r="U64" s="98" cm="1">
        <f t="array" ref="U64">($F$6*(1+$Q64)*'User Segmentation'!$I$49)
-Dynamic_Row_Table[[Fixed Cost]:[Fixed Cost]]
-(Dynamic_Row_Table[[Funding Rate]:[Funding Rate]]*Dynamic_Row_Table[[Tenure (in months)]:[Tenure (in months)]]*$F$6*(1+$Q64)/12)
-(IF($Q64&lt;0,'Dynamic CM'!$G$6,'Dynamic CM'!$G$6*(($F$6*(1+$Q64)/$F$6)^'Dynamic CM'!$H$6))
*VLOOKUP($D$6,EAD_Table[#All],MATCH("EAD",EAD_Table[#Headers],0),FALSE)
*$F$6*(1+$Q64))</f>
        <v>-6.7349184014038457</v>
      </c>
    </row>
    <row r="65" spans="17:21" x14ac:dyDescent="0.2">
      <c r="Q65" s="64">
        <v>4.7</v>
      </c>
      <c r="R65" s="98" cm="1">
        <f t="array" ref="R65">($F$3*(1+$Q65)*'User Segmentation'!$I$49)
-Dynamic_Row_Table[[Fixed Cost]:[Fixed Cost]]
-(Dynamic_Row_Table[[Funding Rate]:[Funding Rate]]*Dynamic_Row_Table[[Tenure (in months)]:[Tenure (in months)]]*$F$3*(1+$Q65)/12)
-(IF($Q65&lt;0,'Dynamic CM'!$G$3,'Dynamic CM'!$G$3*(($F$3*(1+$Q65)/$F$3)^'Dynamic CM'!$H$3))
*VLOOKUP($D$3,EAD_Table[#All],MATCH("EAD",EAD_Table[#Headers],0),FALSE)
*$F$3*(1+$Q65))</f>
        <v>-205.81148808740181</v>
      </c>
      <c r="S65" s="98" cm="1">
        <f t="array" ref="S65">($F$4*(1+$Q65)*'User Segmentation'!$I$49)
-Dynamic_Row_Table[[Fixed Cost]:[Fixed Cost]]
-(Dynamic_Row_Table[[Funding Rate]:[Funding Rate]]*Dynamic_Row_Table[[Tenure (in months)]:[Tenure (in months)]]*$F$4*(1+$Q65)/12)
-(IF($Q65&lt;0,'Dynamic CM'!$G$4,'Dynamic CM'!$G$4*(($F$4*(1+$Q65)/$F$4)^'Dynamic CM'!$H$4))
*VLOOKUP($D$4,EAD_Table[#All],MATCH("EAD",EAD_Table[#Headers],0),FALSE)
*$F$4*(1+$Q65))</f>
        <v>-8.0388745232506906</v>
      </c>
      <c r="T65" s="98" cm="1">
        <f t="array" ref="T65">($F$5*(1+$Q65)*'User Segmentation'!$I$49)
-Dynamic_Row_Table[[Fixed Cost]:[Fixed Cost]]
-(Dynamic_Row_Table[[Funding Rate]:[Funding Rate]]*Dynamic_Row_Table[[Tenure (in months)]:[Tenure (in months)]]*$F$5*(1+$Q65)/12)
-(IF($Q65&lt;0,'Dynamic CM'!$G$5,'Dynamic CM'!$G$5*(($F$5*(1+$Q65)/$F$5)^'Dynamic CM'!$H$5))
*VLOOKUP($D$5,EAD_Table[#All],MATCH("EAD",EAD_Table[#Headers],0),FALSE)
*$F$5*(1+$Q65))</f>
        <v>36.624171154591053</v>
      </c>
      <c r="U65" s="98" cm="1">
        <f t="array" ref="U65">($F$6*(1+$Q65)*'User Segmentation'!$I$49)
-Dynamic_Row_Table[[Fixed Cost]:[Fixed Cost]]
-(Dynamic_Row_Table[[Funding Rate]:[Funding Rate]]*Dynamic_Row_Table[[Tenure (in months)]:[Tenure (in months)]]*$F$6*(1+$Q65)/12)
-(IF($Q65&lt;0,'Dynamic CM'!$G$6,'Dynamic CM'!$G$6*(($F$6*(1+$Q65)/$F$6)^'Dynamic CM'!$H$6))
*VLOOKUP($D$6,EAD_Table[#All],MATCH("EAD",EAD_Table[#Headers],0),FALSE)
*$F$6*(1+$Q65))</f>
        <v>-7.5343600809485558</v>
      </c>
    </row>
    <row r="66" spans="17:21" x14ac:dyDescent="0.2">
      <c r="Q66" s="64">
        <v>4.8</v>
      </c>
      <c r="R66" s="98" cm="1">
        <f t="array" ref="R66">($F$3*(1+$Q66)*'User Segmentation'!$I$49)
-Dynamic_Row_Table[[Fixed Cost]:[Fixed Cost]]
-(Dynamic_Row_Table[[Funding Rate]:[Funding Rate]]*Dynamic_Row_Table[[Tenure (in months)]:[Tenure (in months)]]*$F$3*(1+$Q66)/12)
-(IF($Q66&lt;0,'Dynamic CM'!$G$3,'Dynamic CM'!$G$3*(($F$3*(1+$Q66)/$F$3)^'Dynamic CM'!$H$3))
*VLOOKUP($D$3,EAD_Table[#All],MATCH("EAD",EAD_Table[#Headers],0),FALSE)
*$F$3*(1+$Q66))</f>
        <v>-216.68956704293294</v>
      </c>
      <c r="S66" s="98" cm="1">
        <f t="array" ref="S66">($F$4*(1+$Q66)*'User Segmentation'!$I$49)
-Dynamic_Row_Table[[Fixed Cost]:[Fixed Cost]]
-(Dynamic_Row_Table[[Funding Rate]:[Funding Rate]]*Dynamic_Row_Table[[Tenure (in months)]:[Tenure (in months)]]*$F$4*(1+$Q66)/12)
-(IF($Q66&lt;0,'Dynamic CM'!$G$4,'Dynamic CM'!$G$4*(($F$4*(1+$Q66)/$F$4)^'Dynamic CM'!$H$4))
*VLOOKUP($D$4,EAD_Table[#All],MATCH("EAD",EAD_Table[#Headers],0),FALSE)
*$F$4*(1+$Q66))</f>
        <v>-9.2103530413331924</v>
      </c>
      <c r="T66" s="98" cm="1">
        <f t="array" ref="T66">($F$5*(1+$Q66)*'User Segmentation'!$I$49)
-Dynamic_Row_Table[[Fixed Cost]:[Fixed Cost]]
-(Dynamic_Row_Table[[Funding Rate]:[Funding Rate]]*Dynamic_Row_Table[[Tenure (in months)]:[Tenure (in months)]]*$F$5*(1+$Q66)/12)
-(IF($Q66&lt;0,'Dynamic CM'!$G$5,'Dynamic CM'!$G$5*(($F$5*(1+$Q66)/$F$5)^'Dynamic CM'!$H$5))
*VLOOKUP($D$5,EAD_Table[#All],MATCH("EAD",EAD_Table[#Headers],0),FALSE)
*$F$5*(1+$Q66))</f>
        <v>36.187579883994523</v>
      </c>
      <c r="U66" s="98" cm="1">
        <f t="array" ref="U66">($F$6*(1+$Q66)*'User Segmentation'!$I$49)
-Dynamic_Row_Table[[Fixed Cost]:[Fixed Cost]]
-(Dynamic_Row_Table[[Funding Rate]:[Funding Rate]]*Dynamic_Row_Table[[Tenure (in months)]:[Tenure (in months)]]*$F$6*(1+$Q66)/12)
-(IF($Q66&lt;0,'Dynamic CM'!$G$6,'Dynamic CM'!$G$6*(($F$6*(1+$Q66)/$F$6)^'Dynamic CM'!$H$6))
*VLOOKUP($D$6,EAD_Table[#All],MATCH("EAD",EAD_Table[#Headers],0),FALSE)
*$F$6*(1+$Q66))</f>
        <v>-8.3637099597420175</v>
      </c>
    </row>
    <row r="67" spans="17:21" x14ac:dyDescent="0.2">
      <c r="Q67" s="64">
        <v>4.9000000000000004</v>
      </c>
      <c r="R67" s="98" cm="1">
        <f t="array" ref="R67">($F$3*(1+$Q67)*'User Segmentation'!$I$49)
-Dynamic_Row_Table[[Fixed Cost]:[Fixed Cost]]
-(Dynamic_Row_Table[[Funding Rate]:[Funding Rate]]*Dynamic_Row_Table[[Tenure (in months)]:[Tenure (in months)]]*$F$3*(1+$Q67)/12)
-(IF($Q67&lt;0,'Dynamic CM'!$G$3,'Dynamic CM'!$G$3*(($F$3*(1+$Q67)/$F$3)^'Dynamic CM'!$H$3))
*VLOOKUP($D$3,EAD_Table[#All],MATCH("EAD",EAD_Table[#Headers],0),FALSE)
*$F$3*(1+$Q67))</f>
        <v>-227.93520403027438</v>
      </c>
      <c r="S67" s="98" cm="1">
        <f t="array" ref="S67">($F$4*(1+$Q67)*'User Segmentation'!$I$49)
-Dynamic_Row_Table[[Fixed Cost]:[Fixed Cost]]
-(Dynamic_Row_Table[[Funding Rate]:[Funding Rate]]*Dynamic_Row_Table[[Tenure (in months)]:[Tenure (in months)]]*$F$4*(1+$Q67)/12)
-(IF($Q67&lt;0,'Dynamic CM'!$G$4,'Dynamic CM'!$G$4*(($F$4*(1+$Q67)/$F$4)^'Dynamic CM'!$H$4))
*VLOOKUP($D$4,EAD_Table[#All],MATCH("EAD",EAD_Table[#Headers],0),FALSE)
*$F$4*(1+$Q67))</f>
        <v>-10.425274729305762</v>
      </c>
      <c r="T67" s="98" cm="1">
        <f t="array" ref="T67">($F$5*(1+$Q67)*'User Segmentation'!$I$49)
-Dynamic_Row_Table[[Fixed Cost]:[Fixed Cost]]
-(Dynamic_Row_Table[[Funding Rate]:[Funding Rate]]*Dynamic_Row_Table[[Tenure (in months)]:[Tenure (in months)]]*$F$5*(1+$Q67)/12)
-(IF($Q67&lt;0,'Dynamic CM'!$G$5,'Dynamic CM'!$G$5*(($F$5*(1+$Q67)/$F$5)^'Dynamic CM'!$H$5))
*VLOOKUP($D$5,EAD_Table[#All],MATCH("EAD",EAD_Table[#Headers],0),FALSE)
*$F$5*(1+$Q67))</f>
        <v>35.710552438866685</v>
      </c>
      <c r="U67" s="98" cm="1">
        <f t="array" ref="U67">($F$6*(1+$Q67)*'User Segmentation'!$I$49)
-Dynamic_Row_Table[[Fixed Cost]:[Fixed Cost]]
-(Dynamic_Row_Table[[Funding Rate]:[Funding Rate]]*Dynamic_Row_Table[[Tenure (in months)]:[Tenure (in months)]]*$F$6*(1+$Q67)/12)
-(IF($Q67&lt;0,'Dynamic CM'!$G$6,'Dynamic CM'!$G$6*(($F$6*(1+$Q67)/$F$6)^'Dynamic CM'!$H$6))
*VLOOKUP($D$6,EAD_Table[#All],MATCH("EAD",EAD_Table[#Headers],0),FALSE)
*$F$6*(1+$Q67))</f>
        <v>-9.2231349573858559</v>
      </c>
    </row>
    <row r="68" spans="17:21" x14ac:dyDescent="0.2">
      <c r="Q68" s="64">
        <v>5</v>
      </c>
      <c r="R68" s="98" cm="1">
        <f t="array" ref="R68">($F$3*(1+$Q68)*'User Segmentation'!$I$49)
-Dynamic_Row_Table[[Fixed Cost]:[Fixed Cost]]
-(Dynamic_Row_Table[[Funding Rate]:[Funding Rate]]*Dynamic_Row_Table[[Tenure (in months)]:[Tenure (in months)]]*$F$3*(1+$Q68)/12)
-(IF($Q68&lt;0,'Dynamic CM'!$G$3,'Dynamic CM'!$G$3*(($F$3*(1+$Q68)/$F$3)^'Dynamic CM'!$H$3))
*VLOOKUP($D$3,EAD_Table[#All],MATCH("EAD",EAD_Table[#Headers],0),FALSE)
*$F$3*(1+$Q68))</f>
        <v>-239.55403387990108</v>
      </c>
      <c r="S68" s="98" cm="1">
        <f t="array" ref="S68">($F$4*(1+$Q68)*'User Segmentation'!$I$49)
-Dynamic_Row_Table[[Fixed Cost]:[Fixed Cost]]
-(Dynamic_Row_Table[[Funding Rate]:[Funding Rate]]*Dynamic_Row_Table[[Tenure (in months)]:[Tenure (in months)]]*$F$4*(1+$Q68)/12)
-(IF($Q68&lt;0,'Dynamic CM'!$G$4,'Dynamic CM'!$G$4*(($F$4*(1+$Q68)/$F$4)^'Dynamic CM'!$H$4))
*VLOOKUP($D$4,EAD_Table[#All],MATCH("EAD",EAD_Table[#Headers],0),FALSE)
*$F$4*(1+$Q68))</f>
        <v>-11.683877889890589</v>
      </c>
      <c r="T68" s="98" cm="1">
        <f t="array" ref="T68">($F$5*(1+$Q68)*'User Segmentation'!$I$49)
-Dynamic_Row_Table[[Fixed Cost]:[Fixed Cost]]
-(Dynamic_Row_Table[[Funding Rate]:[Funding Rate]]*Dynamic_Row_Table[[Tenure (in months)]:[Tenure (in months)]]*$F$5*(1+$Q68)/12)
-(IF($Q68&lt;0,'Dynamic CM'!$G$5,'Dynamic CM'!$G$5*(($F$5*(1+$Q68)/$F$5)^'Dynamic CM'!$H$5))
*VLOOKUP($D$5,EAD_Table[#All],MATCH("EAD",EAD_Table[#Headers],0),FALSE)
*$F$5*(1+$Q68))</f>
        <v>35.193039709611185</v>
      </c>
      <c r="U68" s="98" cm="1">
        <f t="array" ref="U68">($F$6*(1+$Q68)*'User Segmentation'!$I$49)
-Dynamic_Row_Table[[Fixed Cost]:[Fixed Cost]]
-(Dynamic_Row_Table[[Funding Rate]:[Funding Rate]]*Dynamic_Row_Table[[Tenure (in months)]:[Tenure (in months)]]*$F$6*(1+$Q68)/12)
-(IF($Q68&lt;0,'Dynamic CM'!$G$6,'Dynamic CM'!$G$6*(($F$6*(1+$Q68)/$F$6)^'Dynamic CM'!$H$6))
*VLOOKUP($D$6,EAD_Table[#All],MATCH("EAD",EAD_Table[#Headers],0),FALSE)
*$F$6*(1+$Q68))</f>
        <v>-10.112800047631097</v>
      </c>
    </row>
    <row r="69" spans="17:21" x14ac:dyDescent="0.2">
      <c r="Q69" s="64">
        <v>5.0999999999999996</v>
      </c>
      <c r="R69" s="98" cm="1">
        <f t="array" ref="R69">($F$3*(1+$Q69)*'User Segmentation'!$I$49)
-Dynamic_Row_Table[[Fixed Cost]:[Fixed Cost]]
-(Dynamic_Row_Table[[Funding Rate]:[Funding Rate]]*Dynamic_Row_Table[[Tenure (in months)]:[Tenure (in months)]]*$F$3*(1+$Q69)/12)
-(IF($Q69&lt;0,'Dynamic CM'!$G$3,'Dynamic CM'!$G$3*(($F$3*(1+$Q69)/$F$3)^'Dynamic CM'!$H$3))
*VLOOKUP($D$3,EAD_Table[#All],MATCH("EAD",EAD_Table[#Headers],0),FALSE)
*$F$3*(1+$Q69))</f>
        <v>-251.55168092537215</v>
      </c>
      <c r="S69" s="98" cm="1">
        <f t="array" ref="S69">($F$4*(1+$Q69)*'User Segmentation'!$I$49)
-Dynamic_Row_Table[[Fixed Cost]:[Fixed Cost]]
-(Dynamic_Row_Table[[Funding Rate]:[Funding Rate]]*Dynamic_Row_Table[[Tenure (in months)]:[Tenure (in months)]]*$F$4*(1+$Q69)/12)
-(IF($Q69&lt;0,'Dynamic CM'!$G$4,'Dynamic CM'!$G$4*(($F$4*(1+$Q69)/$F$4)^'Dynamic CM'!$H$4))
*VLOOKUP($D$4,EAD_Table[#All],MATCH("EAD",EAD_Table[#Headers],0),FALSE)
*$F$4*(1+$Q69))</f>
        <v>-12.98639809464418</v>
      </c>
      <c r="T69" s="98" cm="1">
        <f t="array" ref="T69">($F$5*(1+$Q69)*'User Segmentation'!$I$49)
-Dynamic_Row_Table[[Fixed Cost]:[Fixed Cost]]
-(Dynamic_Row_Table[[Funding Rate]:[Funding Rate]]*Dynamic_Row_Table[[Tenure (in months)]:[Tenure (in months)]]*$F$5*(1+$Q69)/12)
-(IF($Q69&lt;0,'Dynamic CM'!$G$5,'Dynamic CM'!$G$5*(($F$5*(1+$Q69)/$F$5)^'Dynamic CM'!$H$5))
*VLOOKUP($D$5,EAD_Table[#All],MATCH("EAD",EAD_Table[#Headers],0),FALSE)
*$F$5*(1+$Q69))</f>
        <v>34.63499335396736</v>
      </c>
      <c r="U69" s="98" cm="1">
        <f t="array" ref="U69">($F$6*(1+$Q69)*'User Segmentation'!$I$49)
-Dynamic_Row_Table[[Fixed Cost]:[Fixed Cost]]
-(Dynamic_Row_Table[[Funding Rate]:[Funding Rate]]*Dynamic_Row_Table[[Tenure (in months)]:[Tenure (in months)]]*$F$6*(1+$Q69)/12)
-(IF($Q69&lt;0,'Dynamic CM'!$G$6,'Dynamic CM'!$G$6*(($F$6*(1+$Q69)/$F$6)^'Dynamic CM'!$H$6))
*VLOOKUP($D$6,EAD_Table[#All],MATCH("EAD",EAD_Table[#Headers],0),FALSE)
*$F$6*(1+$Q69))</f>
        <v>-11.032868313479703</v>
      </c>
    </row>
    <row r="70" spans="17:21" x14ac:dyDescent="0.2">
      <c r="Q70" s="64">
        <v>5.2</v>
      </c>
      <c r="R70" s="98" cm="1">
        <f t="array" ref="R70">($F$3*(1+$Q70)*'User Segmentation'!$I$49)
-Dynamic_Row_Table[[Fixed Cost]:[Fixed Cost]]
-(Dynamic_Row_Table[[Funding Rate]:[Funding Rate]]*Dynamic_Row_Table[[Tenure (in months)]:[Tenure (in months)]]*$F$3*(1+$Q70)/12)
-(IF($Q70&lt;0,'Dynamic CM'!$G$3,'Dynamic CM'!$G$3*(($F$3*(1+$Q70)/$F$3)^'Dynamic CM'!$H$3))
*VLOOKUP($D$3,EAD_Table[#All],MATCH("EAD",EAD_Table[#Headers],0),FALSE)
*$F$3*(1+$Q70))</f>
        <v>-263.9337591973827</v>
      </c>
      <c r="S70" s="98" cm="1">
        <f t="array" ref="S70">($F$4*(1+$Q70)*'User Segmentation'!$I$49)
-Dynamic_Row_Table[[Fixed Cost]:[Fixed Cost]]
-(Dynamic_Row_Table[[Funding Rate]:[Funding Rate]]*Dynamic_Row_Table[[Tenure (in months)]:[Tenure (in months)]]*$F$4*(1+$Q70)/12)
-(IF($Q70&lt;0,'Dynamic CM'!$G$4,'Dynamic CM'!$G$4*(($F$4*(1+$Q70)/$F$4)^'Dynamic CM'!$H$4))
*VLOOKUP($D$4,EAD_Table[#All],MATCH("EAD",EAD_Table[#Headers],0),FALSE)
*$F$4*(1+$Q70))</f>
        <v>-14.333068260014812</v>
      </c>
      <c r="T70" s="98" cm="1">
        <f t="array" ref="T70">($F$5*(1+$Q70)*'User Segmentation'!$I$49)
-Dynamic_Row_Table[[Fixed Cost]:[Fixed Cost]]
-(Dynamic_Row_Table[[Funding Rate]:[Funding Rate]]*Dynamic_Row_Table[[Tenure (in months)]:[Tenure (in months)]]*$F$5*(1+$Q70)/12)
-(IF($Q70&lt;0,'Dynamic CM'!$G$5,'Dynamic CM'!$G$5*(($F$5*(1+$Q70)/$F$5)^'Dynamic CM'!$H$5))
*VLOOKUP($D$5,EAD_Table[#All],MATCH("EAD",EAD_Table[#Headers],0),FALSE)
*$F$5*(1+$Q70))</f>
        <v>34.036365772524945</v>
      </c>
      <c r="U70" s="98" cm="1">
        <f t="array" ref="U70">($F$6*(1+$Q70)*'User Segmentation'!$I$49)
-Dynamic_Row_Table[[Fixed Cost]:[Fixed Cost]]
-(Dynamic_Row_Table[[Funding Rate]:[Funding Rate]]*Dynamic_Row_Table[[Tenure (in months)]:[Tenure (in months)]]*$F$6*(1+$Q70)/12)
-(IF($Q70&lt;0,'Dynamic CM'!$G$6,'Dynamic CM'!$G$6*(($F$6*(1+$Q70)/$F$6)^'Dynamic CM'!$H$6))
*VLOOKUP($D$6,EAD_Table[#All],MATCH("EAD",EAD_Table[#Headers],0),FALSE)
*$F$6*(1+$Q70))</f>
        <v>-11.983500999838068</v>
      </c>
    </row>
    <row r="71" spans="17:21" x14ac:dyDescent="0.2">
      <c r="Q71" s="64">
        <v>5.3</v>
      </c>
      <c r="R71" s="98" cm="1">
        <f t="array" ref="R71">($F$3*(1+$Q71)*'User Segmentation'!$I$49)
-Dynamic_Row_Table[[Fixed Cost]:[Fixed Cost]]
-(Dynamic_Row_Table[[Funding Rate]:[Funding Rate]]*Dynamic_Row_Table[[Tenure (in months)]:[Tenure (in months)]]*$F$3*(1+$Q71)/12)
-(IF($Q71&lt;0,'Dynamic CM'!$G$3,'Dynamic CM'!$G$3*(($F$3*(1+$Q71)/$F$3)^'Dynamic CM'!$H$3))
*VLOOKUP($D$3,EAD_Table[#All],MATCH("EAD",EAD_Table[#Headers],0),FALSE)
*$F$3*(1+$Q71))</f>
        <v>-276.70587261110774</v>
      </c>
      <c r="S71" s="98" cm="1">
        <f t="array" ref="S71">($F$4*(1+$Q71)*'User Segmentation'!$I$49)
-Dynamic_Row_Table[[Fixed Cost]:[Fixed Cost]]
-(Dynamic_Row_Table[[Funding Rate]:[Funding Rate]]*Dynamic_Row_Table[[Tenure (in months)]:[Tenure (in months)]]*$F$4*(1+$Q71)/12)
-(IF($Q71&lt;0,'Dynamic CM'!$G$4,'Dynamic CM'!$G$4*(($F$4*(1+$Q71)/$F$4)^'Dynamic CM'!$H$4))
*VLOOKUP($D$4,EAD_Table[#All],MATCH("EAD",EAD_Table[#Headers],0),FALSE)
*$F$4*(1+$Q71))</f>
        <v>-15.724118720076</v>
      </c>
      <c r="T71" s="98" cm="1">
        <f t="array" ref="T71">($F$5*(1+$Q71)*'User Segmentation'!$I$49)
-Dynamic_Row_Table[[Fixed Cost]:[Fixed Cost]]
-(Dynamic_Row_Table[[Funding Rate]:[Funding Rate]]*Dynamic_Row_Table[[Tenure (in months)]:[Tenure (in months)]]*$F$5*(1+$Q71)/12)
-(IF($Q71&lt;0,'Dynamic CM'!$G$5,'Dynamic CM'!$G$5*(($F$5*(1+$Q71)/$F$5)^'Dynamic CM'!$H$5))
*VLOOKUP($D$5,EAD_Table[#All],MATCH("EAD",EAD_Table[#Headers],0),FALSE)
*$F$5*(1+$Q71))</f>
        <v>33.397110085405671</v>
      </c>
      <c r="U71" s="98" cm="1">
        <f t="array" ref="U71">($F$6*(1+$Q71)*'User Segmentation'!$I$49)
-Dynamic_Row_Table[[Fixed Cost]:[Fixed Cost]]
-(Dynamic_Row_Table[[Funding Rate]:[Funding Rate]]*Dynamic_Row_Table[[Tenure (in months)]:[Tenure (in months)]]*$F$6*(1+$Q71)/12)
-(IF($Q71&lt;0,'Dynamic CM'!$G$6,'Dynamic CM'!$G$6*(($F$6*(1+$Q71)/$F$6)^'Dynamic CM'!$H$6))
*VLOOKUP($D$6,EAD_Table[#All],MATCH("EAD",EAD_Table[#Headers],0),FALSE)
*$F$6*(1+$Q71))</f>
        <v>-12.964857563869543</v>
      </c>
    </row>
    <row r="72" spans="17:21" x14ac:dyDescent="0.2">
      <c r="Q72" s="64">
        <v>5.4</v>
      </c>
      <c r="R72" s="98" cm="1">
        <f t="array" ref="R72">($F$3*(1+$Q72)*'User Segmentation'!$I$49)
-Dynamic_Row_Table[[Fixed Cost]:[Fixed Cost]]
-(Dynamic_Row_Table[[Funding Rate]:[Funding Rate]]*Dynamic_Row_Table[[Tenure (in months)]:[Tenure (in months)]]*$F$3*(1+$Q72)/12)
-(IF($Q72&lt;0,'Dynamic CM'!$G$3,'Dynamic CM'!$G$3*(($F$3*(1+$Q72)/$F$3)^'Dynamic CM'!$H$3))
*VLOOKUP($D$3,EAD_Table[#All],MATCH("EAD",EAD_Table[#Headers],0),FALSE)
*$F$3*(1+$Q72))</f>
        <v>-289.87361514717594</v>
      </c>
      <c r="S72" s="98" cm="1">
        <f t="array" ref="S72">($F$4*(1+$Q72)*'User Segmentation'!$I$49)
-Dynamic_Row_Table[[Fixed Cost]:[Fixed Cost]]
-(Dynamic_Row_Table[[Funding Rate]:[Funding Rate]]*Dynamic_Row_Table[[Tenure (in months)]:[Tenure (in months)]]*$F$4*(1+$Q72)/12)
-(IF($Q72&lt;0,'Dynamic CM'!$G$4,'Dynamic CM'!$G$4*(($F$4*(1+$Q72)/$F$4)^'Dynamic CM'!$H$4))
*VLOOKUP($D$4,EAD_Table[#All],MATCH("EAD",EAD_Table[#Headers],0),FALSE)
*$F$4*(1+$Q72))</f>
        <v>-17.159777296132489</v>
      </c>
      <c r="T72" s="98" cm="1">
        <f t="array" ref="T72">($F$5*(1+$Q72)*'User Segmentation'!$I$49)
-Dynamic_Row_Table[[Fixed Cost]:[Fixed Cost]]
-(Dynamic_Row_Table[[Funding Rate]:[Funding Rate]]*Dynamic_Row_Table[[Tenure (in months)]:[Tenure (in months)]]*$F$5*(1+$Q72)/12)
-(IF($Q72&lt;0,'Dynamic CM'!$G$5,'Dynamic CM'!$G$5*(($F$5*(1+$Q72)/$F$5)^'Dynamic CM'!$H$5))
*VLOOKUP($D$5,EAD_Table[#All],MATCH("EAD",EAD_Table[#Headers],0),FALSE)
*$F$5*(1+$Q72))</f>
        <v>32.717180110038655</v>
      </c>
      <c r="U72" s="98" cm="1">
        <f t="array" ref="U72">($F$6*(1+$Q72)*'User Segmentation'!$I$49)
-Dynamic_Row_Table[[Fixed Cost]:[Fixed Cost]]
-(Dynamic_Row_Table[[Funding Rate]:[Funding Rate]]*Dynamic_Row_Table[[Tenure (in months)]:[Tenure (in months)]]*$F$6*(1+$Q72)/12)
-(IF($Q72&lt;0,'Dynamic CM'!$G$6,'Dynamic CM'!$G$6*(($F$6*(1+$Q72)/$F$6)^'Dynamic CM'!$H$6))
*VLOOKUP($D$6,EAD_Table[#All],MATCH("EAD",EAD_Table[#Headers],0),FALSE)
*$F$6*(1+$Q72))</f>
        <v>-13.977095723181613</v>
      </c>
    </row>
    <row r="73" spans="17:21" x14ac:dyDescent="0.2">
      <c r="Q73" s="64">
        <v>5.5</v>
      </c>
      <c r="R73" s="98" cm="1">
        <f t="array" ref="R73">($F$3*(1+$Q73)*'User Segmentation'!$I$49)
-Dynamic_Row_Table[[Fixed Cost]:[Fixed Cost]]
-(Dynamic_Row_Table[[Funding Rate]:[Funding Rate]]*Dynamic_Row_Table[[Tenure (in months)]:[Tenure (in months)]]*$F$3*(1+$Q73)/12)
-(IF($Q73&lt;0,'Dynamic CM'!$G$3,'Dynamic CM'!$G$3*(($F$3*(1+$Q73)/$F$3)^'Dynamic CM'!$H$3))
*VLOOKUP($D$3,EAD_Table[#All],MATCH("EAD",EAD_Table[#Headers],0),FALSE)
*$F$3*(1+$Q73))</f>
        <v>-303.44257102658236</v>
      </c>
      <c r="S73" s="98" cm="1">
        <f t="array" ref="S73">($F$4*(1+$Q73)*'User Segmentation'!$I$49)
-Dynamic_Row_Table[[Fixed Cost]:[Fixed Cost]]
-(Dynamic_Row_Table[[Funding Rate]:[Funding Rate]]*Dynamic_Row_Table[[Tenure (in months)]:[Tenure (in months)]]*$F$4*(1+$Q73)/12)
-(IF($Q73&lt;0,'Dynamic CM'!$G$4,'Dynamic CM'!$G$4*(($F$4*(1+$Q73)/$F$4)^'Dynamic CM'!$H$4))
*VLOOKUP($D$4,EAD_Table[#All],MATCH("EAD",EAD_Table[#Headers],0),FALSE)
*$F$4*(1+$Q73))</f>
        <v>-18.640269363380035</v>
      </c>
      <c r="T73" s="98" cm="1">
        <f t="array" ref="T73">($F$5*(1+$Q73)*'User Segmentation'!$I$49)
-Dynamic_Row_Table[[Fixed Cost]:[Fixed Cost]]
-(Dynamic_Row_Table[[Funding Rate]:[Funding Rate]]*Dynamic_Row_Table[[Tenure (in months)]:[Tenure (in months)]]*$F$5*(1+$Q73)/12)
-(IF($Q73&lt;0,'Dynamic CM'!$G$5,'Dynamic CM'!$G$5*(($F$5*(1+$Q73)/$F$5)^'Dynamic CM'!$H$5))
*VLOOKUP($D$5,EAD_Table[#All],MATCH("EAD",EAD_Table[#Headers],0),FALSE)
*$F$5*(1+$Q73))</f>
        <v>31.996530339961851</v>
      </c>
      <c r="U73" s="98" cm="1">
        <f t="array" ref="U73">($F$6*(1+$Q73)*'User Segmentation'!$I$49)
-Dynamic_Row_Table[[Fixed Cost]:[Fixed Cost]]
-(Dynamic_Row_Table[[Funding Rate]:[Funding Rate]]*Dynamic_Row_Table[[Tenure (in months)]:[Tenure (in months)]]*$F$6*(1+$Q73)/12)
-(IF($Q73&lt;0,'Dynamic CM'!$G$6,'Dynamic CM'!$G$6*(($F$6*(1+$Q73)/$F$6)^'Dynamic CM'!$H$6))
*VLOOKUP($D$6,EAD_Table[#All],MATCH("EAD",EAD_Table[#Headers],0),FALSE)
*$F$6*(1+$Q73))</f>
        <v>-15.020371501973596</v>
      </c>
    </row>
    <row r="74" spans="17:21" x14ac:dyDescent="0.2">
      <c r="Q74" s="64">
        <v>5.6</v>
      </c>
      <c r="R74" s="98" cm="1">
        <f t="array" ref="R74">($F$3*(1+$Q74)*'User Segmentation'!$I$49)
-Dynamic_Row_Table[[Fixed Cost]:[Fixed Cost]]
-(Dynamic_Row_Table[[Funding Rate]:[Funding Rate]]*Dynamic_Row_Table[[Tenure (in months)]:[Tenure (in months)]]*$F$3*(1+$Q74)/12)
-(IF($Q74&lt;0,'Dynamic CM'!$G$3,'Dynamic CM'!$G$3*(($F$3*(1+$Q74)/$F$3)^'Dynamic CM'!$H$3))
*VLOOKUP($D$3,EAD_Table[#All],MATCH("EAD",EAD_Table[#Headers],0),FALSE)
*$F$3*(1+$Q74))</f>
        <v>-317.418314879842</v>
      </c>
      <c r="S74" s="98" cm="1">
        <f t="array" ref="S74">($F$4*(1+$Q74)*'User Segmentation'!$I$49)
-Dynamic_Row_Table[[Fixed Cost]:[Fixed Cost]]
-(Dynamic_Row_Table[[Funding Rate]:[Funding Rate]]*Dynamic_Row_Table[[Tenure (in months)]:[Tenure (in months)]]*$F$4*(1+$Q74)/12)
-(IF($Q74&lt;0,'Dynamic CM'!$G$4,'Dynamic CM'!$G$4*(($F$4*(1+$Q74)/$F$4)^'Dynamic CM'!$H$4))
*VLOOKUP($D$4,EAD_Table[#All],MATCH("EAD",EAD_Table[#Headers],0),FALSE)
*$F$4*(1+$Q74))</f>
        <v>-20.165817914788178</v>
      </c>
      <c r="T74" s="98" cm="1">
        <f t="array" ref="T74">($F$5*(1+$Q74)*'User Segmentation'!$I$49)
-Dynamic_Row_Table[[Fixed Cost]:[Fixed Cost]]
-(Dynamic_Row_Table[[Funding Rate]:[Funding Rate]]*Dynamic_Row_Table[[Tenure (in months)]:[Tenure (in months)]]*$F$5*(1+$Q74)/12)
-(IF($Q74&lt;0,'Dynamic CM'!$G$5,'Dynamic CM'!$G$5*(($F$5*(1+$Q74)/$F$5)^'Dynamic CM'!$H$5))
*VLOOKUP($D$5,EAD_Table[#All],MATCH("EAD",EAD_Table[#Headers],0),FALSE)
*$F$5*(1+$Q74))</f>
        <v>31.23511592458685</v>
      </c>
      <c r="U74" s="98" cm="1">
        <f t="array" ref="U74">($F$6*(1+$Q74)*'User Segmentation'!$I$49)
-Dynamic_Row_Table[[Fixed Cost]:[Fixed Cost]]
-(Dynamic_Row_Table[[Funding Rate]:[Funding Rate]]*Dynamic_Row_Table[[Tenure (in months)]:[Tenure (in months)]]*$F$6*(1+$Q74)/12)
-(IF($Q74&lt;0,'Dynamic CM'!$G$6,'Dynamic CM'!$G$6*(($F$6*(1+$Q74)/$F$6)^'Dynamic CM'!$H$6))
*VLOOKUP($D$6,EAD_Table[#All],MATCH("EAD",EAD_Table[#Headers],0),FALSE)
*$F$6*(1+$Q74))</f>
        <v>-16.094839275261855</v>
      </c>
    </row>
    <row r="75" spans="17:21" x14ac:dyDescent="0.2">
      <c r="Q75" s="64">
        <v>5.7</v>
      </c>
      <c r="R75" s="98" cm="1">
        <f t="array" ref="R75">($F$3*(1+$Q75)*'User Segmentation'!$I$49)
-Dynamic_Row_Table[[Fixed Cost]:[Fixed Cost]]
-(Dynamic_Row_Table[[Funding Rate]:[Funding Rate]]*Dynamic_Row_Table[[Tenure (in months)]:[Tenure (in months)]]*$F$3*(1+$Q75)/12)
-(IF($Q75&lt;0,'Dynamic CM'!$G$3,'Dynamic CM'!$G$3*(($F$3*(1+$Q75)/$F$3)^'Dynamic CM'!$H$3))
*VLOOKUP($D$3,EAD_Table[#All],MATCH("EAD",EAD_Table[#Headers],0),FALSE)
*$F$3*(1+$Q75))</f>
        <v>-331.80641191065394</v>
      </c>
      <c r="S75" s="98" cm="1">
        <f t="array" ref="S75">($F$4*(1+$Q75)*'User Segmentation'!$I$49)
-Dynamic_Row_Table[[Fixed Cost]:[Fixed Cost]]
-(Dynamic_Row_Table[[Funding Rate]:[Funding Rate]]*Dynamic_Row_Table[[Tenure (in months)]:[Tenure (in months)]]*$F$4*(1+$Q75)/12)
-(IF($Q75&lt;0,'Dynamic CM'!$G$4,'Dynamic CM'!$G$4*(($F$4*(1+$Q75)/$F$4)^'Dynamic CM'!$H$4))
*VLOOKUP($D$4,EAD_Table[#All],MATCH("EAD",EAD_Table[#Headers],0),FALSE)
*$F$4*(1+$Q75))</f>
        <v>-21.736643622362003</v>
      </c>
      <c r="T75" s="98" cm="1">
        <f t="array" ref="T75">($F$5*(1+$Q75)*'User Segmentation'!$I$49)
-Dynamic_Row_Table[[Fixed Cost]:[Fixed Cost]]
-(Dynamic_Row_Table[[Funding Rate]:[Funding Rate]]*Dynamic_Row_Table[[Tenure (in months)]:[Tenure (in months)]]*$F$5*(1+$Q75)/12)
-(IF($Q75&lt;0,'Dynamic CM'!$G$5,'Dynamic CM'!$G$5*(($F$5*(1+$Q75)/$F$5)^'Dynamic CM'!$H$5))
*VLOOKUP($D$5,EAD_Table[#All],MATCH("EAD",EAD_Table[#Headers],0),FALSE)
*$F$5*(1+$Q75))</f>
        <v>30.432892649869117</v>
      </c>
      <c r="U75" s="98" cm="1">
        <f t="array" ref="U75">($F$6*(1+$Q75)*'User Segmentation'!$I$49)
-Dynamic_Row_Table[[Fixed Cost]:[Fixed Cost]]
-(Dynamic_Row_Table[[Funding Rate]:[Funding Rate]]*Dynamic_Row_Table[[Tenure (in months)]:[Tenure (in months)]]*$F$6*(1+$Q75)/12)
-(IF($Q75&lt;0,'Dynamic CM'!$G$6,'Dynamic CM'!$G$6*(($F$6*(1+$Q75)/$F$6)^'Dynamic CM'!$H$6))
*VLOOKUP($D$6,EAD_Table[#All],MATCH("EAD",EAD_Table[#Headers],0),FALSE)
*$F$6*(1+$Q75))</f>
        <v>-17.200651811290399</v>
      </c>
    </row>
    <row r="76" spans="17:21" x14ac:dyDescent="0.2">
      <c r="Q76" s="64">
        <v>5.8</v>
      </c>
      <c r="R76" s="98" cm="1">
        <f t="array" ref="R76">($F$3*(1+$Q76)*'User Segmentation'!$I$49)
-Dynamic_Row_Table[[Fixed Cost]:[Fixed Cost]]
-(Dynamic_Row_Table[[Funding Rate]:[Funding Rate]]*Dynamic_Row_Table[[Tenure (in months)]:[Tenure (in months)]]*$F$3*(1+$Q76)/12)
-(IF($Q76&lt;0,'Dynamic CM'!$G$3,'Dynamic CM'!$G$3*(($F$3*(1+$Q76)/$F$3)^'Dynamic CM'!$H$3))
*VLOOKUP($D$3,EAD_Table[#All],MATCH("EAD",EAD_Table[#Headers],0),FALSE)
*$F$3*(1+$Q76))</f>
        <v>-346.61241805433474</v>
      </c>
      <c r="S76" s="98" cm="1">
        <f t="array" ref="S76">($F$4*(1+$Q76)*'User Segmentation'!$I$49)
-Dynamic_Row_Table[[Fixed Cost]:[Fixed Cost]]
-(Dynamic_Row_Table[[Funding Rate]:[Funding Rate]]*Dynamic_Row_Table[[Tenure (in months)]:[Tenure (in months)]]*$F$4*(1+$Q76)/12)
-(IF($Q76&lt;0,'Dynamic CM'!$G$4,'Dynamic CM'!$G$4*(($F$4*(1+$Q76)/$F$4)^'Dynamic CM'!$H$4))
*VLOOKUP($D$4,EAD_Table[#All],MATCH("EAD",EAD_Table[#Headers],0),FALSE)
*$F$4*(1+$Q76))</f>
        <v>-23.352964895928395</v>
      </c>
      <c r="T76" s="98" cm="1">
        <f t="array" ref="T76">($F$5*(1+$Q76)*'User Segmentation'!$I$49)
-Dynamic_Row_Table[[Fixed Cost]:[Fixed Cost]]
-(Dynamic_Row_Table[[Funding Rate]:[Funding Rate]]*Dynamic_Row_Table[[Tenure (in months)]:[Tenure (in months)]]*$F$5*(1+$Q76)/12)
-(IF($Q76&lt;0,'Dynamic CM'!$G$5,'Dynamic CM'!$G$5*(($F$5*(1+$Q76)/$F$5)^'Dynamic CM'!$H$5))
*VLOOKUP($D$5,EAD_Table[#All],MATCH("EAD",EAD_Table[#Headers],0),FALSE)
*$F$5*(1+$Q76))</f>
        <v>29.589816919830611</v>
      </c>
      <c r="U76" s="98" cm="1">
        <f t="array" ref="U76">($F$6*(1+$Q76)*'User Segmentation'!$I$49)
-Dynamic_Row_Table[[Fixed Cost]:[Fixed Cost]]
-(Dynamic_Row_Table[[Funding Rate]:[Funding Rate]]*Dynamic_Row_Table[[Tenure (in months)]:[Tenure (in months)]]*$F$6*(1+$Q76)/12)
-(IF($Q76&lt;0,'Dynamic CM'!$G$6,'Dynamic CM'!$G$6*(($F$6*(1+$Q76)/$F$6)^'Dynamic CM'!$H$6))
*VLOOKUP($D$6,EAD_Table[#All],MATCH("EAD",EAD_Table[#Headers],0),FALSE)
*$F$6*(1+$Q76))</f>
        <v>-18.337960312227978</v>
      </c>
    </row>
    <row r="77" spans="17:21" x14ac:dyDescent="0.2">
      <c r="Q77" s="64">
        <v>5.9</v>
      </c>
      <c r="R77" s="98" cm="1">
        <f t="array" ref="R77">($F$3*(1+$Q77)*'User Segmentation'!$I$49)
-Dynamic_Row_Table[[Fixed Cost]:[Fixed Cost]]
-(Dynamic_Row_Table[[Funding Rate]:[Funding Rate]]*Dynamic_Row_Table[[Tenure (in months)]:[Tenure (in months)]]*$F$3*(1+$Q77)/12)
-(IF($Q77&lt;0,'Dynamic CM'!$G$3,'Dynamic CM'!$G$3*(($F$3*(1+$Q77)/$F$3)^'Dynamic CM'!$H$3))
*VLOOKUP($D$3,EAD_Table[#All],MATCH("EAD",EAD_Table[#Headers],0),FALSE)
*$F$3*(1+$Q77))</f>
        <v>-361.84188013126817</v>
      </c>
      <c r="S77" s="98" cm="1">
        <f t="array" ref="S77">($F$4*(1+$Q77)*'User Segmentation'!$I$49)
-Dynamic_Row_Table[[Fixed Cost]:[Fixed Cost]]
-(Dynamic_Row_Table[[Funding Rate]:[Funding Rate]]*Dynamic_Row_Table[[Tenure (in months)]:[Tenure (in months)]]*$F$4*(1+$Q77)/12)
-(IF($Q77&lt;0,'Dynamic CM'!$G$4,'Dynamic CM'!$G$4*(($F$4*(1+$Q77)/$F$4)^'Dynamic CM'!$H$4))
*VLOOKUP($D$4,EAD_Table[#All],MATCH("EAD",EAD_Table[#Headers],0),FALSE)
*$F$4*(1+$Q77))</f>
        <v>-25.014997939582415</v>
      </c>
      <c r="T77" s="98" cm="1">
        <f t="array" ref="T77">($F$5*(1+$Q77)*'User Segmentation'!$I$49)
-Dynamic_Row_Table[[Fixed Cost]:[Fixed Cost]]
-(Dynamic_Row_Table[[Funding Rate]:[Funding Rate]]*Dynamic_Row_Table[[Tenure (in months)]:[Tenure (in months)]]*$F$5*(1+$Q77)/12)
-(IF($Q77&lt;0,'Dynamic CM'!$G$5,'Dynamic CM'!$G$5*(($F$5*(1+$Q77)/$F$5)^'Dynamic CM'!$H$5))
*VLOOKUP($D$5,EAD_Table[#All],MATCH("EAD",EAD_Table[#Headers],0),FALSE)
*$F$5*(1+$Q77))</f>
        <v>28.705845738884264</v>
      </c>
      <c r="U77" s="98" cm="1">
        <f t="array" ref="U77">($F$6*(1+$Q77)*'User Segmentation'!$I$49)
-Dynamic_Row_Table[[Fixed Cost]:[Fixed Cost]]
-(Dynamic_Row_Table[[Funding Rate]:[Funding Rate]]*Dynamic_Row_Table[[Tenure (in months)]:[Tenure (in months)]]*$F$6*(1+$Q77)/12)
-(IF($Q77&lt;0,'Dynamic CM'!$G$6,'Dynamic CM'!$G$6*(($F$6*(1+$Q77)/$F$6)^'Dynamic CM'!$H$6))
*VLOOKUP($D$6,EAD_Table[#All],MATCH("EAD",EAD_Table[#Headers],0),FALSE)
*$F$6*(1+$Q77))</f>
        <v>-19.506914453244846</v>
      </c>
    </row>
    <row r="78" spans="17:21" x14ac:dyDescent="0.2">
      <c r="Q78" s="64">
        <v>6</v>
      </c>
      <c r="R78" s="98" cm="1">
        <f t="array" ref="R78">($F$3*(1+$Q78)*'User Segmentation'!$I$49)
-Dynamic_Row_Table[[Fixed Cost]:[Fixed Cost]]
-(Dynamic_Row_Table[[Funding Rate]:[Funding Rate]]*Dynamic_Row_Table[[Tenure (in months)]:[Tenure (in months)]]*$F$3*(1+$Q78)/12)
-(IF($Q78&lt;0,'Dynamic CM'!$G$3,'Dynamic CM'!$G$3*(($F$3*(1+$Q78)/$F$3)^'Dynamic CM'!$H$3))
*VLOOKUP($D$3,EAD_Table[#All],MATCH("EAD",EAD_Table[#Headers],0),FALSE)
*$F$3*(1+$Q78))</f>
        <v>-377.50033599559475</v>
      </c>
      <c r="S78" s="98" cm="1">
        <f t="array" ref="S78">($F$4*(1+$Q78)*'User Segmentation'!$I$49)
-Dynamic_Row_Table[[Fixed Cost]:[Fixed Cost]]
-(Dynamic_Row_Table[[Funding Rate]:[Funding Rate]]*Dynamic_Row_Table[[Tenure (in months)]:[Tenure (in months)]]*$F$4*(1+$Q78)/12)
-(IF($Q78&lt;0,'Dynamic CM'!$G$4,'Dynamic CM'!$G$4*(($F$4*(1+$Q78)/$F$4)^'Dynamic CM'!$H$4))
*VLOOKUP($D$4,EAD_Table[#All],MATCH("EAD",EAD_Table[#Headers],0),FALSE)
*$F$4*(1+$Q78))</f>
        <v>-26.722956805919324</v>
      </c>
      <c r="T78" s="98" cm="1">
        <f t="array" ref="T78">($F$5*(1+$Q78)*'User Segmentation'!$I$49)
-Dynamic_Row_Table[[Fixed Cost]:[Fixed Cost]]
-(Dynamic_Row_Table[[Funding Rate]:[Funding Rate]]*Dynamic_Row_Table[[Tenure (in months)]:[Tenure (in months)]]*$F$5*(1+$Q78)/12)
-(IF($Q78&lt;0,'Dynamic CM'!$G$5,'Dynamic CM'!$G$5*(($F$5*(1+$Q78)/$F$5)^'Dynamic CM'!$H$5))
*VLOOKUP($D$5,EAD_Table[#All],MATCH("EAD",EAD_Table[#Headers],0),FALSE)
*$F$5*(1+$Q78))</f>
        <v>27.780936694915368</v>
      </c>
      <c r="U78" s="98" cm="1">
        <f t="array" ref="U78">($F$6*(1+$Q78)*'User Segmentation'!$I$49)
-Dynamic_Row_Table[[Fixed Cost]:[Fixed Cost]]
-(Dynamic_Row_Table[[Funding Rate]:[Funding Rate]]*Dynamic_Row_Table[[Tenure (in months)]:[Tenure (in months)]]*$F$6*(1+$Q78)/12)
-(IF($Q78&lt;0,'Dynamic CM'!$G$6,'Dynamic CM'!$G$6*(($F$6*(1+$Q78)/$F$6)^'Dynamic CM'!$H$6))
*VLOOKUP($D$6,EAD_Table[#All],MATCH("EAD",EAD_Table[#Headers],0),FALSE)
*$F$6*(1+$Q78))</f>
        <v>-20.707662420057297</v>
      </c>
    </row>
    <row r="79" spans="17:21" x14ac:dyDescent="0.2">
      <c r="Q79" s="64">
        <v>6.1</v>
      </c>
      <c r="R79" s="98" cm="1">
        <f t="array" ref="R79">($F$3*(1+$Q79)*'User Segmentation'!$I$49)
-Dynamic_Row_Table[[Fixed Cost]:[Fixed Cost]]
-(Dynamic_Row_Table[[Funding Rate]:[Funding Rate]]*Dynamic_Row_Table[[Tenure (in months)]:[Tenure (in months)]]*$F$3*(1+$Q79)/12)
-(IF($Q79&lt;0,'Dynamic CM'!$G$3,'Dynamic CM'!$G$3*(($F$3*(1+$Q79)/$F$3)^'Dynamic CM'!$H$3))
*VLOOKUP($D$3,EAD_Table[#All],MATCH("EAD",EAD_Table[#Headers],0),FALSE)
*$F$3*(1+$Q79))</f>
        <v>-393.59331467935709</v>
      </c>
      <c r="S79" s="98" cm="1">
        <f t="array" ref="S79">($F$4*(1+$Q79)*'User Segmentation'!$I$49)
-Dynamic_Row_Table[[Fixed Cost]:[Fixed Cost]]
-(Dynamic_Row_Table[[Funding Rate]:[Funding Rate]]*Dynamic_Row_Table[[Tenure (in months)]:[Tenure (in months)]]*$F$4*(1+$Q79)/12)
-(IF($Q79&lt;0,'Dynamic CM'!$G$4,'Dynamic CM'!$G$4*(($F$4*(1+$Q79)/$F$4)^'Dynamic CM'!$H$4))
*VLOOKUP($D$4,EAD_Table[#All],MATCH("EAD",EAD_Table[#Headers],0),FALSE)
*$F$4*(1+$Q79))</f>
        <v>-28.477053448170231</v>
      </c>
      <c r="T79" s="98" cm="1">
        <f t="array" ref="T79">($F$5*(1+$Q79)*'User Segmentation'!$I$49)
-Dynamic_Row_Table[[Fixed Cost]:[Fixed Cost]]
-(Dynamic_Row_Table[[Funding Rate]:[Funding Rate]]*Dynamic_Row_Table[[Tenure (in months)]:[Tenure (in months)]]*$F$5*(1+$Q79)/12)
-(IF($Q79&lt;0,'Dynamic CM'!$G$5,'Dynamic CM'!$G$5*(($F$5*(1+$Q79)/$F$5)^'Dynamic CM'!$H$5))
*VLOOKUP($D$5,EAD_Table[#All],MATCH("EAD",EAD_Table[#Headers],0),FALSE)
*$F$5*(1+$Q79))</f>
        <v>26.815047943076081</v>
      </c>
      <c r="U79" s="98" cm="1">
        <f t="array" ref="U79">($F$6*(1+$Q79)*'User Segmentation'!$I$49)
-Dynamic_Row_Table[[Fixed Cost]:[Fixed Cost]]
-(Dynamic_Row_Table[[Funding Rate]:[Funding Rate]]*Dynamic_Row_Table[[Tenure (in months)]:[Tenure (in months)]]*$F$6*(1+$Q79)/12)
-(IF($Q79&lt;0,'Dynamic CM'!$G$6,'Dynamic CM'!$G$6*(($F$6*(1+$Q79)/$F$6)^'Dynamic CM'!$H$6))
*VLOOKUP($D$6,EAD_Table[#All],MATCH("EAD",EAD_Table[#Headers],0),FALSE)
*$F$6*(1+$Q79))</f>
        <v>-21.94035094502005</v>
      </c>
    </row>
    <row r="80" spans="17:21" x14ac:dyDescent="0.2">
      <c r="Q80" s="64">
        <v>6.2</v>
      </c>
      <c r="R80" s="98" cm="1">
        <f t="array" ref="R80">($F$3*(1+$Q80)*'User Segmentation'!$I$49)
-Dynamic_Row_Table[[Fixed Cost]:[Fixed Cost]]
-(Dynamic_Row_Table[[Funding Rate]:[Funding Rate]]*Dynamic_Row_Table[[Tenure (in months)]:[Tenure (in months)]]*$F$3*(1+$Q80)/12)
-(IF($Q80&lt;0,'Dynamic CM'!$G$3,'Dynamic CM'!$G$3*(($F$3*(1+$Q80)/$F$3)^'Dynamic CM'!$H$3))
*VLOOKUP($D$3,EAD_Table[#All],MATCH("EAD",EAD_Table[#Headers],0),FALSE)
*$F$3*(1+$Q80))</f>
        <v>-410.12633653230273</v>
      </c>
      <c r="S80" s="98" cm="1">
        <f t="array" ref="S80">($F$4*(1+$Q80)*'User Segmentation'!$I$49)
-Dynamic_Row_Table[[Fixed Cost]:[Fixed Cost]]
-(Dynamic_Row_Table[[Funding Rate]:[Funding Rate]]*Dynamic_Row_Table[[Tenure (in months)]:[Tenure (in months)]]*$F$4*(1+$Q80)/12)
-(IF($Q80&lt;0,'Dynamic CM'!$G$4,'Dynamic CM'!$G$4*(($F$4*(1+$Q80)/$F$4)^'Dynamic CM'!$H$4))
*VLOOKUP($D$4,EAD_Table[#All],MATCH("EAD",EAD_Table[#Headers],0),FALSE)
*$F$4*(1+$Q80))</f>
        <v>-30.277497770351019</v>
      </c>
      <c r="T80" s="98" cm="1">
        <f t="array" ref="T80">($F$5*(1+$Q80)*'User Segmentation'!$I$49)
-Dynamic_Row_Table[[Fixed Cost]:[Fixed Cost]]
-(Dynamic_Row_Table[[Funding Rate]:[Funding Rate]]*Dynamic_Row_Table[[Tenure (in months)]:[Tenure (in months)]]*$F$5*(1+$Q80)/12)
-(IF($Q80&lt;0,'Dynamic CM'!$G$5,'Dynamic CM'!$G$5*(($F$5*(1+$Q80)/$F$5)^'Dynamic CM'!$H$5))
*VLOOKUP($D$5,EAD_Table[#All],MATCH("EAD",EAD_Table[#Headers],0),FALSE)
*$F$5*(1+$Q80))</f>
        <v>25.808138190254056</v>
      </c>
      <c r="U80" s="98" cm="1">
        <f t="array" ref="U80">($F$6*(1+$Q80)*'User Segmentation'!$I$49)
-Dynamic_Row_Table[[Fixed Cost]:[Fixed Cost]]
-(Dynamic_Row_Table[[Funding Rate]:[Funding Rate]]*Dynamic_Row_Table[[Tenure (in months)]:[Tenure (in months)]]*$F$6*(1+$Q80)/12)
-(IF($Q80&lt;0,'Dynamic CM'!$G$6,'Dynamic CM'!$G$6*(($F$6*(1+$Q80)/$F$6)^'Dynamic CM'!$H$6))
*VLOOKUP($D$6,EAD_Table[#All],MATCH("EAD",EAD_Table[#Headers],0),FALSE)
*$F$6*(1+$Q80))</f>
        <v>-23.205125341843811</v>
      </c>
    </row>
    <row r="81" spans="17:21" x14ac:dyDescent="0.2">
      <c r="Q81" s="64">
        <v>6.3</v>
      </c>
      <c r="R81" s="98" cm="1">
        <f t="array" ref="R81">($F$3*(1+$Q81)*'User Segmentation'!$I$49)
-Dynamic_Row_Table[[Fixed Cost]:[Fixed Cost]]
-(Dynamic_Row_Table[[Funding Rate]:[Funding Rate]]*Dynamic_Row_Table[[Tenure (in months)]:[Tenure (in months)]]*$F$3*(1+$Q81)/12)
-(IF($Q81&lt;0,'Dynamic CM'!$G$3,'Dynamic CM'!$G$3*(($F$3*(1+$Q81)/$F$3)^'Dynamic CM'!$H$3))
*VLOOKUP($D$3,EAD_Table[#All],MATCH("EAD",EAD_Table[#Headers],0),FALSE)
*$F$3*(1+$Q81))</f>
        <v>-427.10491335753551</v>
      </c>
      <c r="S81" s="98" cm="1">
        <f t="array" ref="S81">($F$4*(1+$Q81)*'User Segmentation'!$I$49)
-Dynamic_Row_Table[[Fixed Cost]:[Fixed Cost]]
-(Dynamic_Row_Table[[Funding Rate]:[Funding Rate]]*Dynamic_Row_Table[[Tenure (in months)]:[Tenure (in months)]]*$F$4*(1+$Q81)/12)
-(IF($Q81&lt;0,'Dynamic CM'!$G$4,'Dynamic CM'!$G$4*(($F$4*(1+$Q81)/$F$4)^'Dynamic CM'!$H$4))
*VLOOKUP($D$4,EAD_Table[#All],MATCH("EAD",EAD_Table[#Headers],0),FALSE)
*$F$4*(1+$Q81))</f>
        <v>-32.124497675526605</v>
      </c>
      <c r="T81" s="98" cm="1">
        <f t="array" ref="T81">($F$5*(1+$Q81)*'User Segmentation'!$I$49)
-Dynamic_Row_Table[[Fixed Cost]:[Fixed Cost]]
-(Dynamic_Row_Table[[Funding Rate]:[Funding Rate]]*Dynamic_Row_Table[[Tenure (in months)]:[Tenure (in months)]]*$F$5*(1+$Q81)/12)
-(IF($Q81&lt;0,'Dynamic CM'!$G$5,'Dynamic CM'!$G$5*(($F$5*(1+$Q81)/$F$5)^'Dynamic CM'!$H$5))
*VLOOKUP($D$5,EAD_Table[#All],MATCH("EAD",EAD_Table[#Headers],0),FALSE)
*$F$5*(1+$Q81))</f>
        <v>24.76016668017725</v>
      </c>
      <c r="U81" s="98" cm="1">
        <f t="array" ref="U81">($F$6*(1+$Q81)*'User Segmentation'!$I$49)
-Dynamic_Row_Table[[Fixed Cost]:[Fixed Cost]]
-(Dynamic_Row_Table[[Funding Rate]:[Funding Rate]]*Dynamic_Row_Table[[Tenure (in months)]:[Tenure (in months)]]*$F$6*(1+$Q81)/12)
-(IF($Q81&lt;0,'Dynamic CM'!$G$6,'Dynamic CM'!$G$6*(($F$6*(1+$Q81)/$F$6)^'Dynamic CM'!$H$6))
*VLOOKUP($D$6,EAD_Table[#All],MATCH("EAD",EAD_Table[#Headers],0),FALSE)
*$F$6*(1+$Q81))</f>
        <v>-24.502129539008187</v>
      </c>
    </row>
    <row r="82" spans="17:21" x14ac:dyDescent="0.2">
      <c r="Q82" s="64">
        <v>6.4</v>
      </c>
      <c r="R82" s="98" cm="1">
        <f t="array" ref="R82">($F$3*(1+$Q82)*'User Segmentation'!$I$49)
-Dynamic_Row_Table[[Fixed Cost]:[Fixed Cost]]
-(Dynamic_Row_Table[[Funding Rate]:[Funding Rate]]*Dynamic_Row_Table[[Tenure (in months)]:[Tenure (in months)]]*$F$3*(1+$Q82)/12)
-(IF($Q82&lt;0,'Dynamic CM'!$G$3,'Dynamic CM'!$G$3*(($F$3*(1+$Q82)/$F$3)^'Dynamic CM'!$H$3))
*VLOOKUP($D$3,EAD_Table[#All],MATCH("EAD",EAD_Table[#Headers],0),FALSE)
*$F$3*(1+$Q82))</f>
        <v>-444.53454854319324</v>
      </c>
      <c r="S82" s="98" cm="1">
        <f t="array" ref="S82">($F$4*(1+$Q82)*'User Segmentation'!$I$49)
-Dynamic_Row_Table[[Fixed Cost]:[Fixed Cost]]
-(Dynamic_Row_Table[[Funding Rate]:[Funding Rate]]*Dynamic_Row_Table[[Tenure (in months)]:[Tenure (in months)]]*$F$4*(1+$Q82)/12)
-(IF($Q82&lt;0,'Dynamic CM'!$G$4,'Dynamic CM'!$G$4*(($F$4*(1+$Q82)/$F$4)^'Dynamic CM'!$H$4))
*VLOOKUP($D$4,EAD_Table[#All],MATCH("EAD",EAD_Table[#Headers],0),FALSE)
*$F$4*(1+$Q82))</f>
        <v>-34.018259112287289</v>
      </c>
      <c r="T82" s="98" cm="1">
        <f t="array" ref="T82">($F$5*(1+$Q82)*'User Segmentation'!$I$49)
-Dynamic_Row_Table[[Fixed Cost]:[Fixed Cost]]
-(Dynamic_Row_Table[[Funding Rate]:[Funding Rate]]*Dynamic_Row_Table[[Tenure (in months)]:[Tenure (in months)]]*$F$5*(1+$Q82)/12)
-(IF($Q82&lt;0,'Dynamic CM'!$G$5,'Dynamic CM'!$G$5*(($F$5*(1+$Q82)/$F$5)^'Dynamic CM'!$H$5))
*VLOOKUP($D$5,EAD_Table[#All],MATCH("EAD",EAD_Table[#Headers],0),FALSE)
*$F$5*(1+$Q82))</f>
        <v>23.671093179121357</v>
      </c>
      <c r="U82" s="98" cm="1">
        <f t="array" ref="U82">($F$6*(1+$Q82)*'User Segmentation'!$I$49)
-Dynamic_Row_Table[[Fixed Cost]:[Fixed Cost]]
-(Dynamic_Row_Table[[Funding Rate]:[Funding Rate]]*Dynamic_Row_Table[[Tenure (in months)]:[Tenure (in months)]]*$F$6*(1+$Q82)/12)
-(IF($Q82&lt;0,'Dynamic CM'!$G$6,'Dynamic CM'!$G$6*(($F$6*(1+$Q82)/$F$6)^'Dynamic CM'!$H$6))
*VLOOKUP($D$6,EAD_Table[#All],MATCH("EAD",EAD_Table[#Headers],0),FALSE)
*$F$6*(1+$Q82))</f>
        <v>-25.831506111936292</v>
      </c>
    </row>
    <row r="83" spans="17:21" x14ac:dyDescent="0.2">
      <c r="Q83" s="64">
        <v>6.5</v>
      </c>
      <c r="R83" s="98" cm="1">
        <f t="array" ref="R83">($F$3*(1+$Q83)*'User Segmentation'!$I$49)
-Dynamic_Row_Table[[Fixed Cost]:[Fixed Cost]]
-(Dynamic_Row_Table[[Funding Rate]:[Funding Rate]]*Dynamic_Row_Table[[Tenure (in months)]:[Tenure (in months)]]*$F$3*(1+$Q83)/12)
-(IF($Q83&lt;0,'Dynamic CM'!$G$3,'Dynamic CM'!$G$3*(($F$3*(1+$Q83)/$F$3)^'Dynamic CM'!$H$3))
*VLOOKUP($D$3,EAD_Table[#All],MATCH("EAD",EAD_Table[#Headers],0),FALSE)
*$F$3*(1+$Q83))</f>
        <v>-462.42073719031953</v>
      </c>
      <c r="S83" s="98" cm="1">
        <f t="array" ref="S83">($F$4*(1+$Q83)*'User Segmentation'!$I$49)
-Dynamic_Row_Table[[Fixed Cost]:[Fixed Cost]]
-(Dynamic_Row_Table[[Funding Rate]:[Funding Rate]]*Dynamic_Row_Table[[Tenure (in months)]:[Tenure (in months)]]*$F$4*(1+$Q83)/12)
-(IF($Q83&lt;0,'Dynamic CM'!$G$4,'Dynamic CM'!$G$4*(($F$4*(1+$Q83)/$F$4)^'Dynamic CM'!$H$4))
*VLOOKUP($D$4,EAD_Table[#All],MATCH("EAD",EAD_Table[#Headers],0),FALSE)
*$F$4*(1+$Q83))</f>
        <v>-35.958986119525903</v>
      </c>
      <c r="T83" s="98" cm="1">
        <f t="array" ref="T83">($F$5*(1+$Q83)*'User Segmentation'!$I$49)
-Dynamic_Row_Table[[Fixed Cost]:[Fixed Cost]]
-(Dynamic_Row_Table[[Funding Rate]:[Funding Rate]]*Dynamic_Row_Table[[Tenure (in months)]:[Tenure (in months)]]*$F$5*(1+$Q83)/12)
-(IF($Q83&lt;0,'Dynamic CM'!$G$5,'Dynamic CM'!$G$5*(($F$5*(1+$Q83)/$F$5)^'Dynamic CM'!$H$5))
*VLOOKUP($D$5,EAD_Table[#All],MATCH("EAD",EAD_Table[#Headers],0),FALSE)
*$F$5*(1+$Q83))</f>
        <v>22.540877962187167</v>
      </c>
      <c r="U83" s="98" cm="1">
        <f t="array" ref="U83">($F$6*(1+$Q83)*'User Segmentation'!$I$49)
-Dynamic_Row_Table[[Fixed Cost]:[Fixed Cost]]
-(Dynamic_Row_Table[[Funding Rate]:[Funding Rate]]*Dynamic_Row_Table[[Tenure (in months)]:[Tenure (in months)]]*$F$6*(1+$Q83)/12)
-(IF($Q83&lt;0,'Dynamic CM'!$G$6,'Dynamic CM'!$G$6*(($F$6*(1+$Q83)/$F$6)^'Dynamic CM'!$H$6))
*VLOOKUP($D$6,EAD_Table[#All],MATCH("EAD",EAD_Table[#Headers],0),FALSE)
*$F$6*(1+$Q83))</f>
        <v>-27.193396313993524</v>
      </c>
    </row>
    <row r="84" spans="17:21" x14ac:dyDescent="0.2">
      <c r="Q84" s="64">
        <v>6.6</v>
      </c>
      <c r="R84" s="98" cm="1">
        <f t="array" ref="R84">($F$3*(1+$Q84)*'User Segmentation'!$I$49)
-Dynamic_Row_Table[[Fixed Cost]:[Fixed Cost]]
-(Dynamic_Row_Table[[Funding Rate]:[Funding Rate]]*Dynamic_Row_Table[[Tenure (in months)]:[Tenure (in months)]]*$F$3*(1+$Q84)/12)
-(IF($Q84&lt;0,'Dynamic CM'!$G$3,'Dynamic CM'!$G$3*(($F$3*(1+$Q84)/$F$3)^'Dynamic CM'!$H$3))
*VLOOKUP($D$3,EAD_Table[#All],MATCH("EAD",EAD_Table[#Headers],0),FALSE)
*$F$3*(1+$Q84))</f>
        <v>-480.7689662370974</v>
      </c>
      <c r="S84" s="98" cm="1">
        <f t="array" ref="S84">($F$4*(1+$Q84)*'User Segmentation'!$I$49)
-Dynamic_Row_Table[[Fixed Cost]:[Fixed Cost]]
-(Dynamic_Row_Table[[Funding Rate]:[Funding Rate]]*Dynamic_Row_Table[[Tenure (in months)]:[Tenure (in months)]]*$F$4*(1+$Q84)/12)
-(IF($Q84&lt;0,'Dynamic CM'!$G$4,'Dynamic CM'!$G$4*(($F$4*(1+$Q84)/$F$4)^'Dynamic CM'!$H$4))
*VLOOKUP($D$4,EAD_Table[#All],MATCH("EAD",EAD_Table[#Headers],0),FALSE)
*$F$4*(1+$Q84))</f>
        <v>-37.94688086960096</v>
      </c>
      <c r="T84" s="98" cm="1">
        <f t="array" ref="T84">($F$5*(1+$Q84)*'User Segmentation'!$I$49)
-Dynamic_Row_Table[[Fixed Cost]:[Fixed Cost]]
-(Dynamic_Row_Table[[Funding Rate]:[Funding Rate]]*Dynamic_Row_Table[[Tenure (in months)]:[Tenure (in months)]]*$F$5*(1+$Q84)/12)
-(IF($Q84&lt;0,'Dynamic CM'!$G$5,'Dynamic CM'!$G$5*(($F$5*(1+$Q84)/$F$5)^'Dynamic CM'!$H$5))
*VLOOKUP($D$5,EAD_Table[#All],MATCH("EAD",EAD_Table[#Headers],0),FALSE)
*$F$5*(1+$Q84))</f>
        <v>21.369481800117413</v>
      </c>
      <c r="U84" s="98" cm="1">
        <f t="array" ref="U84">($F$6*(1+$Q84)*'User Segmentation'!$I$49)
-Dynamic_Row_Table[[Fixed Cost]:[Fixed Cost]]
-(Dynamic_Row_Table[[Funding Rate]:[Funding Rate]]*Dynamic_Row_Table[[Tenure (in months)]:[Tenure (in months)]]*$F$6*(1+$Q84)/12)
-(IF($Q84&lt;0,'Dynamic CM'!$G$6,'Dynamic CM'!$G$6*(($F$6*(1+$Q84)/$F$6)^'Dynamic CM'!$H$6))
*VLOOKUP($D$6,EAD_Table[#All],MATCH("EAD",EAD_Table[#Headers],0),FALSE)
*$F$6*(1+$Q84))</f>
        <v>-28.587940106368883</v>
      </c>
    </row>
    <row r="85" spans="17:21" x14ac:dyDescent="0.2">
      <c r="Q85" s="64">
        <v>6.7</v>
      </c>
      <c r="R85" s="98" cm="1">
        <f t="array" ref="R85">($F$3*(1+$Q85)*'User Segmentation'!$I$49)
-Dynamic_Row_Table[[Fixed Cost]:[Fixed Cost]]
-(Dynamic_Row_Table[[Funding Rate]:[Funding Rate]]*Dynamic_Row_Table[[Tenure (in months)]:[Tenure (in months)]]*$F$3*(1+$Q85)/12)
-(IF($Q85&lt;0,'Dynamic CM'!$G$3,'Dynamic CM'!$G$3*(($F$3*(1+$Q85)/$F$3)^'Dynamic CM'!$H$3))
*VLOOKUP($D$3,EAD_Table[#All],MATCH("EAD",EAD_Table[#Headers],0),FALSE)
*$F$3*(1+$Q85))</f>
        <v>-499.58471457958274</v>
      </c>
      <c r="S85" s="98" cm="1">
        <f t="array" ref="S85">($F$4*(1+$Q85)*'User Segmentation'!$I$49)
-Dynamic_Row_Table[[Fixed Cost]:[Fixed Cost]]
-(Dynamic_Row_Table[[Funding Rate]:[Funding Rate]]*Dynamic_Row_Table[[Tenure (in months)]:[Tenure (in months)]]*$F$4*(1+$Q85)/12)
-(IF($Q85&lt;0,'Dynamic CM'!$G$4,'Dynamic CM'!$G$4*(($F$4*(1+$Q85)/$F$4)^'Dynamic CM'!$H$4))
*VLOOKUP($D$4,EAD_Table[#All],MATCH("EAD",EAD_Table[#Headers],0),FALSE)
*$F$4*(1+$Q85))</f>
        <v>-39.982143709963651</v>
      </c>
      <c r="T85" s="98" cm="1">
        <f t="array" ref="T85">($F$5*(1+$Q85)*'User Segmentation'!$I$49)
-Dynamic_Row_Table[[Fixed Cost]:[Fixed Cost]]
-(Dynamic_Row_Table[[Funding Rate]:[Funding Rate]]*Dynamic_Row_Table[[Tenure (in months)]:[Tenure (in months)]]*$F$5*(1+$Q85)/12)
-(IF($Q85&lt;0,'Dynamic CM'!$G$5,'Dynamic CM'!$G$5*(($F$5*(1+$Q85)/$F$5)^'Dynamic CM'!$H$5))
*VLOOKUP($D$5,EAD_Table[#All],MATCH("EAD",EAD_Table[#Headers],0),FALSE)
*$F$5*(1+$Q85))</f>
        <v>20.156865946625643</v>
      </c>
      <c r="U85" s="98" cm="1">
        <f t="array" ref="U85">($F$6*(1+$Q85)*'User Segmentation'!$I$49)
-Dynamic_Row_Table[[Fixed Cost]:[Fixed Cost]]
-(Dynamic_Row_Table[[Funding Rate]:[Funding Rate]]*Dynamic_Row_Table[[Tenure (in months)]:[Tenure (in months)]]*$F$6*(1+$Q85)/12)
-(IF($Q85&lt;0,'Dynamic CM'!$G$6,'Dynamic CM'!$G$6*(($F$6*(1+$Q85)/$F$6)^'Dynamic CM'!$H$6))
*VLOOKUP($D$6,EAD_Table[#All],MATCH("EAD",EAD_Table[#Headers],0),FALSE)
*$F$6*(1+$Q85))</f>
        <v>-30.01527618689272</v>
      </c>
    </row>
    <row r="86" spans="17:21" x14ac:dyDescent="0.2">
      <c r="Q86" s="64">
        <v>6.8</v>
      </c>
      <c r="R86" s="98" cm="1">
        <f t="array" ref="R86">($F$3*(1+$Q86)*'User Segmentation'!$I$49)
-Dynamic_Row_Table[[Fixed Cost]:[Fixed Cost]]
-(Dynamic_Row_Table[[Funding Rate]:[Funding Rate]]*Dynamic_Row_Table[[Tenure (in months)]:[Tenure (in months)]]*$F$3*(1+$Q86)/12)
-(IF($Q86&lt;0,'Dynamic CM'!$G$3,'Dynamic CM'!$G$3*(($F$3*(1+$Q86)/$F$3)^'Dynamic CM'!$H$3))
*VLOOKUP($D$3,EAD_Table[#All],MATCH("EAD",EAD_Table[#Headers],0),FALSE)
*$F$3*(1+$Q86))</f>
        <v>-518.87345318909058</v>
      </c>
      <c r="S86" s="98" cm="1">
        <f t="array" ref="S86">($F$4*(1+$Q86)*'User Segmentation'!$I$49)
-Dynamic_Row_Table[[Fixed Cost]:[Fixed Cost]]
-(Dynamic_Row_Table[[Funding Rate]:[Funding Rate]]*Dynamic_Row_Table[[Tenure (in months)]:[Tenure (in months)]]*$F$4*(1+$Q86)/12)
-(IF($Q86&lt;0,'Dynamic CM'!$G$4,'Dynamic CM'!$G$4*(($F$4*(1+$Q86)/$F$4)^'Dynamic CM'!$H$4))
*VLOOKUP($D$4,EAD_Table[#All],MATCH("EAD",EAD_Table[#Headers],0),FALSE)
*$F$4*(1+$Q86))</f>
        <v>-42.064973203323348</v>
      </c>
      <c r="T86" s="98" cm="1">
        <f t="array" ref="T86">($F$5*(1+$Q86)*'User Segmentation'!$I$49)
-Dynamic_Row_Table[[Fixed Cost]:[Fixed Cost]]
-(Dynamic_Row_Table[[Funding Rate]:[Funding Rate]]*Dynamic_Row_Table[[Tenure (in months)]:[Tenure (in months)]]*$F$5*(1+$Q86)/12)
-(IF($Q86&lt;0,'Dynamic CM'!$G$5,'Dynamic CM'!$G$5*(($F$5*(1+$Q86)/$F$5)^'Dynamic CM'!$H$5))
*VLOOKUP($D$5,EAD_Table[#All],MATCH("EAD",EAD_Table[#Headers],0),FALSE)
*$F$5*(1+$Q86))</f>
        <v>18.902992126211032</v>
      </c>
      <c r="U86" s="98" cm="1">
        <f t="array" ref="U86">($F$6*(1+$Q86)*'User Segmentation'!$I$49)
-Dynamic_Row_Table[[Fixed Cost]:[Fixed Cost]]
-(Dynamic_Row_Table[[Funding Rate]:[Funding Rate]]*Dynamic_Row_Table[[Tenure (in months)]:[Tenure (in months)]]*$F$6*(1+$Q86)/12)
-(IF($Q86&lt;0,'Dynamic CM'!$G$6,'Dynamic CM'!$G$6*(($F$6*(1+$Q86)/$F$6)^'Dynamic CM'!$H$6))
*VLOOKUP($D$6,EAD_Table[#All],MATCH("EAD",EAD_Table[#Headers],0),FALSE)
*$F$6*(1+$Q86))</f>
        <v>-31.475542017842663</v>
      </c>
    </row>
    <row r="87" spans="17:21" x14ac:dyDescent="0.2">
      <c r="Q87" s="64">
        <v>6.9</v>
      </c>
      <c r="R87" s="98" cm="1">
        <f t="array" ref="R87">($F$3*(1+$Q87)*'User Segmentation'!$I$49)
-Dynamic_Row_Table[[Fixed Cost]:[Fixed Cost]]
-(Dynamic_Row_Table[[Funding Rate]:[Funding Rate]]*Dynamic_Row_Table[[Tenure (in months)]:[Tenure (in months)]]*$F$3*(1+$Q87)/12)
-(IF($Q87&lt;0,'Dynamic CM'!$G$3,'Dynamic CM'!$G$3*(($F$3*(1+$Q87)/$F$3)^'Dynamic CM'!$H$3))
*VLOOKUP($D$3,EAD_Table[#All],MATCH("EAD",EAD_Table[#Headers],0),FALSE)
*$F$3*(1+$Q87))</f>
        <v>-538.64064522636875</v>
      </c>
      <c r="S87" s="98" cm="1">
        <f t="array" ref="S87">($F$4*(1+$Q87)*'User Segmentation'!$I$49)
-Dynamic_Row_Table[[Fixed Cost]:[Fixed Cost]]
-(Dynamic_Row_Table[[Funding Rate]:[Funding Rate]]*Dynamic_Row_Table[[Tenure (in months)]:[Tenure (in months)]]*$F$4*(1+$Q87)/12)
-(IF($Q87&lt;0,'Dynamic CM'!$G$4,'Dynamic CM'!$G$4*(($F$4*(1+$Q87)/$F$4)^'Dynamic CM'!$H$4))
*VLOOKUP($D$4,EAD_Table[#All],MATCH("EAD",EAD_Table[#Headers],0),FALSE)
*$F$4*(1+$Q87))</f>
        <v>-44.195566166421159</v>
      </c>
      <c r="T87" s="98" cm="1">
        <f t="array" ref="T87">($F$5*(1+$Q87)*'User Segmentation'!$I$49)
-Dynamic_Row_Table[[Fixed Cost]:[Fixed Cost]]
-(Dynamic_Row_Table[[Funding Rate]:[Funding Rate]]*Dynamic_Row_Table[[Tenure (in months)]:[Tenure (in months)]]*$F$5*(1+$Q87)/12)
-(IF($Q87&lt;0,'Dynamic CM'!$G$5,'Dynamic CM'!$G$5*(($F$5*(1+$Q87)/$F$5)^'Dynamic CM'!$H$5))
*VLOOKUP($D$5,EAD_Table[#All],MATCH("EAD",EAD_Table[#Headers],0),FALSE)
*$F$5*(1+$Q87))</f>
        <v>17.607822522432684</v>
      </c>
      <c r="U87" s="98" cm="1">
        <f t="array" ref="U87">($F$6*(1+$Q87)*'User Segmentation'!$I$49)
-Dynamic_Row_Table[[Fixed Cost]:[Fixed Cost]]
-(Dynamic_Row_Table[[Funding Rate]:[Funding Rate]]*Dynamic_Row_Table[[Tenure (in months)]:[Tenure (in months)]]*$F$6*(1+$Q87)/12)
-(IF($Q87&lt;0,'Dynamic CM'!$G$6,'Dynamic CM'!$G$6*(($F$6*(1+$Q87)/$F$6)^'Dynamic CM'!$H$6))
*VLOOKUP($D$6,EAD_Table[#All],MATCH("EAD",EAD_Table[#Headers],0),FALSE)
*$F$6*(1+$Q87))</f>
        <v>-32.968873852786324</v>
      </c>
    </row>
    <row r="88" spans="17:21" x14ac:dyDescent="0.2">
      <c r="Q88" s="64">
        <v>7</v>
      </c>
      <c r="R88" s="98" cm="1">
        <f t="array" ref="R88">($F$3*(1+$Q88)*'User Segmentation'!$I$49)
-Dynamic_Row_Table[[Fixed Cost]:[Fixed Cost]]
-(Dynamic_Row_Table[[Funding Rate]:[Funding Rate]]*Dynamic_Row_Table[[Tenure (in months)]:[Tenure (in months)]]*$F$3*(1+$Q88)/12)
-(IF($Q88&lt;0,'Dynamic CM'!$G$3,'Dynamic CM'!$G$3*(($F$3*(1+$Q88)/$F$3)^'Dynamic CM'!$H$3))
*VLOOKUP($D$3,EAD_Table[#All],MATCH("EAD",EAD_Table[#Headers],0),FALSE)
*$F$3*(1+$Q88))</f>
        <v>-558.89174615267984</v>
      </c>
      <c r="S88" s="98" cm="1">
        <f t="array" ref="S88">($F$4*(1+$Q88)*'User Segmentation'!$I$49)
-Dynamic_Row_Table[[Fixed Cost]:[Fixed Cost]]
-(Dynamic_Row_Table[[Funding Rate]:[Funding Rate]]*Dynamic_Row_Table[[Tenure (in months)]:[Tenure (in months)]]*$F$4*(1+$Q88)/12)
-(IF($Q88&lt;0,'Dynamic CM'!$G$4,'Dynamic CM'!$G$4*(($F$4*(1+$Q88)/$F$4)^'Dynamic CM'!$H$4))
*VLOOKUP($D$4,EAD_Table[#All],MATCH("EAD",EAD_Table[#Headers],0),FALSE)
*$F$4*(1+$Q88))</f>
        <v>-46.374117707477033</v>
      </c>
      <c r="T88" s="98" cm="1">
        <f t="array" ref="T88">($F$5*(1+$Q88)*'User Segmentation'!$I$49)
-Dynamic_Row_Table[[Fixed Cost]:[Fixed Cost]]
-(Dynamic_Row_Table[[Funding Rate]:[Funding Rate]]*Dynamic_Row_Table[[Tenure (in months)]:[Tenure (in months)]]*$F$5*(1+$Q88)/12)
-(IF($Q88&lt;0,'Dynamic CM'!$G$5,'Dynamic CM'!$G$5*(($F$5*(1+$Q88)/$F$5)^'Dynamic CM'!$H$5))
*VLOOKUP($D$5,EAD_Table[#All],MATCH("EAD",EAD_Table[#Headers],0),FALSE)
*$F$5*(1+$Q88))</f>
        <v>16.271319766623421</v>
      </c>
      <c r="U88" s="98" cm="1">
        <f t="array" ref="U88">($F$6*(1+$Q88)*'User Segmentation'!$I$49)
-Dynamic_Row_Table[[Fixed Cost]:[Fixed Cost]]
-(Dynamic_Row_Table[[Funding Rate]:[Funding Rate]]*Dynamic_Row_Table[[Tenure (in months)]:[Tenure (in months)]]*$F$6*(1+$Q88)/12)
-(IF($Q88&lt;0,'Dynamic CM'!$G$6,'Dynamic CM'!$G$6*(($F$6*(1+$Q88)/$F$6)^'Dynamic CM'!$H$6))
*VLOOKUP($D$6,EAD_Table[#All],MATCH("EAD",EAD_Table[#Headers],0),FALSE)
*$F$6*(1+$Q88))</f>
        <v>-34.495406762504949</v>
      </c>
    </row>
    <row r="89" spans="17:21" x14ac:dyDescent="0.2">
      <c r="Q89" s="64">
        <v>7.1</v>
      </c>
      <c r="R89" s="98" cm="1">
        <f t="array" ref="R89">($F$3*(1+$Q89)*'User Segmentation'!$I$49)
-Dynamic_Row_Table[[Fixed Cost]:[Fixed Cost]]
-(Dynamic_Row_Table[[Funding Rate]:[Funding Rate]]*Dynamic_Row_Table[[Tenure (in months)]:[Tenure (in months)]]*$F$3*(1+$Q89)/12)
-(IF($Q89&lt;0,'Dynamic CM'!$G$3,'Dynamic CM'!$G$3*(($F$3*(1+$Q89)/$F$3)^'Dynamic CM'!$H$3))
*VLOOKUP($D$3,EAD_Table[#All],MATCH("EAD",EAD_Table[#Headers],0),FALSE)
*$F$3*(1+$Q89))</f>
        <v>-579.6322038379252</v>
      </c>
      <c r="S89" s="98" cm="1">
        <f t="array" ref="S89">($F$4*(1+$Q89)*'User Segmentation'!$I$49)
-Dynamic_Row_Table[[Fixed Cost]:[Fixed Cost]]
-(Dynamic_Row_Table[[Funding Rate]:[Funding Rate]]*Dynamic_Row_Table[[Tenure (in months)]:[Tenure (in months)]]*$F$4*(1+$Q89)/12)
-(IF($Q89&lt;0,'Dynamic CM'!$G$4,'Dynamic CM'!$G$4*(($F$4*(1+$Q89)/$F$4)^'Dynamic CM'!$H$4))
*VLOOKUP($D$4,EAD_Table[#All],MATCH("EAD",EAD_Table[#Headers],0),FALSE)
*$F$4*(1+$Q89))</f>
        <v>-48.600821262371113</v>
      </c>
      <c r="T89" s="98" cm="1">
        <f t="array" ref="T89">($F$5*(1+$Q89)*'User Segmentation'!$I$49)
-Dynamic_Row_Table[[Fixed Cost]:[Fixed Cost]]
-(Dynamic_Row_Table[[Funding Rate]:[Funding Rate]]*Dynamic_Row_Table[[Tenure (in months)]:[Tenure (in months)]]*$F$5*(1+$Q89)/12)
-(IF($Q89&lt;0,'Dynamic CM'!$G$5,'Dynamic CM'!$G$5*(($F$5*(1+$Q89)/$F$5)^'Dynamic CM'!$H$5))
*VLOOKUP($D$5,EAD_Table[#All],MATCH("EAD",EAD_Table[#Headers],0),FALSE)
*$F$5*(1+$Q89))</f>
        <v>14.89344692701799</v>
      </c>
      <c r="U89" s="98" cm="1">
        <f t="array" ref="U89">($F$6*(1+$Q89)*'User Segmentation'!$I$49)
-Dynamic_Row_Table[[Fixed Cost]:[Fixed Cost]]
-(Dynamic_Row_Table[[Funding Rate]:[Funding Rate]]*Dynamic_Row_Table[[Tenure (in months)]:[Tenure (in months)]]*$F$6*(1+$Q89)/12)
-(IF($Q89&lt;0,'Dynamic CM'!$G$6,'Dynamic CM'!$G$6*(($F$6*(1+$Q89)/$F$6)^'Dynamic CM'!$H$6))
*VLOOKUP($D$6,EAD_Table[#All],MATCH("EAD",EAD_Table[#Headers],0),FALSE)
*$F$6*(1+$Q89))</f>
        <v>-36.05527466004181</v>
      </c>
    </row>
    <row r="90" spans="17:21" x14ac:dyDescent="0.2">
      <c r="Q90" s="64">
        <v>7.2</v>
      </c>
      <c r="R90" s="98" cm="1">
        <f t="array" ref="R90">($F$3*(1+$Q90)*'User Segmentation'!$I$49)
-Dynamic_Row_Table[[Fixed Cost]:[Fixed Cost]]
-(Dynamic_Row_Table[[Funding Rate]:[Funding Rate]]*Dynamic_Row_Table[[Tenure (in months)]:[Tenure (in months)]]*$F$3*(1+$Q90)/12)
-(IF($Q90&lt;0,'Dynamic CM'!$G$3,'Dynamic CM'!$G$3*(($F$3*(1+$Q90)/$F$3)^'Dynamic CM'!$H$3))
*VLOOKUP($D$3,EAD_Table[#All],MATCH("EAD",EAD_Table[#Headers],0),FALSE)
*$F$3*(1+$Q90))</f>
        <v>-600.86745866590661</v>
      </c>
      <c r="S90" s="98" cm="1">
        <f t="array" ref="S90">($F$4*(1+$Q90)*'User Segmentation'!$I$49)
-Dynamic_Row_Table[[Fixed Cost]:[Fixed Cost]]
-(Dynamic_Row_Table[[Funding Rate]:[Funding Rate]]*Dynamic_Row_Table[[Tenure (in months)]:[Tenure (in months)]]*$F$4*(1+$Q90)/12)
-(IF($Q90&lt;0,'Dynamic CM'!$G$4,'Dynamic CM'!$G$4*(($F$4*(1+$Q90)/$F$4)^'Dynamic CM'!$H$4))
*VLOOKUP($D$4,EAD_Table[#All],MATCH("EAD",EAD_Table[#Headers],0),FALSE)
*$F$4*(1+$Q90))</f>
        <v>-50.875868629618324</v>
      </c>
      <c r="T90" s="98" cm="1">
        <f t="array" ref="T90">($F$5*(1+$Q90)*'User Segmentation'!$I$49)
-Dynamic_Row_Table[[Fixed Cost]:[Fixed Cost]]
-(Dynamic_Row_Table[[Funding Rate]:[Funding Rate]]*Dynamic_Row_Table[[Tenure (in months)]:[Tenure (in months)]]*$F$5*(1+$Q90)/12)
-(IF($Q90&lt;0,'Dynamic CM'!$G$5,'Dynamic CM'!$G$5*(($F$5*(1+$Q90)/$F$5)^'Dynamic CM'!$H$5))
*VLOOKUP($D$5,EAD_Table[#All],MATCH("EAD",EAD_Table[#Headers],0),FALSE)
*$F$5*(1+$Q90))</f>
        <v>13.474167498278419</v>
      </c>
      <c r="U90" s="98" cm="1">
        <f t="array" ref="U90">($F$6*(1+$Q90)*'User Segmentation'!$I$49)
-Dynamic_Row_Table[[Fixed Cost]:[Fixed Cost]]
-(Dynamic_Row_Table[[Funding Rate]:[Funding Rate]]*Dynamic_Row_Table[[Tenure (in months)]:[Tenure (in months)]]*$F$6*(1+$Q90)/12)
-(IF($Q90&lt;0,'Dynamic CM'!$G$6,'Dynamic CM'!$G$6*(($F$6*(1+$Q90)/$F$6)^'Dynamic CM'!$H$6))
*VLOOKUP($D$6,EAD_Table[#All],MATCH("EAD",EAD_Table[#Headers],0),FALSE)
*$F$6*(1+$Q90))</f>
        <v>-37.648610324914266</v>
      </c>
    </row>
    <row r="91" spans="17:21" x14ac:dyDescent="0.2">
      <c r="Q91" s="64">
        <v>7.3</v>
      </c>
      <c r="R91" s="98" cm="1">
        <f t="array" ref="R91">($F$3*(1+$Q91)*'User Segmentation'!$I$49)
-Dynamic_Row_Table[[Fixed Cost]:[Fixed Cost]]
-(Dynamic_Row_Table[[Funding Rate]:[Funding Rate]]*Dynamic_Row_Table[[Tenure (in months)]:[Tenure (in months)]]*$F$3*(1+$Q91)/12)
-(IF($Q91&lt;0,'Dynamic CM'!$G$3,'Dynamic CM'!$G$3*(($F$3*(1+$Q91)/$F$3)^'Dynamic CM'!$H$3))
*VLOOKUP($D$3,EAD_Table[#All],MATCH("EAD",EAD_Table[#Headers],0),FALSE)
*$F$3*(1+$Q91))</f>
        <v>-622.60294363686205</v>
      </c>
      <c r="S91" s="98" cm="1">
        <f t="array" ref="S91">($F$4*(1+$Q91)*'User Segmentation'!$I$49)
-Dynamic_Row_Table[[Fixed Cost]:[Fixed Cost]]
-(Dynamic_Row_Table[[Funding Rate]:[Funding Rate]]*Dynamic_Row_Table[[Tenure (in months)]:[Tenure (in months)]]*$F$4*(1+$Q91)/12)
-(IF($Q91&lt;0,'Dynamic CM'!$G$4,'Dynamic CM'!$G$4*(($F$4*(1+$Q91)/$F$4)^'Dynamic CM'!$H$4))
*VLOOKUP($D$4,EAD_Table[#All],MATCH("EAD",EAD_Table[#Headers],0),FALSE)
*$F$4*(1+$Q91))</f>
        <v>-53.199450004190609</v>
      </c>
      <c r="T91" s="98" cm="1">
        <f t="array" ref="T91">($F$5*(1+$Q91)*'User Segmentation'!$I$49)
-Dynamic_Row_Table[[Fixed Cost]:[Fixed Cost]]
-(Dynamic_Row_Table[[Funding Rate]:[Funding Rate]]*Dynamic_Row_Table[[Tenure (in months)]:[Tenure (in months)]]*$F$5*(1+$Q91)/12)
-(IF($Q91&lt;0,'Dynamic CM'!$G$5,'Dynamic CM'!$G$5*(($F$5*(1+$Q91)/$F$5)^'Dynamic CM'!$H$5))
*VLOOKUP($D$5,EAD_Table[#All],MATCH("EAD",EAD_Table[#Headers],0),FALSE)
*$F$5*(1+$Q91))</f>
        <v>12.013445391395408</v>
      </c>
      <c r="U91" s="98" cm="1">
        <f t="array" ref="U91">($F$6*(1+$Q91)*'User Segmentation'!$I$49)
-Dynamic_Row_Table[[Fixed Cost]:[Fixed Cost]]
-(Dynamic_Row_Table[[Funding Rate]:[Funding Rate]]*Dynamic_Row_Table[[Tenure (in months)]:[Tenure (in months)]]*$F$6*(1+$Q91)/12)
-(IF($Q91&lt;0,'Dynamic CM'!$G$6,'Dynamic CM'!$G$6*(($F$6*(1+$Q91)/$F$6)^'Dynamic CM'!$H$6))
*VLOOKUP($D$6,EAD_Table[#All],MATCH("EAD",EAD_Table[#Headers],0),FALSE)
*$F$6*(1+$Q91))</f>
        <v>-39.27554542652863</v>
      </c>
    </row>
    <row r="92" spans="17:21" x14ac:dyDescent="0.2">
      <c r="Q92" s="64">
        <v>7.4</v>
      </c>
      <c r="R92" s="98" cm="1">
        <f t="array" ref="R92">($F$3*(1+$Q92)*'User Segmentation'!$I$49)
-Dynamic_Row_Table[[Fixed Cost]:[Fixed Cost]]
-(Dynamic_Row_Table[[Funding Rate]:[Funding Rate]]*Dynamic_Row_Table[[Tenure (in months)]:[Tenure (in months)]]*$F$3*(1+$Q92)/12)
-(IF($Q92&lt;0,'Dynamic CM'!$G$3,'Dynamic CM'!$G$3*(($F$3*(1+$Q92)/$F$3)^'Dynamic CM'!$H$3))
*VLOOKUP($D$3,EAD_Table[#All],MATCH("EAD",EAD_Table[#Headers],0),FALSE)
*$F$3*(1+$Q92))</f>
        <v>-644.84408446735245</v>
      </c>
      <c r="S92" s="98" cm="1">
        <f t="array" ref="S92">($F$4*(1+$Q92)*'User Segmentation'!$I$49)
-Dynamic_Row_Table[[Fixed Cost]:[Fixed Cost]]
-(Dynamic_Row_Table[[Funding Rate]:[Funding Rate]]*Dynamic_Row_Table[[Tenure (in months)]:[Tenure (in months)]]*$F$4*(1+$Q92)/12)
-(IF($Q92&lt;0,'Dynamic CM'!$G$4,'Dynamic CM'!$G$4*(($F$4*(1+$Q92)/$F$4)^'Dynamic CM'!$H$4))
*VLOOKUP($D$4,EAD_Table[#All],MATCH("EAD",EAD_Table[#Headers],0),FALSE)
*$F$4*(1+$Q92))</f>
        <v>-55.571754010237939</v>
      </c>
      <c r="T92" s="98" cm="1">
        <f t="array" ref="T92">($F$5*(1+$Q92)*'User Segmentation'!$I$49)
-Dynamic_Row_Table[[Fixed Cost]:[Fixed Cost]]
-(Dynamic_Row_Table[[Funding Rate]:[Funding Rate]]*Dynamic_Row_Table[[Tenure (in months)]:[Tenure (in months)]]*$F$5*(1+$Q92)/12)
-(IF($Q92&lt;0,'Dynamic CM'!$G$5,'Dynamic CM'!$G$5*(($F$5*(1+$Q92)/$F$5)^'Dynamic CM'!$H$5))
*VLOOKUP($D$5,EAD_Table[#All],MATCH("EAD",EAD_Table[#Headers],0),FALSE)
*$F$5*(1+$Q92))</f>
        <v>10.511244923948027</v>
      </c>
      <c r="U92" s="98" cm="1">
        <f t="array" ref="U92">($F$6*(1+$Q92)*'User Segmentation'!$I$49)
-Dynamic_Row_Table[[Fixed Cost]:[Fixed Cost]]
-(Dynamic_Row_Table[[Funding Rate]:[Funding Rate]]*Dynamic_Row_Table[[Tenure (in months)]:[Tenure (in months)]]*$F$6*(1+$Q92)/12)
-(IF($Q92&lt;0,'Dynamic CM'!$G$6,'Dynamic CM'!$G$6*(($F$6*(1+$Q92)/$F$6)^'Dynamic CM'!$H$6))
*VLOOKUP($D$6,EAD_Table[#All],MATCH("EAD",EAD_Table[#Headers],0),FALSE)
*$F$6*(1+$Q92))</f>
        <v>-40.936210546832321</v>
      </c>
    </row>
    <row r="93" spans="17:21" x14ac:dyDescent="0.2">
      <c r="Q93" s="64">
        <v>7.5</v>
      </c>
      <c r="R93" s="98" cm="1">
        <f t="array" ref="R93">($F$3*(1+$Q93)*'User Segmentation'!$I$49)
-Dynamic_Row_Table[[Fixed Cost]:[Fixed Cost]]
-(Dynamic_Row_Table[[Funding Rate]:[Funding Rate]]*Dynamic_Row_Table[[Tenure (in months)]:[Tenure (in months)]]*$F$3*(1+$Q93)/12)
-(IF($Q93&lt;0,'Dynamic CM'!$G$3,'Dynamic CM'!$G$3*(($F$3*(1+$Q93)/$F$3)^'Dynamic CM'!$H$3))
*VLOOKUP($D$3,EAD_Table[#All],MATCH("EAD",EAD_Table[#Headers],0),FALSE)
*$F$3*(1+$Q93))</f>
        <v>-667.59629968761681</v>
      </c>
      <c r="S93" s="98" cm="1">
        <f t="array" ref="S93">($F$4*(1+$Q93)*'User Segmentation'!$I$49)
-Dynamic_Row_Table[[Fixed Cost]:[Fixed Cost]]
-(Dynamic_Row_Table[[Funding Rate]:[Funding Rate]]*Dynamic_Row_Table[[Tenure (in months)]:[Tenure (in months)]]*$F$4*(1+$Q93)/12)
-(IF($Q93&lt;0,'Dynamic CM'!$G$4,'Dynamic CM'!$G$4*(($F$4*(1+$Q93)/$F$4)^'Dynamic CM'!$H$4))
*VLOOKUP($D$4,EAD_Table[#All],MATCH("EAD",EAD_Table[#Headers],0),FALSE)
*$F$4*(1+$Q93))</f>
        <v>-57.992967732756924</v>
      </c>
      <c r="T93" s="98" cm="1">
        <f t="array" ref="T93">($F$5*(1+$Q93)*'User Segmentation'!$I$49)
-Dynamic_Row_Table[[Fixed Cost]:[Fixed Cost]]
-(Dynamic_Row_Table[[Funding Rate]:[Funding Rate]]*Dynamic_Row_Table[[Tenure (in months)]:[Tenure (in months)]]*$F$5*(1+$Q93)/12)
-(IF($Q93&lt;0,'Dynamic CM'!$G$5,'Dynamic CM'!$G$5*(($F$5*(1+$Q93)/$F$5)^'Dynamic CM'!$H$5))
*VLOOKUP($D$5,EAD_Table[#All],MATCH("EAD",EAD_Table[#Headers],0),FALSE)
*$F$5*(1+$Q93))</f>
        <v>8.9675308107065064</v>
      </c>
      <c r="U93" s="98" cm="1">
        <f t="array" ref="U93">($F$6*(1+$Q93)*'User Segmentation'!$I$49)
-Dynamic_Row_Table[[Fixed Cost]:[Fixed Cost]]
-(Dynamic_Row_Table[[Funding Rate]:[Funding Rate]]*Dynamic_Row_Table[[Tenure (in months)]:[Tenure (in months)]]*$F$6*(1+$Q93)/12)
-(IF($Q93&lt;0,'Dynamic CM'!$G$6,'Dynamic CM'!$G$6*(($F$6*(1+$Q93)/$F$6)^'Dynamic CM'!$H$6))
*VLOOKUP($D$6,EAD_Table[#All],MATCH("EAD",EAD_Table[#Headers],0),FALSE)
*$F$6*(1+$Q93))</f>
        <v>-42.630735202237751</v>
      </c>
    </row>
    <row r="94" spans="17:21" x14ac:dyDescent="0.2">
      <c r="Q94" s="64">
        <v>7.6</v>
      </c>
      <c r="R94" s="98" cm="1">
        <f t="array" ref="R94">($F$3*(1+$Q94)*'User Segmentation'!$I$49)
-Dynamic_Row_Table[[Fixed Cost]:[Fixed Cost]]
-(Dynamic_Row_Table[[Funding Rate]:[Funding Rate]]*Dynamic_Row_Table[[Tenure (in months)]:[Tenure (in months)]]*$F$3*(1+$Q94)/12)
-(IF($Q94&lt;0,'Dynamic CM'!$G$3,'Dynamic CM'!$G$3*(($F$3*(1+$Q94)/$F$3)^'Dynamic CM'!$H$3))
*VLOOKUP($D$3,EAD_Table[#All],MATCH("EAD",EAD_Table[#Headers],0),FALSE)
*$F$3*(1+$Q94))</f>
        <v>-690.86500073648222</v>
      </c>
      <c r="S94" s="98" cm="1">
        <f t="array" ref="S94">($F$4*(1+$Q94)*'User Segmentation'!$I$49)
-Dynamic_Row_Table[[Fixed Cost]:[Fixed Cost]]
-(Dynamic_Row_Table[[Funding Rate]:[Funding Rate]]*Dynamic_Row_Table[[Tenure (in months)]:[Tenure (in months)]]*$F$4*(1+$Q94)/12)
-(IF($Q94&lt;0,'Dynamic CM'!$G$4,'Dynamic CM'!$G$4*(($F$4*(1+$Q94)/$F$4)^'Dynamic CM'!$H$4))
*VLOOKUP($D$4,EAD_Table[#All],MATCH("EAD",EAD_Table[#Headers],0),FALSE)
*$F$4*(1+$Q94))</f>
        <v>-60.463276748252845</v>
      </c>
      <c r="T94" s="98" cm="1">
        <f t="array" ref="T94">($F$5*(1+$Q94)*'User Segmentation'!$I$49)
-Dynamic_Row_Table[[Fixed Cost]:[Fixed Cost]]
-(Dynamic_Row_Table[[Funding Rate]:[Funding Rate]]*Dynamic_Row_Table[[Tenure (in months)]:[Tenure (in months)]]*$F$5*(1+$Q94)/12)
-(IF($Q94&lt;0,'Dynamic CM'!$G$5,'Dynamic CM'!$G$5*(($F$5*(1+$Q94)/$F$5)^'Dynamic CM'!$H$5))
*VLOOKUP($D$5,EAD_Table[#All],MATCH("EAD",EAD_Table[#Headers],0),FALSE)
*$F$5*(1+$Q94))</f>
        <v>7.3822681545596538</v>
      </c>
      <c r="U94" s="98" cm="1">
        <f t="array" ref="U94">($F$6*(1+$Q94)*'User Segmentation'!$I$49)
-Dynamic_Row_Table[[Fixed Cost]:[Fixed Cost]]
-(Dynamic_Row_Table[[Funding Rate]:[Funding Rate]]*Dynamic_Row_Table[[Tenure (in months)]:[Tenure (in months)]]*$F$6*(1+$Q94)/12)
-(IF($Q94&lt;0,'Dynamic CM'!$G$6,'Dynamic CM'!$G$6*(($F$6*(1+$Q94)/$F$6)^'Dynamic CM'!$H$6))
*VLOOKUP($D$6,EAD_Table[#All],MATCH("EAD",EAD_Table[#Headers],0),FALSE)
*$F$6*(1+$Q94))</f>
        <v>-44.359247864849245</v>
      </c>
    </row>
    <row r="95" spans="17:21" x14ac:dyDescent="0.2">
      <c r="Q95" s="64">
        <v>7.7</v>
      </c>
      <c r="R95" s="98" cm="1">
        <f t="array" ref="R95">($F$3*(1+$Q95)*'User Segmentation'!$I$49)
-Dynamic_Row_Table[[Fixed Cost]:[Fixed Cost]]
-(Dynamic_Row_Table[[Funding Rate]:[Funding Rate]]*Dynamic_Row_Table[[Tenure (in months)]:[Tenure (in months)]]*$F$3*(1+$Q95)/12)
-(IF($Q95&lt;0,'Dynamic CM'!$G$3,'Dynamic CM'!$G$3*(($F$3*(1+$Q95)/$F$3)^'Dynamic CM'!$H$3))
*VLOOKUP($D$3,EAD_Table[#All],MATCH("EAD",EAD_Table[#Headers],0),FALSE)
*$F$3*(1+$Q95))</f>
        <v>-714.65559205391628</v>
      </c>
      <c r="S95" s="98" cm="1">
        <f t="array" ref="S95">($F$4*(1+$Q95)*'User Segmentation'!$I$49)
-Dynamic_Row_Table[[Fixed Cost]:[Fixed Cost]]
-(Dynamic_Row_Table[[Funding Rate]:[Funding Rate]]*Dynamic_Row_Table[[Tenure (in months)]:[Tenure (in months)]]*$F$4*(1+$Q95)/12)
-(IF($Q95&lt;0,'Dynamic CM'!$G$4,'Dynamic CM'!$G$4*(($F$4*(1+$Q95)/$F$4)^'Dynamic CM'!$H$4))
*VLOOKUP($D$4,EAD_Table[#All],MATCH("EAD",EAD_Table[#Headers],0),FALSE)
*$F$4*(1+$Q95))</f>
        <v>-62.982865154439111</v>
      </c>
      <c r="T95" s="98" cm="1">
        <f t="array" ref="T95">($F$5*(1+$Q95)*'User Segmentation'!$I$49)
-Dynamic_Row_Table[[Fixed Cost]:[Fixed Cost]]
-(Dynamic_Row_Table[[Funding Rate]:[Funding Rate]]*Dynamic_Row_Table[[Tenure (in months)]:[Tenure (in months)]]*$F$5*(1+$Q95)/12)
-(IF($Q95&lt;0,'Dynamic CM'!$G$5,'Dynamic CM'!$G$5*(($F$5*(1+$Q95)/$F$5)^'Dynamic CM'!$H$5))
*VLOOKUP($D$5,EAD_Table[#All],MATCH("EAD",EAD_Table[#Headers],0),FALSE)
*$F$5*(1+$Q95))</f>
        <v>5.755422437754163</v>
      </c>
      <c r="U95" s="98" cm="1">
        <f t="array" ref="U95">($F$6*(1+$Q95)*'User Segmentation'!$I$49)
-Dynamic_Row_Table[[Fixed Cost]:[Fixed Cost]]
-(Dynamic_Row_Table[[Funding Rate]:[Funding Rate]]*Dynamic_Row_Table[[Tenure (in months)]:[Tenure (in months)]]*$F$6*(1+$Q95)/12)
-(IF($Q95&lt;0,'Dynamic CM'!$G$6,'Dynamic CM'!$G$6*(($F$6*(1+$Q95)/$F$6)^'Dynamic CM'!$H$6))
*VLOOKUP($D$6,EAD_Table[#All],MATCH("EAD",EAD_Table[#Headers],0),FALSE)
*$F$6*(1+$Q95))</f>
        <v>-46.121875983023394</v>
      </c>
    </row>
    <row r="96" spans="17:21" x14ac:dyDescent="0.2">
      <c r="Q96" s="64">
        <v>7.8</v>
      </c>
      <c r="R96" s="98" cm="1">
        <f t="array" ref="R96">($F$3*(1+$Q96)*'User Segmentation'!$I$49)
-Dynamic_Row_Table[[Fixed Cost]:[Fixed Cost]]
-(Dynamic_Row_Table[[Funding Rate]:[Funding Rate]]*Dynamic_Row_Table[[Tenure (in months)]:[Tenure (in months)]]*$F$3*(1+$Q96)/12)
-(IF($Q96&lt;0,'Dynamic CM'!$G$3,'Dynamic CM'!$G$3*(($F$3*(1+$Q96)/$F$3)^'Dynamic CM'!$H$3))
*VLOOKUP($D$3,EAD_Table[#All],MATCH("EAD",EAD_Table[#Headers],0),FALSE)
*$F$3*(1+$Q96))</f>
        <v>-738.97347117131517</v>
      </c>
      <c r="S96" s="98" cm="1">
        <f t="array" ref="S96">($F$4*(1+$Q96)*'User Segmentation'!$I$49)
-Dynamic_Row_Table[[Fixed Cost]:[Fixed Cost]]
-(Dynamic_Row_Table[[Funding Rate]:[Funding Rate]]*Dynamic_Row_Table[[Tenure (in months)]:[Tenure (in months)]]*$F$4*(1+$Q96)/12)
-(IF($Q96&lt;0,'Dynamic CM'!$G$4,'Dynamic CM'!$G$4*(($F$4*(1+$Q96)/$F$4)^'Dynamic CM'!$H$4))
*VLOOKUP($D$4,EAD_Table[#All],MATCH("EAD",EAD_Table[#Headers],0),FALSE)
*$F$4*(1+$Q96))</f>
        <v>-65.551915599014336</v>
      </c>
      <c r="T96" s="98" cm="1">
        <f t="array" ref="T96">($F$5*(1+$Q96)*'User Segmentation'!$I$49)
-Dynamic_Row_Table[[Fixed Cost]:[Fixed Cost]]
-(Dynamic_Row_Table[[Funding Rate]:[Funding Rate]]*Dynamic_Row_Table[[Tenure (in months)]:[Tenure (in months)]]*$F$5*(1+$Q96)/12)
-(IF($Q96&lt;0,'Dynamic CM'!$G$5,'Dynamic CM'!$G$5*(($F$5*(1+$Q96)/$F$5)^'Dynamic CM'!$H$5))
*VLOOKUP($D$5,EAD_Table[#All],MATCH("EAD",EAD_Table[#Headers],0),FALSE)
*$F$5*(1+$Q96))</f>
        <v>4.0869595134300312</v>
      </c>
      <c r="U96" s="98" cm="1">
        <f t="array" ref="U96">($F$6*(1+$Q96)*'User Segmentation'!$I$49)
-Dynamic_Row_Table[[Fixed Cost]:[Fixed Cost]]
-(Dynamic_Row_Table[[Funding Rate]:[Funding Rate]]*Dynamic_Row_Table[[Tenure (in months)]:[Tenure (in months)]]*$F$6*(1+$Q96)/12)
-(IF($Q96&lt;0,'Dynamic CM'!$G$6,'Dynamic CM'!$G$6*(($F$6*(1+$Q96)/$F$6)^'Dynamic CM'!$H$6))
*VLOOKUP($D$6,EAD_Table[#All],MATCH("EAD",EAD_Table[#Headers],0),FALSE)
*$F$6*(1+$Q96))</f>
        <v>-47.918746001291318</v>
      </c>
    </row>
    <row r="97" spans="17:21" x14ac:dyDescent="0.2">
      <c r="Q97" s="64">
        <v>7.9</v>
      </c>
      <c r="R97" s="98" cm="1">
        <f t="array" ref="R97">($F$3*(1+$Q97)*'User Segmentation'!$I$49)
-Dynamic_Row_Table[[Fixed Cost]:[Fixed Cost]]
-(Dynamic_Row_Table[[Funding Rate]:[Funding Rate]]*Dynamic_Row_Table[[Tenure (in months)]:[Tenure (in months)]]*$F$3*(1+$Q97)/12)
-(IF($Q97&lt;0,'Dynamic CM'!$G$3,'Dynamic CM'!$G$3*(($F$3*(1+$Q97)/$F$3)^'Dynamic CM'!$H$3))
*VLOOKUP($D$3,EAD_Table[#All],MATCH("EAD",EAD_Table[#Headers],0),FALSE)
*$F$3*(1+$Q97))</f>
        <v>-763.82402879959341</v>
      </c>
      <c r="S97" s="98" cm="1">
        <f t="array" ref="S97">($F$4*(1+$Q97)*'User Segmentation'!$I$49)
-Dynamic_Row_Table[[Fixed Cost]:[Fixed Cost]]
-(Dynamic_Row_Table[[Funding Rate]:[Funding Rate]]*Dynamic_Row_Table[[Tenure (in months)]:[Tenure (in months)]]*$F$4*(1+$Q97)/12)
-(IF($Q97&lt;0,'Dynamic CM'!$G$4,'Dynamic CM'!$G$4*(($F$4*(1+$Q97)/$F$4)^'Dynamic CM'!$H$4))
*VLOOKUP($D$4,EAD_Table[#All],MATCH("EAD",EAD_Table[#Headers],0),FALSE)
*$F$4*(1+$Q97))</f>
        <v>-68.170609307555992</v>
      </c>
      <c r="T97" s="98" cm="1">
        <f t="array" ref="T97">($F$5*(1+$Q97)*'User Segmentation'!$I$49)
-Dynamic_Row_Table[[Fixed Cost]:[Fixed Cost]]
-(Dynamic_Row_Table[[Funding Rate]:[Funding Rate]]*Dynamic_Row_Table[[Tenure (in months)]:[Tenure (in months)]]*$F$5*(1+$Q97)/12)
-(IF($Q97&lt;0,'Dynamic CM'!$G$5,'Dynamic CM'!$G$5*(($F$5*(1+$Q97)/$F$5)^'Dynamic CM'!$H$5))
*VLOOKUP($D$5,EAD_Table[#All],MATCH("EAD",EAD_Table[#Headers],0),FALSE)
*$F$5*(1+$Q97))</f>
        <v>2.3768455974403082</v>
      </c>
      <c r="U97" s="98" cm="1">
        <f t="array" ref="U97">($F$6*(1+$Q97)*'User Segmentation'!$I$49)
-Dynamic_Row_Table[[Fixed Cost]:[Fixed Cost]]
-(Dynamic_Row_Table[[Funding Rate]:[Funding Rate]]*Dynamic_Row_Table[[Tenure (in months)]:[Tenure (in months)]]*$F$6*(1+$Q97)/12)
-(IF($Q97&lt;0,'Dynamic CM'!$G$6,'Dynamic CM'!$G$6*(($F$6*(1+$Q97)/$F$6)^'Dynamic CM'!$H$6))
*VLOOKUP($D$6,EAD_Table[#All],MATCH("EAD",EAD_Table[#Headers],0),FALSE)
*$F$6*(1+$Q97))</f>
        <v>-49.749983379668791</v>
      </c>
    </row>
    <row r="98" spans="17:21" x14ac:dyDescent="0.2">
      <c r="Q98" s="64">
        <v>8</v>
      </c>
      <c r="R98" s="98" cm="1">
        <f t="array" ref="R98">($F$3*(1+$Q98)*'User Segmentation'!$I$49)
-Dynamic_Row_Table[[Fixed Cost]:[Fixed Cost]]
-(Dynamic_Row_Table[[Funding Rate]:[Funding Rate]]*Dynamic_Row_Table[[Tenure (in months)]:[Tenure (in months)]]*$F$3*(1+$Q98)/12)
-(IF($Q98&lt;0,'Dynamic CM'!$G$3,'Dynamic CM'!$G$3*(($F$3*(1+$Q98)/$F$3)^'Dynamic CM'!$H$3))
*VLOOKUP($D$3,EAD_Table[#All],MATCH("EAD",EAD_Table[#Headers],0),FALSE)
*$F$3*(1+$Q98))</f>
        <v>-789.21264891517683</v>
      </c>
      <c r="S98" s="98" cm="1">
        <f t="array" ref="S98">($F$4*(1+$Q98)*'User Segmentation'!$I$49)
-Dynamic_Row_Table[[Fixed Cost]:[Fixed Cost]]
-(Dynamic_Row_Table[[Funding Rate]:[Funding Rate]]*Dynamic_Row_Table[[Tenure (in months)]:[Tenure (in months)]]*$F$4*(1+$Q98)/12)
-(IF($Q98&lt;0,'Dynamic CM'!$G$4,'Dynamic CM'!$G$4*(($F$4*(1+$Q98)/$F$4)^'Dynamic CM'!$H$4))
*VLOOKUP($D$4,EAD_Table[#All],MATCH("EAD",EAD_Table[#Headers],0),FALSE)
*$F$4*(1+$Q98))</f>
        <v>-70.839126110568714</v>
      </c>
      <c r="T98" s="98" cm="1">
        <f t="array" ref="T98">($F$5*(1+$Q98)*'User Segmentation'!$I$49)
-Dynamic_Row_Table[[Fixed Cost]:[Fixed Cost]]
-(Dynamic_Row_Table[[Funding Rate]:[Funding Rate]]*Dynamic_Row_Table[[Tenure (in months)]:[Tenure (in months)]]*$F$5*(1+$Q98)/12)
-(IF($Q98&lt;0,'Dynamic CM'!$G$5,'Dynamic CM'!$G$5*(($F$5*(1+$Q98)/$F$5)^'Dynamic CM'!$H$5))
*VLOOKUP($D$5,EAD_Table[#All],MATCH("EAD",EAD_Table[#Headers],0),FALSE)
*$F$5*(1+$Q98))</f>
        <v>0.62504726044082304</v>
      </c>
      <c r="U98" s="98" cm="1">
        <f t="array" ref="U98">($F$6*(1+$Q98)*'User Segmentation'!$I$49)
-Dynamic_Row_Table[[Fixed Cost]:[Fixed Cost]]
-(Dynamic_Row_Table[[Funding Rate]:[Funding Rate]]*Dynamic_Row_Table[[Tenure (in months)]:[Tenure (in months)]]*$F$6*(1+$Q98)/12)
-(IF($Q98&lt;0,'Dynamic CM'!$G$6,'Dynamic CM'!$G$6*(($F$6*(1+$Q98)/$F$6)^'Dynamic CM'!$H$6))
*VLOOKUP($D$6,EAD_Table[#All],MATCH("EAD",EAD_Table[#Headers],0),FALSE)
*$F$6*(1+$Q98))</f>
        <v>-51.61571261238155</v>
      </c>
    </row>
    <row r="99" spans="17:21" x14ac:dyDescent="0.2">
      <c r="Q99" s="64">
        <v>8.1</v>
      </c>
      <c r="R99" s="98" cm="1">
        <f t="array" ref="R99">($F$3*(1+$Q99)*'User Segmentation'!$I$49)
-Dynamic_Row_Table[[Fixed Cost]:[Fixed Cost]]
-(Dynamic_Row_Table[[Funding Rate]:[Funding Rate]]*Dynamic_Row_Table[[Tenure (in months)]:[Tenure (in months)]]*$F$3*(1+$Q99)/12)
-(IF($Q99&lt;0,'Dynamic CM'!$G$3,'Dynamic CM'!$G$3*(($F$3*(1+$Q99)/$F$3)^'Dynamic CM'!$H$3))
*VLOOKUP($D$3,EAD_Table[#All],MATCH("EAD",EAD_Table[#Headers],0),FALSE)
*$F$3*(1+$Q99))</f>
        <v>-815.14470884394291</v>
      </c>
      <c r="S99" s="98" cm="1">
        <f t="array" ref="S99">($F$4*(1+$Q99)*'User Segmentation'!$I$49)
-Dynamic_Row_Table[[Fixed Cost]:[Fixed Cost]]
-(Dynamic_Row_Table[[Funding Rate]:[Funding Rate]]*Dynamic_Row_Table[[Tenure (in months)]:[Tenure (in months)]]*$F$4*(1+$Q99)/12)
-(IF($Q99&lt;0,'Dynamic CM'!$G$4,'Dynamic CM'!$G$4*(($F$4*(1+$Q99)/$F$4)^'Dynamic CM'!$H$4))
*VLOOKUP($D$4,EAD_Table[#All],MATCH("EAD",EAD_Table[#Headers],0),FALSE)
*$F$4*(1+$Q99))</f>
        <v>-73.557644469720103</v>
      </c>
      <c r="T99" s="98" cm="1">
        <f t="array" ref="T99">($F$5*(1+$Q99)*'User Segmentation'!$I$49)
-Dynamic_Row_Table[[Fixed Cost]:[Fixed Cost]]
-(Dynamic_Row_Table[[Funding Rate]:[Funding Rate]]*Dynamic_Row_Table[[Tenure (in months)]:[Tenure (in months)]]*$F$5*(1+$Q99)/12)
-(IF($Q99&lt;0,'Dynamic CM'!$G$5,'Dynamic CM'!$G$5*(($F$5*(1+$Q99)/$F$5)^'Dynamic CM'!$H$5))
*VLOOKUP($D$5,EAD_Table[#All],MATCH("EAD",EAD_Table[#Headers],0),FALSE)
*$F$5*(1+$Q99))</f>
        <v>-1.1684685797606562</v>
      </c>
      <c r="U99" s="98" cm="1">
        <f t="array" ref="U99">($F$6*(1+$Q99)*'User Segmentation'!$I$49)
-Dynamic_Row_Table[[Fixed Cost]:[Fixed Cost]]
-(Dynamic_Row_Table[[Funding Rate]:[Funding Rate]]*Dynamic_Row_Table[[Tenure (in months)]:[Tenure (in months)]]*$F$6*(1+$Q99)/12)
-(IF($Q99&lt;0,'Dynamic CM'!$G$6,'Dynamic CM'!$G$6*(($F$6*(1+$Q99)/$F$6)^'Dynamic CM'!$H$6))
*VLOOKUP($D$6,EAD_Table[#All],MATCH("EAD",EAD_Table[#Headers],0),FALSE)
*$F$6*(1+$Q99))</f>
        <v>-53.516057246028019</v>
      </c>
    </row>
    <row r="100" spans="17:21" x14ac:dyDescent="0.2">
      <c r="Q100" s="64">
        <v>8.1999999999999993</v>
      </c>
      <c r="R100" s="98" cm="1">
        <f t="array" ref="R100">($F$3*(1+$Q100)*'User Segmentation'!$I$49)
-Dynamic_Row_Table[[Fixed Cost]:[Fixed Cost]]
-(Dynamic_Row_Table[[Funding Rate]:[Funding Rate]]*Dynamic_Row_Table[[Tenure (in months)]:[Tenure (in months)]]*$F$3*(1+$Q100)/12)
-(IF($Q100&lt;0,'Dynamic CM'!$G$3,'Dynamic CM'!$G$3*(($F$3*(1+$Q100)/$F$3)^'Dynamic CM'!$H$3))
*VLOOKUP($D$3,EAD_Table[#All],MATCH("EAD",EAD_Table[#Headers],0),FALSE)
*$F$3*(1+$Q100))</f>
        <v>-841.62557934320921</v>
      </c>
      <c r="S100" s="98" cm="1">
        <f t="array" ref="S100">($F$4*(1+$Q100)*'User Segmentation'!$I$49)
-Dynamic_Row_Table[[Fixed Cost]:[Fixed Cost]]
-(Dynamic_Row_Table[[Funding Rate]:[Funding Rate]]*Dynamic_Row_Table[[Tenure (in months)]:[Tenure (in months)]]*$F$4*(1+$Q100)/12)
-(IF($Q100&lt;0,'Dynamic CM'!$G$4,'Dynamic CM'!$G$4*(($F$4*(1+$Q100)/$F$4)^'Dynamic CM'!$H$4))
*VLOOKUP($D$4,EAD_Table[#All],MATCH("EAD",EAD_Table[#Headers],0),FALSE)
*$F$4*(1+$Q100))</f>
        <v>-76.326341503298494</v>
      </c>
      <c r="T100" s="98" cm="1">
        <f t="array" ref="T100">($F$5*(1+$Q100)*'User Segmentation'!$I$49)
-Dynamic_Row_Table[[Fixed Cost]:[Fixed Cost]]
-(Dynamic_Row_Table[[Funding Rate]:[Funding Rate]]*Dynamic_Row_Table[[Tenure (in months)]:[Tenure (in months)]]*$F$5*(1+$Q100)/12)
-(IF($Q100&lt;0,'Dynamic CM'!$G$5,'Dynamic CM'!$G$5*(($F$5*(1+$Q100)/$F$5)^'Dynamic CM'!$H$5))
*VLOOKUP($D$5,EAD_Table[#All],MATCH("EAD",EAD_Table[#Headers],0),FALSE)
*$F$5*(1+$Q100))</f>
        <v>-3.0037346656071122</v>
      </c>
      <c r="U100" s="98" cm="1">
        <f t="array" ref="U100">($F$6*(1+$Q100)*'User Segmentation'!$I$49)
-Dynamic_Row_Table[[Fixed Cost]:[Fixed Cost]]
-(Dynamic_Row_Table[[Funding Rate]:[Funding Rate]]*Dynamic_Row_Table[[Tenure (in months)]:[Tenure (in months)]]*$F$6*(1+$Q100)/12)
-(IF($Q100&lt;0,'Dynamic CM'!$G$6,'Dynamic CM'!$G$6*(($F$6*(1+$Q100)/$F$6)^'Dynamic CM'!$H$6))
*VLOOKUP($D$6,EAD_Table[#All],MATCH("EAD",EAD_Table[#Headers],0),FALSE)
*$F$6*(1+$Q100))</f>
        <v>-55.451139897203284</v>
      </c>
    </row>
    <row r="101" spans="17:21" x14ac:dyDescent="0.2">
      <c r="Q101" s="64">
        <v>8.3000000000000096</v>
      </c>
      <c r="R101" s="98" cm="1">
        <f t="array" ref="R101">($F$3*(1+$Q101)*'User Segmentation'!$I$49)
-Dynamic_Row_Table[[Fixed Cost]:[Fixed Cost]]
-(Dynamic_Row_Table[[Funding Rate]:[Funding Rate]]*Dynamic_Row_Table[[Tenure (in months)]:[Tenure (in months)]]*$F$3*(1+$Q101)/12)
-(IF($Q101&lt;0,'Dynamic CM'!$G$3,'Dynamic CM'!$G$3*(($F$3*(1+$Q101)/$F$3)^'Dynamic CM'!$H$3))
*VLOOKUP($D$3,EAD_Table[#All],MATCH("EAD",EAD_Table[#Headers],0),FALSE)
*$F$3*(1+$Q101))</f>
        <v>-868.66062468180587</v>
      </c>
      <c r="S101" s="98" cm="1">
        <f t="array" ref="S101">($F$4*(1+$Q101)*'User Segmentation'!$I$49)
-Dynamic_Row_Table[[Fixed Cost]:[Fixed Cost]]
-(Dynamic_Row_Table[[Funding Rate]:[Funding Rate]]*Dynamic_Row_Table[[Tenure (in months)]:[Tenure (in months)]]*$F$4*(1+$Q101)/12)
-(IF($Q101&lt;0,'Dynamic CM'!$G$4,'Dynamic CM'!$G$4*(($F$4*(1+$Q101)/$F$4)^'Dynamic CM'!$H$4))
*VLOOKUP($D$4,EAD_Table[#All],MATCH("EAD",EAD_Table[#Headers],0),FALSE)
*$F$4*(1+$Q101))</f>
        <v>-79.145393010924394</v>
      </c>
      <c r="T101" s="98" cm="1">
        <f t="array" ref="T101">($F$5*(1+$Q101)*'User Segmentation'!$I$49)
-Dynamic_Row_Table[[Fixed Cost]:[Fixed Cost]]
-(Dynamic_Row_Table[[Funding Rate]:[Funding Rate]]*Dynamic_Row_Table[[Tenure (in months)]:[Tenure (in months)]]*$F$5*(1+$Q101)/12)
-(IF($Q101&lt;0,'Dynamic CM'!$G$5,'Dynamic CM'!$G$5*(($F$5*(1+$Q101)/$F$5)^'Dynamic CM'!$H$5))
*VLOOKUP($D$5,EAD_Table[#All],MATCH("EAD",EAD_Table[#Headers],0),FALSE)
*$F$5*(1+$Q101))</f>
        <v>-4.8807834069590399</v>
      </c>
      <c r="U101" s="98" cm="1">
        <f t="array" ref="U101">($F$6*(1+$Q101)*'User Segmentation'!$I$49)
-Dynamic_Row_Table[[Fixed Cost]:[Fixed Cost]]
-(Dynamic_Row_Table[[Funding Rate]:[Funding Rate]]*Dynamic_Row_Table[[Tenure (in months)]:[Tenure (in months)]]*$F$6*(1+$Q101)/12)
-(IF($Q101&lt;0,'Dynamic CM'!$G$6,'Dynamic CM'!$G$6*(($F$6*(1+$Q101)/$F$6)^'Dynamic CM'!$H$6))
*VLOOKUP($D$6,EAD_Table[#All],MATCH("EAD",EAD_Table[#Headers],0),FALSE)
*$F$6*(1+$Q101))</f>
        <v>-57.421082269606522</v>
      </c>
    </row>
    <row r="102" spans="17:21" x14ac:dyDescent="0.2">
      <c r="Q102" s="64">
        <v>8.4</v>
      </c>
      <c r="R102" s="98" cm="1">
        <f t="array" ref="R102">($F$3*(1+$Q102)*'User Segmentation'!$I$49)
-Dynamic_Row_Table[[Fixed Cost]:[Fixed Cost]]
-(Dynamic_Row_Table[[Funding Rate]:[Funding Rate]]*Dynamic_Row_Table[[Tenure (in months)]:[Tenure (in months)]]*$F$3*(1+$Q102)/12)
-(IF($Q102&lt;0,'Dynamic CM'!$G$3,'Dynamic CM'!$G$3*(($F$3*(1+$Q102)/$F$3)^'Dynamic CM'!$H$3))
*VLOOKUP($D$3,EAD_Table[#All],MATCH("EAD",EAD_Table[#Headers],0),FALSE)
*$F$3*(1+$Q102))</f>
        <v>-896.25520271831624</v>
      </c>
      <c r="S102" s="98" cm="1">
        <f t="array" ref="S102">($F$4*(1+$Q102)*'User Segmentation'!$I$49)
-Dynamic_Row_Table[[Fixed Cost]:[Fixed Cost]]
-(Dynamic_Row_Table[[Funding Rate]:[Funding Rate]]*Dynamic_Row_Table[[Tenure (in months)]:[Tenure (in months)]]*$F$4*(1+$Q102)/12)
-(IF($Q102&lt;0,'Dynamic CM'!$G$4,'Dynamic CM'!$G$4*(($F$4*(1+$Q102)/$F$4)^'Dynamic CM'!$H$4))
*VLOOKUP($D$4,EAD_Table[#All],MATCH("EAD",EAD_Table[#Headers],0),FALSE)
*$F$4*(1+$Q102))</f>
        <v>-82.014973497541888</v>
      </c>
      <c r="T102" s="98" cm="1">
        <f t="array" ref="T102">($F$5*(1+$Q102)*'User Segmentation'!$I$49)
-Dynamic_Row_Table[[Fixed Cost]:[Fixed Cost]]
-(Dynamic_Row_Table[[Funding Rate]:[Funding Rate]]*Dynamic_Row_Table[[Tenure (in months)]:[Tenure (in months)]]*$F$5*(1+$Q102)/12)
-(IF($Q102&lt;0,'Dynamic CM'!$G$5,'Dynamic CM'!$G$5*(($F$5*(1+$Q102)/$F$5)^'Dynamic CM'!$H$5))
*VLOOKUP($D$5,EAD_Table[#All],MATCH("EAD",EAD_Table[#Headers],0),FALSE)
*$F$5*(1+$Q102))</f>
        <v>-6.799646888032072</v>
      </c>
      <c r="U102" s="98" cm="1">
        <f t="array" ref="U102">($F$6*(1+$Q102)*'User Segmentation'!$I$49)
-Dynamic_Row_Table[[Fixed Cost]:[Fixed Cost]]
-(Dynamic_Row_Table[[Funding Rate]:[Funding Rate]]*Dynamic_Row_Table[[Tenure (in months)]:[Tenure (in months)]]*$F$6*(1+$Q102)/12)
-(IF($Q102&lt;0,'Dynamic CM'!$G$6,'Dynamic CM'!$G$6*(($F$6*(1+$Q102)/$F$6)^'Dynamic CM'!$H$6))
*VLOOKUP($D$6,EAD_Table[#All],MATCH("EAD",EAD_Table[#Headers],0),FALSE)
*$F$6*(1+$Q102))</f>
        <v>-59.426005170649979</v>
      </c>
    </row>
    <row r="103" spans="17:21" x14ac:dyDescent="0.2">
      <c r="Q103" s="64">
        <v>8.5</v>
      </c>
      <c r="R103" s="98" cm="1">
        <f t="array" ref="R103">($F$3*(1+$Q103)*'User Segmentation'!$I$49)
-Dynamic_Row_Table[[Fixed Cost]:[Fixed Cost]]
-(Dynamic_Row_Table[[Funding Rate]:[Funding Rate]]*Dynamic_Row_Table[[Tenure (in months)]:[Tenure (in months)]]*$F$3*(1+$Q103)/12)
-(IF($Q103&lt;0,'Dynamic CM'!$G$3,'Dynamic CM'!$G$3*(($F$3*(1+$Q103)/$F$3)^'Dynamic CM'!$H$3))
*VLOOKUP($D$3,EAD_Table[#All],MATCH("EAD",EAD_Table[#Headers],0),FALSE)
*$F$3*(1+$Q103))</f>
        <v>-924.41466497756778</v>
      </c>
      <c r="S103" s="98" cm="1">
        <f t="array" ref="S103">($F$4*(1+$Q103)*'User Segmentation'!$I$49)
-Dynamic_Row_Table[[Fixed Cost]:[Fixed Cost]]
-(Dynamic_Row_Table[[Funding Rate]:[Funding Rate]]*Dynamic_Row_Table[[Tenure (in months)]:[Tenure (in months)]]*$F$4*(1+$Q103)/12)
-(IF($Q103&lt;0,'Dynamic CM'!$G$4,'Dynamic CM'!$G$4*(($F$4*(1+$Q103)/$F$4)^'Dynamic CM'!$H$4))
*VLOOKUP($D$4,EAD_Table[#All],MATCH("EAD",EAD_Table[#Headers],0),FALSE)
*$F$4*(1+$Q103))</f>
        <v>-84.935256196726527</v>
      </c>
      <c r="T103" s="98" cm="1">
        <f t="array" ref="T103">($F$5*(1+$Q103)*'User Segmentation'!$I$49)
-Dynamic_Row_Table[[Fixed Cost]:[Fixed Cost]]
-(Dynamic_Row_Table[[Funding Rate]:[Funding Rate]]*Dynamic_Row_Table[[Tenure (in months)]:[Tenure (in months)]]*$F$5*(1+$Q103)/12)
-(IF($Q103&lt;0,'Dynamic CM'!$G$5,'Dynamic CM'!$G$5*(($F$5*(1+$Q103)/$F$5)^'Dynamic CM'!$H$5))
*VLOOKUP($D$5,EAD_Table[#All],MATCH("EAD",EAD_Table[#Headers],0),FALSE)
*$F$5*(1+$Q103))</f>
        <v>-8.760356874120248</v>
      </c>
      <c r="U103" s="98" cm="1">
        <f t="array" ref="U103">($F$6*(1+$Q103)*'User Segmentation'!$I$49)
-Dynamic_Row_Table[[Fixed Cost]:[Fixed Cost]]
-(Dynamic_Row_Table[[Funding Rate]:[Funding Rate]]*Dynamic_Row_Table[[Tenure (in months)]:[Tenure (in months)]]*$F$6*(1+$Q103)/12)
-(IF($Q103&lt;0,'Dynamic CM'!$G$6,'Dynamic CM'!$G$6*(($F$6*(1+$Q103)/$F$6)^'Dynamic CM'!$H$6))
*VLOOKUP($D$6,EAD_Table[#All],MATCH("EAD",EAD_Table[#Headers],0),FALSE)
*$F$6*(1+$Q103))</f>
        <v>-61.466028527594702</v>
      </c>
    </row>
    <row r="104" spans="17:21" x14ac:dyDescent="0.2">
      <c r="Q104" s="64">
        <v>8.6000000000000103</v>
      </c>
      <c r="R104" s="98" cm="1">
        <f t="array" ref="R104">($F$3*(1+$Q104)*'User Segmentation'!$I$49)
-Dynamic_Row_Table[[Fixed Cost]:[Fixed Cost]]
-(Dynamic_Row_Table[[Funding Rate]:[Funding Rate]]*Dynamic_Row_Table[[Tenure (in months)]:[Tenure (in months)]]*$F$3*(1+$Q104)/12)
-(IF($Q104&lt;0,'Dynamic CM'!$G$3,'Dynamic CM'!$G$3*(($F$3*(1+$Q104)/$F$3)^'Dynamic CM'!$H$3))
*VLOOKUP($D$3,EAD_Table[#All],MATCH("EAD",EAD_Table[#Headers],0),FALSE)
*$F$3*(1+$Q104))</f>
        <v>-953.14435672536456</v>
      </c>
      <c r="S104" s="98" cm="1">
        <f t="array" ref="S104">($F$4*(1+$Q104)*'User Segmentation'!$I$49)
-Dynamic_Row_Table[[Fixed Cost]:[Fixed Cost]]
-(Dynamic_Row_Table[[Funding Rate]:[Funding Rate]]*Dynamic_Row_Table[[Tenure (in months)]:[Tenure (in months)]]*$F$4*(1+$Q104)/12)
-(IF($Q104&lt;0,'Dynamic CM'!$G$4,'Dynamic CM'!$G$4*(($F$4*(1+$Q104)/$F$4)^'Dynamic CM'!$H$4))
*VLOOKUP($D$4,EAD_Table[#All],MATCH("EAD",EAD_Table[#Headers],0),FALSE)
*$F$4*(1+$Q104))</f>
        <v>-87.906413093324858</v>
      </c>
      <c r="T104" s="98" cm="1">
        <f t="array" ref="T104">($F$5*(1+$Q104)*'User Segmentation'!$I$49)
-Dynamic_Row_Table[[Fixed Cost]:[Fixed Cost]]
-(Dynamic_Row_Table[[Funding Rate]:[Funding Rate]]*Dynamic_Row_Table[[Tenure (in months)]:[Tenure (in months)]]*$F$5*(1+$Q104)/12)
-(IF($Q104&lt;0,'Dynamic CM'!$G$5,'Dynamic CM'!$G$5*(($F$5*(1+$Q104)/$F$5)^'Dynamic CM'!$H$5))
*VLOOKUP($D$5,EAD_Table[#All],MATCH("EAD",EAD_Table[#Headers],0),FALSE)
*$F$5*(1+$Q104))</f>
        <v>-10.762944818108195</v>
      </c>
      <c r="U104" s="98" cm="1">
        <f t="array" ref="U104">($F$6*(1+$Q104)*'User Segmentation'!$I$49)
-Dynamic_Row_Table[[Fixed Cost]:[Fixed Cost]]
-(Dynamic_Row_Table[[Funding Rate]:[Funding Rate]]*Dynamic_Row_Table[[Tenure (in months)]:[Tenure (in months)]]*$F$6*(1+$Q104)/12)
-(IF($Q104&lt;0,'Dynamic CM'!$G$6,'Dynamic CM'!$G$6*(($F$6*(1+$Q104)/$F$6)^'Dynamic CM'!$H$6))
*VLOOKUP($D$6,EAD_Table[#All],MATCH("EAD",EAD_Table[#Headers],0),FALSE)
*$F$6*(1+$Q104))</f>
        <v>-63.541271403223384</v>
      </c>
    </row>
    <row r="105" spans="17:21" x14ac:dyDescent="0.2">
      <c r="Q105" s="64">
        <v>8.7000000000000099</v>
      </c>
      <c r="R105" s="98" cm="1">
        <f t="array" ref="R105">($F$3*(1+$Q105)*'User Segmentation'!$I$49)
-Dynamic_Row_Table[[Fixed Cost]:[Fixed Cost]]
-(Dynamic_Row_Table[[Funding Rate]:[Funding Rate]]*Dynamic_Row_Table[[Tenure (in months)]:[Tenure (in months)]]*$F$3*(1+$Q105)/12)
-(IF($Q105&lt;0,'Dynamic CM'!$G$3,'Dynamic CM'!$G$3*(($F$3*(1+$Q105)/$F$3)^'Dynamic CM'!$H$3))
*VLOOKUP($D$3,EAD_Table[#All],MATCH("EAD",EAD_Table[#Headers],0),FALSE)
*$F$3*(1+$Q105))</f>
        <v>-982.44961704158595</v>
      </c>
      <c r="S105" s="98" cm="1">
        <f t="array" ref="S105">($F$4*(1+$Q105)*'User Segmentation'!$I$49)
-Dynamic_Row_Table[[Fixed Cost]:[Fixed Cost]]
-(Dynamic_Row_Table[[Funding Rate]:[Funding Rate]]*Dynamic_Row_Table[[Tenure (in months)]:[Tenure (in months)]]*$F$4*(1+$Q105)/12)
-(IF($Q105&lt;0,'Dynamic CM'!$G$4,'Dynamic CM'!$G$4*(($F$4*(1+$Q105)/$F$4)^'Dynamic CM'!$H$4))
*VLOOKUP($D$4,EAD_Table[#All],MATCH("EAD",EAD_Table[#Headers],0),FALSE)
*$F$4*(1+$Q105))</f>
        <v>-90.928614945460765</v>
      </c>
      <c r="T105" s="98" cm="1">
        <f t="array" ref="T105">($F$5*(1+$Q105)*'User Segmentation'!$I$49)
-Dynamic_Row_Table[[Fixed Cost]:[Fixed Cost]]
-(Dynamic_Row_Table[[Funding Rate]:[Funding Rate]]*Dynamic_Row_Table[[Tenure (in months)]:[Tenure (in months)]]*$F$5*(1+$Q105)/12)
-(IF($Q105&lt;0,'Dynamic CM'!$G$5,'Dynamic CM'!$G$5*(($F$5*(1+$Q105)/$F$5)^'Dynamic CM'!$H$5))
*VLOOKUP($D$5,EAD_Table[#All],MATCH("EAD",EAD_Table[#Headers],0),FALSE)
*$F$5*(1+$Q105))</f>
        <v>-12.807441866783506</v>
      </c>
      <c r="U105" s="98" cm="1">
        <f t="array" ref="U105">($F$6*(1+$Q105)*'User Segmentation'!$I$49)
-Dynamic_Row_Table[[Fixed Cost]:[Fixed Cost]]
-(Dynamic_Row_Table[[Funding Rate]:[Funding Rate]]*Dynamic_Row_Table[[Tenure (in months)]:[Tenure (in months)]]*$F$6*(1+$Q105)/12)
-(IF($Q105&lt;0,'Dynamic CM'!$G$6,'Dynamic CM'!$G$6*(($F$6*(1+$Q105)/$F$6)^'Dynamic CM'!$H$6))
*VLOOKUP($D$6,EAD_Table[#All],MATCH("EAD",EAD_Table[#Headers],0),FALSE)
*$F$6*(1+$Q105))</f>
        <v>-65.651852011075363</v>
      </c>
    </row>
    <row r="106" spans="17:21" x14ac:dyDescent="0.2">
      <c r="Q106" s="64">
        <v>8.8000000000000096</v>
      </c>
      <c r="R106" s="98" cm="1">
        <f t="array" ref="R106">($F$3*(1+$Q106)*'User Segmentation'!$I$49)
-Dynamic_Row_Table[[Fixed Cost]:[Fixed Cost]]
-(Dynamic_Row_Table[[Funding Rate]:[Funding Rate]]*Dynamic_Row_Table[[Tenure (in months)]:[Tenure (in months)]]*$F$3*(1+$Q106)/12)
-(IF($Q106&lt;0,'Dynamic CM'!$G$3,'Dynamic CM'!$G$3*(($F$3*(1+$Q106)/$F$3)^'Dynamic CM'!$H$3))
*VLOOKUP($D$3,EAD_Table[#All],MATCH("EAD",EAD_Table[#Headers],0),FALSE)
*$F$3*(1+$Q106))</f>
        <v>-1012.3357788916871</v>
      </c>
      <c r="S106" s="98" cm="1">
        <f t="array" ref="S106">($F$4*(1+$Q106)*'User Segmentation'!$I$49)
-Dynamic_Row_Table[[Fixed Cost]:[Fixed Cost]]
-(Dynamic_Row_Table[[Funding Rate]:[Funding Rate]]*Dynamic_Row_Table[[Tenure (in months)]:[Tenure (in months)]]*$F$4*(1+$Q106)/12)
-(IF($Q106&lt;0,'Dynamic CM'!$G$4,'Dynamic CM'!$G$4*(($F$4*(1+$Q106)/$F$4)^'Dynamic CM'!$H$4))
*VLOOKUP($D$4,EAD_Table[#All],MATCH("EAD",EAD_Table[#Headers],0),FALSE)
*$F$4*(1+$Q106))</f>
        <v>-94.002031305930089</v>
      </c>
      <c r="T106" s="98" cm="1">
        <f t="array" ref="T106">($F$5*(1+$Q106)*'User Segmentation'!$I$49)
-Dynamic_Row_Table[[Fixed Cost]:[Fixed Cost]]
-(Dynamic_Row_Table[[Funding Rate]:[Funding Rate]]*Dynamic_Row_Table[[Tenure (in months)]:[Tenure (in months)]]*$F$5*(1+$Q106)/12)
-(IF($Q106&lt;0,'Dynamic CM'!$G$5,'Dynamic CM'!$G$5*(($F$5*(1+$Q106)/$F$5)^'Dynamic CM'!$H$5))
*VLOOKUP($D$5,EAD_Table[#All],MATCH("EAD",EAD_Table[#Headers],0),FALSE)
*$F$5*(1+$Q106))</f>
        <v>-14.893878866959852</v>
      </c>
      <c r="U106" s="98" cm="1">
        <f t="array" ref="U106">($F$6*(1+$Q106)*'User Segmentation'!$I$49)
-Dynamic_Row_Table[[Fixed Cost]:[Fixed Cost]]
-(Dynamic_Row_Table[[Funding Rate]:[Funding Rate]]*Dynamic_Row_Table[[Tenure (in months)]:[Tenure (in months)]]*$F$6*(1+$Q106)/12)
-(IF($Q106&lt;0,'Dynamic CM'!$G$6,'Dynamic CM'!$G$6*(($F$6*(1+$Q106)/$F$6)^'Dynamic CM'!$H$6))
*VLOOKUP($D$6,EAD_Table[#All],MATCH("EAD",EAD_Table[#Headers],0),FALSE)
*$F$6*(1+$Q106))</f>
        <v>-67.797887730257656</v>
      </c>
    </row>
    <row r="107" spans="17:21" x14ac:dyDescent="0.2">
      <c r="Q107" s="64">
        <v>8.9</v>
      </c>
      <c r="R107" s="98" cm="1">
        <f t="array" ref="R107">($F$3*(1+$Q107)*'User Segmentation'!$I$49)
-Dynamic_Row_Table[[Fixed Cost]:[Fixed Cost]]
-(Dynamic_Row_Table[[Funding Rate]:[Funding Rate]]*Dynamic_Row_Table[[Tenure (in months)]:[Tenure (in months)]]*$F$3*(1+$Q107)/12)
-(IF($Q107&lt;0,'Dynamic CM'!$G$3,'Dynamic CM'!$G$3*(($F$3*(1+$Q107)/$F$3)^'Dynamic CM'!$H$3))
*VLOOKUP($D$3,EAD_Table[#All],MATCH("EAD",EAD_Table[#Headers],0),FALSE)
*$F$3*(1+$Q107))</f>
        <v>-1042.8081691966222</v>
      </c>
      <c r="S107" s="98" cm="1">
        <f t="array" ref="S107">($F$4*(1+$Q107)*'User Segmentation'!$I$49)
-Dynamic_Row_Table[[Fixed Cost]:[Fixed Cost]]
-(Dynamic_Row_Table[[Funding Rate]:[Funding Rate]]*Dynamic_Row_Table[[Tenure (in months)]:[Tenure (in months)]]*$F$4*(1+$Q107)/12)
-(IF($Q107&lt;0,'Dynamic CM'!$G$4,'Dynamic CM'!$G$4*(($F$4*(1+$Q107)/$F$4)^'Dynamic CM'!$H$4))
*VLOOKUP($D$4,EAD_Table[#All],MATCH("EAD",EAD_Table[#Headers],0),FALSE)
*$F$4*(1+$Q107))</f>
        <v>-97.126830543004303</v>
      </c>
      <c r="T107" s="98" cm="1">
        <f t="array" ref="T107">($F$5*(1+$Q107)*'User Segmentation'!$I$49)
-Dynamic_Row_Table[[Fixed Cost]:[Fixed Cost]]
-(Dynamic_Row_Table[[Funding Rate]:[Funding Rate]]*Dynamic_Row_Table[[Tenure (in months)]:[Tenure (in months)]]*$F$5*(1+$Q107)/12)
-(IF($Q107&lt;0,'Dynamic CM'!$G$5,'Dynamic CM'!$G$5*(($F$5*(1+$Q107)/$F$5)^'Dynamic CM'!$H$5))
*VLOOKUP($D$5,EAD_Table[#All],MATCH("EAD",EAD_Table[#Headers],0),FALSE)
*$F$5*(1+$Q107))</f>
        <v>-17.02228637141306</v>
      </c>
      <c r="U107" s="98" cm="1">
        <f t="array" ref="U107">($F$6*(1+$Q107)*'User Segmentation'!$I$49)
-Dynamic_Row_Table[[Fixed Cost]:[Fixed Cost]]
-(Dynamic_Row_Table[[Funding Rate]:[Funding Rate]]*Dynamic_Row_Table[[Tenure (in months)]:[Tenure (in months)]]*$F$6*(1+$Q107)/12)
-(IF($Q107&lt;0,'Dynamic CM'!$G$6,'Dynamic CM'!$G$6*(($F$6*(1+$Q107)/$F$6)^'Dynamic CM'!$H$6))
*VLOOKUP($D$6,EAD_Table[#All],MATCH("EAD",EAD_Table[#Headers],0),FALSE)
*$F$6*(1+$Q107))</f>
        <v>-69.979495119846945</v>
      </c>
    </row>
    <row r="108" spans="17:21" x14ac:dyDescent="0.2">
      <c r="Q108" s="64">
        <v>9.0000000000000107</v>
      </c>
      <c r="R108" s="98" cm="1">
        <f t="array" ref="R108">($F$3*(1+$Q108)*'User Segmentation'!$I$49)
-Dynamic_Row_Table[[Fixed Cost]:[Fixed Cost]]
-(Dynamic_Row_Table[[Funding Rate]:[Funding Rate]]*Dynamic_Row_Table[[Tenure (in months)]:[Tenure (in months)]]*$F$3*(1+$Q108)/12)
-(IF($Q108&lt;0,'Dynamic CM'!$G$3,'Dynamic CM'!$G$3*(($F$3*(1+$Q108)/$F$3)^'Dynamic CM'!$H$3))
*VLOOKUP($D$3,EAD_Table[#All],MATCH("EAD",EAD_Table[#Headers],0),FALSE)
*$F$3*(1+$Q108))</f>
        <v>-1073.8721089012879</v>
      </c>
      <c r="S108" s="98" cm="1">
        <f t="array" ref="S108">($F$4*(1+$Q108)*'User Segmentation'!$I$49)
-Dynamic_Row_Table[[Fixed Cost]:[Fixed Cost]]
-(Dynamic_Row_Table[[Funding Rate]:[Funding Rate]]*Dynamic_Row_Table[[Tenure (in months)]:[Tenure (in months)]]*$F$4*(1+$Q108)/12)
-(IF($Q108&lt;0,'Dynamic CM'!$G$4,'Dynamic CM'!$G$4*(($F$4*(1+$Q108)/$F$4)^'Dynamic CM'!$H$4))
*VLOOKUP($D$4,EAD_Table[#All],MATCH("EAD",EAD_Table[#Headers],0),FALSE)
*$F$4*(1+$Q108))</f>
        <v>-100.30317986066923</v>
      </c>
      <c r="T108" s="98" cm="1">
        <f t="array" ref="T108">($F$5*(1+$Q108)*'User Segmentation'!$I$49)
-Dynamic_Row_Table[[Fixed Cost]:[Fixed Cost]]
-(Dynamic_Row_Table[[Funding Rate]:[Funding Rate]]*Dynamic_Row_Table[[Tenure (in months)]:[Tenure (in months)]]*$F$5*(1+$Q108)/12)
-(IF($Q108&lt;0,'Dynamic CM'!$G$5,'Dynamic CM'!$G$5*(($F$5*(1+$Q108)/$F$5)^'Dynamic CM'!$H$5))
*VLOOKUP($D$5,EAD_Table[#All],MATCH("EAD",EAD_Table[#Headers],0),FALSE)
*$F$5*(1+$Q108))</f>
        <v>-19.192694644644007</v>
      </c>
      <c r="U108" s="98" cm="1">
        <f t="array" ref="U108">($F$6*(1+$Q108)*'User Segmentation'!$I$49)
-Dynamic_Row_Table[[Fixed Cost]:[Fixed Cost]]
-(Dynamic_Row_Table[[Funding Rate]:[Funding Rate]]*Dynamic_Row_Table[[Tenure (in months)]:[Tenure (in months)]]*$F$6*(1+$Q108)/12)
-(IF($Q108&lt;0,'Dynamic CM'!$G$6,'Dynamic CM'!$G$6*(($F$6*(1+$Q108)/$F$6)^'Dynamic CM'!$H$6))
*VLOOKUP($D$6,EAD_Table[#All],MATCH("EAD",EAD_Table[#Headers],0),FALSE)
*$F$6*(1+$Q108))</f>
        <v>-72.196789932900884</v>
      </c>
    </row>
    <row r="109" spans="17:21" x14ac:dyDescent="0.2">
      <c r="Q109" s="64">
        <v>9.1000000000000103</v>
      </c>
      <c r="R109" s="98" cm="1">
        <f t="array" ref="R109">($F$3*(1+$Q109)*'User Segmentation'!$I$49)
-Dynamic_Row_Table[[Fixed Cost]:[Fixed Cost]]
-(Dynamic_Row_Table[[Funding Rate]:[Funding Rate]]*Dynamic_Row_Table[[Tenure (in months)]:[Tenure (in months)]]*$F$3*(1+$Q109)/12)
-(IF($Q109&lt;0,'Dynamic CM'!$G$3,'Dynamic CM'!$G$3*(($F$3*(1+$Q109)/$F$3)^'Dynamic CM'!$H$3))
*VLOOKUP($D$3,EAD_Table[#All],MATCH("EAD",EAD_Table[#Headers],0),FALSE)
*$F$3*(1+$Q109))</f>
        <v>-1105.5329130414707</v>
      </c>
      <c r="S109" s="98" cm="1">
        <f t="array" ref="S109">($F$4*(1+$Q109)*'User Segmentation'!$I$49)
-Dynamic_Row_Table[[Fixed Cost]:[Fixed Cost]]
-(Dynamic_Row_Table[[Funding Rate]:[Funding Rate]]*Dynamic_Row_Table[[Tenure (in months)]:[Tenure (in months)]]*$F$4*(1+$Q109)/12)
-(IF($Q109&lt;0,'Dynamic CM'!$G$4,'Dynamic CM'!$G$4*(($F$4*(1+$Q109)/$F$4)^'Dynamic CM'!$H$4))
*VLOOKUP($D$4,EAD_Table[#All],MATCH("EAD",EAD_Table[#Headers],0),FALSE)
*$F$4*(1+$Q109))</f>
        <v>-103.53124531831359</v>
      </c>
      <c r="T109" s="98" cm="1">
        <f t="array" ref="T109">($F$5*(1+$Q109)*'User Segmentation'!$I$49)
-Dynamic_Row_Table[[Fixed Cost]:[Fixed Cost]]
-(Dynamic_Row_Table[[Funding Rate]:[Funding Rate]]*Dynamic_Row_Table[[Tenure (in months)]:[Tenure (in months)]]*$F$5*(1+$Q109)/12)
-(IF($Q109&lt;0,'Dynamic CM'!$G$5,'Dynamic CM'!$G$5*(($F$5*(1+$Q109)/$F$5)^'Dynamic CM'!$H$5))
*VLOOKUP($D$5,EAD_Table[#All],MATCH("EAD",EAD_Table[#Headers],0),FALSE)
*$F$5*(1+$Q109))</f>
        <v>-21.405133668466647</v>
      </c>
      <c r="U109" s="98" cm="1">
        <f t="array" ref="U109">($F$6*(1+$Q109)*'User Segmentation'!$I$49)
-Dynamic_Row_Table[[Fixed Cost]:[Fixed Cost]]
-(Dynamic_Row_Table[[Funding Rate]:[Funding Rate]]*Dynamic_Row_Table[[Tenure (in months)]:[Tenure (in months)]]*$F$6*(1+$Q109)/12)
-(IF($Q109&lt;0,'Dynamic CM'!$G$6,'Dynamic CM'!$G$6*(($F$6*(1+$Q109)/$F$6)^'Dynamic CM'!$H$6))
*VLOOKUP($D$6,EAD_Table[#All],MATCH("EAD",EAD_Table[#Headers],0),FALSE)
*$F$6*(1+$Q109))</f>
        <v>-74.449887130088001</v>
      </c>
    </row>
    <row r="110" spans="17:21" x14ac:dyDescent="0.2">
      <c r="Q110" s="64">
        <v>9.2000000000000099</v>
      </c>
      <c r="R110" s="98" cm="1">
        <f t="array" ref="R110">($F$3*(1+$Q110)*'User Segmentation'!$I$49)
-Dynamic_Row_Table[[Fixed Cost]:[Fixed Cost]]
-(Dynamic_Row_Table[[Funding Rate]:[Funding Rate]]*Dynamic_Row_Table[[Tenure (in months)]:[Tenure (in months)]]*$F$3*(1+$Q110)/12)
-(IF($Q110&lt;0,'Dynamic CM'!$G$3,'Dynamic CM'!$G$3*(($F$3*(1+$Q110)/$F$3)^'Dynamic CM'!$H$3))
*VLOOKUP($D$3,EAD_Table[#All],MATCH("EAD",EAD_Table[#Headers],0),FALSE)
*$F$3*(1+$Q110))</f>
        <v>-1137.7958908094315</v>
      </c>
      <c r="S110" s="98" cm="1">
        <f t="array" ref="S110">($F$4*(1+$Q110)*'User Segmentation'!$I$49)
-Dynamic_Row_Table[[Fixed Cost]:[Fixed Cost]]
-(Dynamic_Row_Table[[Funding Rate]:[Funding Rate]]*Dynamic_Row_Table[[Tenure (in months)]:[Tenure (in months)]]*$F$4*(1+$Q110)/12)
-(IF($Q110&lt;0,'Dynamic CM'!$G$4,'Dynamic CM'!$G$4*(($F$4*(1+$Q110)/$F$4)^'Dynamic CM'!$H$4))
*VLOOKUP($D$4,EAD_Table[#All],MATCH("EAD",EAD_Table[#Headers],0),FALSE)
*$F$4*(1+$Q110))</f>
        <v>-106.81119184989805</v>
      </c>
      <c r="T110" s="98" cm="1">
        <f t="array" ref="T110">($F$5*(1+$Q110)*'User Segmentation'!$I$49)
-Dynamic_Row_Table[[Fixed Cost]:[Fixed Cost]]
-(Dynamic_Row_Table[[Funding Rate]:[Funding Rate]]*Dynamic_Row_Table[[Tenure (in months)]:[Tenure (in months)]]*$F$5*(1+$Q110)/12)
-(IF($Q110&lt;0,'Dynamic CM'!$G$5,'Dynamic CM'!$G$5*(($F$5*(1+$Q110)/$F$5)^'Dynamic CM'!$H$5))
*VLOOKUP($D$5,EAD_Table[#All],MATCH("EAD",EAD_Table[#Headers],0),FALSE)
*$F$5*(1+$Q110))</f>
        <v>-23.65963314743945</v>
      </c>
      <c r="U110" s="98" cm="1">
        <f t="array" ref="U110">($F$6*(1+$Q110)*'User Segmentation'!$I$49)
-Dynamic_Row_Table[[Fixed Cost]:[Fixed Cost]]
-(Dynamic_Row_Table[[Funding Rate]:[Funding Rate]]*Dynamic_Row_Table[[Tenure (in months)]:[Tenure (in months)]]*$F$6*(1+$Q110)/12)
-(IF($Q110&lt;0,'Dynamic CM'!$G$6,'Dynamic CM'!$G$6*(($F$6*(1+$Q110)/$F$6)^'Dynamic CM'!$H$6))
*VLOOKUP($D$6,EAD_Table[#All],MATCH("EAD",EAD_Table[#Headers],0),FALSE)
*$F$6*(1+$Q110))</f>
        <v>-76.738900892958128</v>
      </c>
    </row>
    <row r="111" spans="17:21" x14ac:dyDescent="0.2">
      <c r="Q111" s="64">
        <v>9.3000000000000096</v>
      </c>
      <c r="R111" s="98" cm="1">
        <f t="array" ref="R111">($F$3*(1+$Q111)*'User Segmentation'!$I$49)
-Dynamic_Row_Table[[Fixed Cost]:[Fixed Cost]]
-(Dynamic_Row_Table[[Funding Rate]:[Funding Rate]]*Dynamic_Row_Table[[Tenure (in months)]:[Tenure (in months)]]*$F$3*(1+$Q111)/12)
-(IF($Q111&lt;0,'Dynamic CM'!$G$3,'Dynamic CM'!$G$3*(($F$3*(1+$Q111)/$F$3)^'Dynamic CM'!$H$3))
*VLOOKUP($D$3,EAD_Table[#All],MATCH("EAD",EAD_Table[#Headers],0),FALSE)
*$F$3*(1+$Q111))</f>
        <v>-1170.6663456180813</v>
      </c>
      <c r="S111" s="98" cm="1">
        <f t="array" ref="S111">($F$4*(1+$Q111)*'User Segmentation'!$I$49)
-Dynamic_Row_Table[[Fixed Cost]:[Fixed Cost]]
-(Dynamic_Row_Table[[Funding Rate]:[Funding Rate]]*Dynamic_Row_Table[[Tenure (in months)]:[Tenure (in months)]]*$F$4*(1+$Q111)/12)
-(IF($Q111&lt;0,'Dynamic CM'!$G$4,'Dynamic CM'!$G$4*(($F$4*(1+$Q111)/$F$4)^'Dynamic CM'!$H$4))
*VLOOKUP($D$4,EAD_Table[#All],MATCH("EAD",EAD_Table[#Headers],0),FALSE)
*$F$4*(1+$Q111))</f>
        <v>-110.14318328261139</v>
      </c>
      <c r="T111" s="98" cm="1">
        <f t="array" ref="T111">($F$5*(1+$Q111)*'User Segmentation'!$I$49)
-Dynamic_Row_Table[[Fixed Cost]:[Fixed Cost]]
-(Dynamic_Row_Table[[Funding Rate]:[Funding Rate]]*Dynamic_Row_Table[[Tenure (in months)]:[Tenure (in months)]]*$F$5*(1+$Q111)/12)
-(IF($Q111&lt;0,'Dynamic CM'!$G$5,'Dynamic CM'!$G$5*(($F$5*(1+$Q111)/$F$5)^'Dynamic CM'!$H$5))
*VLOOKUP($D$5,EAD_Table[#All],MATCH("EAD",EAD_Table[#Headers],0),FALSE)
*$F$5*(1+$Q111))</f>
        <v>-25.956222514134652</v>
      </c>
      <c r="U111" s="98" cm="1">
        <f t="array" ref="U111">($F$6*(1+$Q111)*'User Segmentation'!$I$49)
-Dynamic_Row_Table[[Fixed Cost]:[Fixed Cost]]
-(Dynamic_Row_Table[[Funding Rate]:[Funding Rate]]*Dynamic_Row_Table[[Tenure (in months)]:[Tenure (in months)]]*$F$6*(1+$Q111)/12)
-(IF($Q111&lt;0,'Dynamic CM'!$G$6,'Dynamic CM'!$G$6*(($F$6*(1+$Q111)/$F$6)^'Dynamic CM'!$H$6))
*VLOOKUP($D$6,EAD_Table[#All],MATCH("EAD",EAD_Table[#Headers],0),FALSE)
*$F$6*(1+$Q111))</f>
        <v>-79.063944636857883</v>
      </c>
    </row>
    <row r="112" spans="17:21" x14ac:dyDescent="0.2">
      <c r="Q112" s="64">
        <v>9.4000000000000092</v>
      </c>
      <c r="R112" s="98" cm="1">
        <f t="array" ref="R112">($F$3*(1+$Q112)*'User Segmentation'!$I$49)
-Dynamic_Row_Table[[Fixed Cost]:[Fixed Cost]]
-(Dynamic_Row_Table[[Funding Rate]:[Funding Rate]]*Dynamic_Row_Table[[Tenure (in months)]:[Tenure (in months)]]*$F$3*(1+$Q112)/12)
-(IF($Q112&lt;0,'Dynamic CM'!$G$3,'Dynamic CM'!$G$3*(($F$3*(1+$Q112)/$F$3)^'Dynamic CM'!$H$3))
*VLOOKUP($D$3,EAD_Table[#All],MATCH("EAD",EAD_Table[#Headers],0),FALSE)
*$F$3*(1+$Q112))</f>
        <v>-1204.1495751638543</v>
      </c>
      <c r="S112" s="98" cm="1">
        <f t="array" ref="S112">($F$4*(1+$Q112)*'User Segmentation'!$I$49)
-Dynamic_Row_Table[[Fixed Cost]:[Fixed Cost]]
-(Dynamic_Row_Table[[Funding Rate]:[Funding Rate]]*Dynamic_Row_Table[[Tenure (in months)]:[Tenure (in months)]]*$F$4*(1+$Q112)/12)
-(IF($Q112&lt;0,'Dynamic CM'!$G$4,'Dynamic CM'!$G$4*(($F$4*(1+$Q112)/$F$4)^'Dynamic CM'!$H$4))
*VLOOKUP($D$4,EAD_Table[#All],MATCH("EAD",EAD_Table[#Headers],0),FALSE)
*$F$4*(1+$Q112))</f>
        <v>-113.5273823550415</v>
      </c>
      <c r="T112" s="98" cm="1">
        <f t="array" ref="T112">($F$5*(1+$Q112)*'User Segmentation'!$I$49)
-Dynamic_Row_Table[[Fixed Cost]:[Fixed Cost]]
-(Dynamic_Row_Table[[Funding Rate]:[Funding Rate]]*Dynamic_Row_Table[[Tenure (in months)]:[Tenure (in months)]]*$F$5*(1+$Q112)/12)
-(IF($Q112&lt;0,'Dynamic CM'!$G$5,'Dynamic CM'!$G$5*(($F$5*(1+$Q112)/$F$5)^'Dynamic CM'!$H$5))
*VLOOKUP($D$5,EAD_Table[#All],MATCH("EAD",EAD_Table[#Headers],0),FALSE)
*$F$5*(1+$Q112))</f>
        <v>-28.29493093426052</v>
      </c>
      <c r="U112" s="98" cm="1">
        <f t="array" ref="U112">($F$6*(1+$Q112)*'User Segmentation'!$I$49)
-Dynamic_Row_Table[[Fixed Cost]:[Fixed Cost]]
-(Dynamic_Row_Table[[Funding Rate]:[Funding Rate]]*Dynamic_Row_Table[[Tenure (in months)]:[Tenure (in months)]]*$F$6*(1+$Q112)/12)
-(IF($Q112&lt;0,'Dynamic CM'!$G$6,'Dynamic CM'!$G$6*(($F$6*(1+$Q112)/$F$6)^'Dynamic CM'!$H$6))
*VLOOKUP($D$6,EAD_Table[#All],MATCH("EAD",EAD_Table[#Headers],0),FALSE)
*$F$6*(1+$Q112))</f>
        <v>-81.425131023510389</v>
      </c>
    </row>
    <row r="113" spans="17:21" x14ac:dyDescent="0.2">
      <c r="Q113" s="64">
        <v>9.5000000000000107</v>
      </c>
      <c r="R113" s="98" cm="1">
        <f t="array" ref="R113">($F$3*(1+$Q113)*'User Segmentation'!$I$49)
-Dynamic_Row_Table[[Fixed Cost]:[Fixed Cost]]
-(Dynamic_Row_Table[[Funding Rate]:[Funding Rate]]*Dynamic_Row_Table[[Tenure (in months)]:[Tenure (in months)]]*$F$3*(1+$Q113)/12)
-(IF($Q113&lt;0,'Dynamic CM'!$G$3,'Dynamic CM'!$G$3*(($F$3*(1+$Q113)/$F$3)^'Dynamic CM'!$H$3))
*VLOOKUP($D$3,EAD_Table[#All],MATCH("EAD",EAD_Table[#Headers],0),FALSE)
*$F$3*(1+$Q113))</f>
        <v>-1238.2508714882717</v>
      </c>
      <c r="S113" s="98" cm="1">
        <f t="array" ref="S113">($F$4*(1+$Q113)*'User Segmentation'!$I$49)
-Dynamic_Row_Table[[Fixed Cost]:[Fixed Cost]]
-(Dynamic_Row_Table[[Funding Rate]:[Funding Rate]]*Dynamic_Row_Table[[Tenure (in months)]:[Tenure (in months)]]*$F$4*(1+$Q113)/12)
-(IF($Q113&lt;0,'Dynamic CM'!$G$4,'Dynamic CM'!$G$4*(($F$4*(1+$Q113)/$F$4)^'Dynamic CM'!$H$4))
*VLOOKUP($D$4,EAD_Table[#All],MATCH("EAD",EAD_Table[#Headers],0),FALSE)
*$F$4*(1+$Q113))</f>
        <v>-116.96395073487331</v>
      </c>
      <c r="T113" s="98" cm="1">
        <f t="array" ref="T113">($F$5*(1+$Q113)*'User Segmentation'!$I$49)
-Dynamic_Row_Table[[Fixed Cost]:[Fixed Cost]]
-(Dynamic_Row_Table[[Funding Rate]:[Funding Rate]]*Dynamic_Row_Table[[Tenure (in months)]:[Tenure (in months)]]*$F$5*(1+$Q113)/12)
-(IF($Q113&lt;0,'Dynamic CM'!$G$5,'Dynamic CM'!$G$5*(($F$5*(1+$Q113)/$F$5)^'Dynamic CM'!$H$5))
*VLOOKUP($D$5,EAD_Table[#All],MATCH("EAD",EAD_Table[#Headers],0),FALSE)
*$F$5*(1+$Q113))</f>
        <v>-30.675787311635929</v>
      </c>
      <c r="U113" s="98" cm="1">
        <f t="array" ref="U113">($F$6*(1+$Q113)*'User Segmentation'!$I$49)
-Dynamic_Row_Table[[Fixed Cost]:[Fixed Cost]]
-(Dynamic_Row_Table[[Funding Rate]:[Funding Rate]]*Dynamic_Row_Table[[Tenure (in months)]:[Tenure (in months)]]*$F$6*(1+$Q113)/12)
-(IF($Q113&lt;0,'Dynamic CM'!$G$6,'Dynamic CM'!$G$6*(($F$6*(1+$Q113)/$F$6)^'Dynamic CM'!$H$6))
*VLOOKUP($D$6,EAD_Table[#All],MATCH("EAD",EAD_Table[#Headers],0),FALSE)
*$F$6*(1+$Q113))</f>
        <v>-83.822571973266889</v>
      </c>
    </row>
    <row r="114" spans="17:21" x14ac:dyDescent="0.2">
      <c r="Q114" s="64">
        <v>9.6000000000000103</v>
      </c>
      <c r="R114" s="98" cm="1">
        <f t="array" ref="R114">($F$3*(1+$Q114)*'User Segmentation'!$I$49)
-Dynamic_Row_Table[[Fixed Cost]:[Fixed Cost]]
-(Dynamic_Row_Table[[Funding Rate]:[Funding Rate]]*Dynamic_Row_Table[[Tenure (in months)]:[Tenure (in months)]]*$F$3*(1+$Q114)/12)
-(IF($Q114&lt;0,'Dynamic CM'!$G$3,'Dynamic CM'!$G$3*(($F$3*(1+$Q114)/$F$3)^'Dynamic CM'!$H$3))
*VLOOKUP($D$3,EAD_Table[#All],MATCH("EAD",EAD_Table[#Headers],0),FALSE)
*$F$3*(1+$Q114))</f>
        <v>-1272.9755210382827</v>
      </c>
      <c r="S114" s="98" cm="1">
        <f t="array" ref="S114">($F$4*(1+$Q114)*'User Segmentation'!$I$49)
-Dynamic_Row_Table[[Fixed Cost]:[Fixed Cost]]
-(Dynamic_Row_Table[[Funding Rate]:[Funding Rate]]*Dynamic_Row_Table[[Tenure (in months)]:[Tenure (in months)]]*$F$4*(1+$Q114)/12)
-(IF($Q114&lt;0,'Dynamic CM'!$G$4,'Dynamic CM'!$G$4*(($F$4*(1+$Q114)/$F$4)^'Dynamic CM'!$H$4))
*VLOOKUP($D$4,EAD_Table[#All],MATCH("EAD",EAD_Table[#Headers],0),FALSE)
*$F$4*(1+$Q114))</f>
        <v>-120.45304903613363</v>
      </c>
      <c r="T114" s="98" cm="1">
        <f t="array" ref="T114">($F$5*(1+$Q114)*'User Segmentation'!$I$49)
-Dynamic_Row_Table[[Fixed Cost]:[Fixed Cost]]
-(Dynamic_Row_Table[[Funding Rate]:[Funding Rate]]*Dynamic_Row_Table[[Tenure (in months)]:[Tenure (in months)]]*$F$5*(1+$Q114)/12)
-(IF($Q114&lt;0,'Dynamic CM'!$G$5,'Dynamic CM'!$G$5*(($F$5*(1+$Q114)/$F$5)^'Dynamic CM'!$H$5))
*VLOOKUP($D$5,EAD_Table[#All],MATCH("EAD",EAD_Table[#Headers],0),FALSE)
*$F$5*(1+$Q114))</f>
        <v>-33.098820293027529</v>
      </c>
      <c r="U114" s="98" cm="1">
        <f t="array" ref="U114">($F$6*(1+$Q114)*'User Segmentation'!$I$49)
-Dynamic_Row_Table[[Fixed Cost]:[Fixed Cost]]
-(Dynamic_Row_Table[[Funding Rate]:[Funding Rate]]*Dynamic_Row_Table[[Tenure (in months)]:[Tenure (in months)]]*$F$6*(1+$Q114)/12)
-(IF($Q114&lt;0,'Dynamic CM'!$G$6,'Dynamic CM'!$G$6*(($F$6*(1+$Q114)/$F$6)^'Dynamic CM'!$H$6))
*VLOOKUP($D$6,EAD_Table[#All],MATCH("EAD",EAD_Table[#Headers],0),FALSE)
*$F$6*(1+$Q114))</f>
        <v>-86.256378677045603</v>
      </c>
    </row>
    <row r="115" spans="17:21" x14ac:dyDescent="0.2">
      <c r="Q115" s="64">
        <v>9.7000000000000099</v>
      </c>
      <c r="R115" s="98" cm="1">
        <f t="array" ref="R115">($F$3*(1+$Q115)*'User Segmentation'!$I$49)
-Dynamic_Row_Table[[Fixed Cost]:[Fixed Cost]]
-(Dynamic_Row_Table[[Funding Rate]:[Funding Rate]]*Dynamic_Row_Table[[Tenure (in months)]:[Tenure (in months)]]*$F$3*(1+$Q115)/12)
-(IF($Q115&lt;0,'Dynamic CM'!$G$3,'Dynamic CM'!$G$3*(($F$3*(1+$Q115)/$F$3)^'Dynamic CM'!$H$3))
*VLOOKUP($D$3,EAD_Table[#All],MATCH("EAD",EAD_Table[#Headers],0),FALSE)
*$F$3*(1+$Q115))</f>
        <v>-1308.3288047253661</v>
      </c>
      <c r="S115" s="98" cm="1">
        <f t="array" ref="S115">($F$4*(1+$Q115)*'User Segmentation'!$I$49)
-Dynamic_Row_Table[[Fixed Cost]:[Fixed Cost]]
-(Dynamic_Row_Table[[Funding Rate]:[Funding Rate]]*Dynamic_Row_Table[[Tenure (in months)]:[Tenure (in months)]]*$F$4*(1+$Q115)/12)
-(IF($Q115&lt;0,'Dynamic CM'!$G$4,'Dynamic CM'!$G$4*(($F$4*(1+$Q115)/$F$4)^'Dynamic CM'!$H$4))
*VLOOKUP($D$4,EAD_Table[#All],MATCH("EAD",EAD_Table[#Headers],0),FALSE)
*$F$4*(1+$Q115))</f>
        <v>-123.99483683599551</v>
      </c>
      <c r="T115" s="98" cm="1">
        <f t="array" ref="T115">($F$5*(1+$Q115)*'User Segmentation'!$I$49)
-Dynamic_Row_Table[[Fixed Cost]:[Fixed Cost]]
-(Dynamic_Row_Table[[Funding Rate]:[Funding Rate]]*Dynamic_Row_Table[[Tenure (in months)]:[Tenure (in months)]]*$F$5*(1+$Q115)/12)
-(IF($Q115&lt;0,'Dynamic CM'!$G$5,'Dynamic CM'!$G$5*(($F$5*(1+$Q115)/$F$5)^'Dynamic CM'!$H$5))
*VLOOKUP($D$5,EAD_Table[#All],MATCH("EAD",EAD_Table[#Headers],0),FALSE)
*$F$5*(1+$Q115))</f>
        <v>-35.564058272851099</v>
      </c>
      <c r="U115" s="98" cm="1">
        <f t="array" ref="U115">($F$6*(1+$Q115)*'User Segmentation'!$I$49)
-Dynamic_Row_Table[[Fixed Cost]:[Fixed Cost]]
-(Dynamic_Row_Table[[Funding Rate]:[Funding Rate]]*Dynamic_Row_Table[[Tenure (in months)]:[Tenure (in months)]]*$F$6*(1+$Q115)/12)
-(IF($Q115&lt;0,'Dynamic CM'!$G$6,'Dynamic CM'!$G$6*(($F$6*(1+$Q115)/$F$6)^'Dynamic CM'!$H$6))
*VLOOKUP($D$6,EAD_Table[#All],MATCH("EAD",EAD_Table[#Headers],0),FALSE)
*$F$6*(1+$Q115))</f>
        <v>-88.726661607964701</v>
      </c>
    </row>
    <row r="116" spans="17:21" x14ac:dyDescent="0.2">
      <c r="Q116" s="64">
        <v>9.8000000000000096</v>
      </c>
      <c r="R116" s="98" cm="1">
        <f t="array" ref="R116">($F$3*(1+$Q116)*'User Segmentation'!$I$49)
-Dynamic_Row_Table[[Fixed Cost]:[Fixed Cost]]
-(Dynamic_Row_Table[[Funding Rate]:[Funding Rate]]*Dynamic_Row_Table[[Tenure (in months)]:[Tenure (in months)]]*$F$3*(1+$Q116)/12)
-(IF($Q116&lt;0,'Dynamic CM'!$G$3,'Dynamic CM'!$G$3*(($F$3*(1+$Q116)/$F$3)^'Dynamic CM'!$H$3))
*VLOOKUP($D$3,EAD_Table[#All],MATCH("EAD",EAD_Table[#Headers],0),FALSE)
*$F$3*(1+$Q116))</f>
        <v>-1344.3159979834822</v>
      </c>
      <c r="S116" s="98" cm="1">
        <f t="array" ref="S116">($F$4*(1+$Q116)*'User Segmentation'!$I$49)
-Dynamic_Row_Table[[Fixed Cost]:[Fixed Cost]]
-(Dynamic_Row_Table[[Funding Rate]:[Funding Rate]]*Dynamic_Row_Table[[Tenure (in months)]:[Tenure (in months)]]*$F$4*(1+$Q116)/12)
-(IF($Q116&lt;0,'Dynamic CM'!$G$4,'Dynamic CM'!$G$4*(($F$4*(1+$Q116)/$F$4)^'Dynamic CM'!$H$4))
*VLOOKUP($D$4,EAD_Table[#All],MATCH("EAD",EAD_Table[#Headers],0),FALSE)
*$F$4*(1+$Q116))</f>
        <v>-127.58947269116092</v>
      </c>
      <c r="T116" s="98" cm="1">
        <f t="array" ref="T116">($F$5*(1+$Q116)*'User Segmentation'!$I$49)
-Dynamic_Row_Table[[Fixed Cost]:[Fixed Cost]]
-(Dynamic_Row_Table[[Funding Rate]:[Funding Rate]]*Dynamic_Row_Table[[Tenure (in months)]:[Tenure (in months)]]*$F$5*(1+$Q116)/12)
-(IF($Q116&lt;0,'Dynamic CM'!$G$5,'Dynamic CM'!$G$5*(($F$5*(1+$Q116)/$F$5)^'Dynamic CM'!$H$5))
*VLOOKUP($D$5,EAD_Table[#All],MATCH("EAD",EAD_Table[#Headers],0),FALSE)
*$F$5*(1+$Q116))</f>
        <v>-38.071529397744513</v>
      </c>
      <c r="U116" s="98" cm="1">
        <f t="array" ref="U116">($F$6*(1+$Q116)*'User Segmentation'!$I$49)
-Dynamic_Row_Table[[Fixed Cost]:[Fixed Cost]]
-(Dynamic_Row_Table[[Funding Rate]:[Funding Rate]]*Dynamic_Row_Table[[Tenure (in months)]:[Tenure (in months)]]*$F$6*(1+$Q116)/12)
-(IF($Q116&lt;0,'Dynamic CM'!$G$6,'Dynamic CM'!$G$6*(($F$6*(1+$Q116)/$F$6)^'Dynamic CM'!$H$6))
*VLOOKUP($D$6,EAD_Table[#All],MATCH("EAD",EAD_Table[#Headers],0),FALSE)
*$F$6*(1+$Q116))</f>
        <v>-91.233530532684114</v>
      </c>
    </row>
    <row r="117" spans="17:21" x14ac:dyDescent="0.2">
      <c r="Q117" s="64">
        <v>9.9000000000000092</v>
      </c>
      <c r="R117" s="98" cm="1">
        <f t="array" ref="R117">($F$3*(1+$Q117)*'User Segmentation'!$I$49)
-Dynamic_Row_Table[[Fixed Cost]:[Fixed Cost]]
-(Dynamic_Row_Table[[Funding Rate]:[Funding Rate]]*Dynamic_Row_Table[[Tenure (in months)]:[Tenure (in months)]]*$F$3*(1+$Q117)/12)
-(IF($Q117&lt;0,'Dynamic CM'!$G$3,'Dynamic CM'!$G$3*(($F$3*(1+$Q117)/$F$3)^'Dynamic CM'!$H$3))
*VLOOKUP($D$3,EAD_Table[#All],MATCH("EAD",EAD_Table[#Headers],0),FALSE)
*$F$3*(1+$Q117))</f>
        <v>-1380.942370825858</v>
      </c>
      <c r="S117" s="98" cm="1">
        <f t="array" ref="S117">($F$4*(1+$Q117)*'User Segmentation'!$I$49)
-Dynamic_Row_Table[[Fixed Cost]:[Fixed Cost]]
-(Dynamic_Row_Table[[Funding Rate]:[Funding Rate]]*Dynamic_Row_Table[[Tenure (in months)]:[Tenure (in months)]]*$F$4*(1+$Q117)/12)
-(IF($Q117&lt;0,'Dynamic CM'!$G$4,'Dynamic CM'!$G$4*(($F$4*(1+$Q117)/$F$4)^'Dynamic CM'!$H$4))
*VLOOKUP($D$4,EAD_Table[#All],MATCH("EAD",EAD_Table[#Headers],0),FALSE)
*$F$4*(1+$Q117))</f>
        <v>-131.23711415383224</v>
      </c>
      <c r="T117" s="98" cm="1">
        <f t="array" ref="T117">($F$5*(1+$Q117)*'User Segmentation'!$I$49)
-Dynamic_Row_Table[[Fixed Cost]:[Fixed Cost]]
-(Dynamic_Row_Table[[Funding Rate]:[Funding Rate]]*Dynamic_Row_Table[[Tenure (in months)]:[Tenure (in months)]]*$F$5*(1+$Q117)/12)
-(IF($Q117&lt;0,'Dynamic CM'!$G$5,'Dynamic CM'!$G$5*(($F$5*(1+$Q117)/$F$5)^'Dynamic CM'!$H$5))
*VLOOKUP($D$5,EAD_Table[#All],MATCH("EAD",EAD_Table[#Headers],0),FALSE)
*$F$5*(1+$Q117))</f>
        <v>-40.621261571015566</v>
      </c>
      <c r="U117" s="98" cm="1">
        <f t="array" ref="U117">($F$6*(1+$Q117)*'User Segmentation'!$I$49)
-Dynamic_Row_Table[[Fixed Cost]:[Fixed Cost]]
-(Dynamic_Row_Table[[Funding Rate]:[Funding Rate]]*Dynamic_Row_Table[[Tenure (in months)]:[Tenure (in months)]]*$F$6*(1+$Q117)/12)
-(IF($Q117&lt;0,'Dynamic CM'!$G$6,'Dynamic CM'!$G$6*(($F$6*(1+$Q117)/$F$6)^'Dynamic CM'!$H$6))
*VLOOKUP($D$6,EAD_Table[#All],MATCH("EAD",EAD_Table[#Headers],0),FALSE)
*$F$6*(1+$Q117))</f>
        <v>-93.777094522462434</v>
      </c>
    </row>
    <row r="118" spans="17:21" x14ac:dyDescent="0.2">
      <c r="Q118" s="64">
        <v>10</v>
      </c>
      <c r="R118" s="98" cm="1">
        <f t="array" ref="R118">($F$3*(1+$Q118)*'User Segmentation'!$I$49)
-Dynamic_Row_Table[[Fixed Cost]:[Fixed Cost]]
-(Dynamic_Row_Table[[Funding Rate]:[Funding Rate]]*Dynamic_Row_Table[[Tenure (in months)]:[Tenure (in months)]]*$F$3*(1+$Q118)/12)
-(IF($Q118&lt;0,'Dynamic CM'!$G$3,'Dynamic CM'!$G$3*(($F$3*(1+$Q118)/$F$3)^'Dynamic CM'!$H$3))
*VLOOKUP($D$3,EAD_Table[#All],MATCH("EAD",EAD_Table[#Headers],0),FALSE)
*$F$3*(1+$Q118))</f>
        <v>-1418.2131879006818</v>
      </c>
      <c r="S118" s="98" cm="1">
        <f t="array" ref="S118">($F$4*(1+$Q118)*'User Segmentation'!$I$49)
-Dynamic_Row_Table[[Fixed Cost]:[Fixed Cost]]
-(Dynamic_Row_Table[[Funding Rate]:[Funding Rate]]*Dynamic_Row_Table[[Tenure (in months)]:[Tenure (in months)]]*$F$4*(1+$Q118)/12)
-(IF($Q118&lt;0,'Dynamic CM'!$G$4,'Dynamic CM'!$G$4*(($F$4*(1+$Q118)/$F$4)^'Dynamic CM'!$H$4))
*VLOOKUP($D$4,EAD_Table[#All],MATCH("EAD",EAD_Table[#Headers],0),FALSE)
*$F$4*(1+$Q118))</f>
        <v>-134.93791778729036</v>
      </c>
      <c r="T118" s="98" cm="1">
        <f t="array" ref="T118">($F$5*(1+$Q118)*'User Segmentation'!$I$49)
-Dynamic_Row_Table[[Fixed Cost]:[Fixed Cost]]
-(Dynamic_Row_Table[[Funding Rate]:[Funding Rate]]*Dynamic_Row_Table[[Tenure (in months)]:[Tenure (in months)]]*$F$5*(1+$Q118)/12)
-(IF($Q118&lt;0,'Dynamic CM'!$G$5,'Dynamic CM'!$G$5*(($F$5*(1+$Q118)/$F$5)^'Dynamic CM'!$H$5))
*VLOOKUP($D$5,EAD_Table[#All],MATCH("EAD",EAD_Table[#Headers],0),FALSE)
*$F$5*(1+$Q118))</f>
        <v>-43.213282456969409</v>
      </c>
      <c r="U118" s="98" cm="1">
        <f t="array" ref="U118">($F$6*(1+$Q118)*'User Segmentation'!$I$49)
-Dynamic_Row_Table[[Fixed Cost]:[Fixed Cost]]
-(Dynamic_Row_Table[[Funding Rate]:[Funding Rate]]*Dynamic_Row_Table[[Tenure (in months)]:[Tenure (in months)]]*$F$6*(1+$Q118)/12)
-(IF($Q118&lt;0,'Dynamic CM'!$G$6,'Dynamic CM'!$G$6*(($F$6*(1+$Q118)/$F$6)^'Dynamic CM'!$H$6))
*VLOOKUP($D$6,EAD_Table[#All],MATCH("EAD",EAD_Table[#Headers],0),FALSE)
*$F$6*(1+$Q118))</f>
        <v>-96.357461963941049</v>
      </c>
    </row>
    <row r="119" spans="17:21" x14ac:dyDescent="0.2">
      <c r="Q119" s="64">
        <v>10.1</v>
      </c>
      <c r="R119" s="98" cm="1">
        <f t="array" ref="R119">($F$3*(1+$Q119)*'User Segmentation'!$I$49)
-Dynamic_Row_Table[[Fixed Cost]:[Fixed Cost]]
-(Dynamic_Row_Table[[Funding Rate]:[Funding Rate]]*Dynamic_Row_Table[[Tenure (in months)]:[Tenure (in months)]]*$F$3*(1+$Q119)/12)
-(IF($Q119&lt;0,'Dynamic CM'!$G$3,'Dynamic CM'!$G$3*(($F$3*(1+$Q119)/$F$3)^'Dynamic CM'!$H$3))
*VLOOKUP($D$3,EAD_Table[#All],MATCH("EAD",EAD_Table[#Headers],0),FALSE)
*$F$3*(1+$Q119))</f>
        <v>-1456.1337085457237</v>
      </c>
      <c r="S119" s="98" cm="1">
        <f t="array" ref="S119">($F$4*(1+$Q119)*'User Segmentation'!$I$49)
-Dynamic_Row_Table[[Fixed Cost]:[Fixed Cost]]
-(Dynamic_Row_Table[[Funding Rate]:[Funding Rate]]*Dynamic_Row_Table[[Tenure (in months)]:[Tenure (in months)]]*$F$4*(1+$Q119)/12)
-(IF($Q119&lt;0,'Dynamic CM'!$G$4,'Dynamic CM'!$G$4*(($F$4*(1+$Q119)/$F$4)^'Dynamic CM'!$H$4))
*VLOOKUP($D$4,EAD_Table[#All],MATCH("EAD",EAD_Table[#Headers],0),FALSE)
*$F$4*(1+$Q119))</f>
        <v>-138.69203918109139</v>
      </c>
      <c r="T119" s="98" cm="1">
        <f t="array" ref="T119">($F$5*(1+$Q119)*'User Segmentation'!$I$49)
-Dynamic_Row_Table[[Fixed Cost]:[Fixed Cost]]
-(Dynamic_Row_Table[[Funding Rate]:[Funding Rate]]*Dynamic_Row_Table[[Tenure (in months)]:[Tenure (in months)]]*$F$5*(1+$Q119)/12)
-(IF($Q119&lt;0,'Dynamic CM'!$G$5,'Dynamic CM'!$G$5*(($F$5*(1+$Q119)/$F$5)^'Dynamic CM'!$H$5))
*VLOOKUP($D$5,EAD_Table[#All],MATCH("EAD",EAD_Table[#Headers],0),FALSE)
*$F$5*(1+$Q119))</f>
        <v>-45.847619485121498</v>
      </c>
      <c r="U119" s="98" cm="1">
        <f t="array" ref="U119">($F$6*(1+$Q119)*'User Segmentation'!$I$49)
-Dynamic_Row_Table[[Fixed Cost]:[Fixed Cost]]
-(Dynamic_Row_Table[[Funding Rate]:[Funding Rate]]*Dynamic_Row_Table[[Tenure (in months)]:[Tenure (in months)]]*$F$6*(1+$Q119)/12)
-(IF($Q119&lt;0,'Dynamic CM'!$G$6,'Dynamic CM'!$G$6*(($F$6*(1+$Q119)/$F$6)^'Dynamic CM'!$H$6))
*VLOOKUP($D$6,EAD_Table[#All],MATCH("EAD",EAD_Table[#Headers],0),FALSE)
*$F$6*(1+$Q119))</f>
        <v>-98.974740569664974</v>
      </c>
    </row>
    <row r="120" spans="17:21" x14ac:dyDescent="0.2">
      <c r="Q120" s="64">
        <v>10.199999999999999</v>
      </c>
      <c r="R120" s="98" cm="1">
        <f t="array" ref="R120">($F$3*(1+$Q120)*'User Segmentation'!$I$49)
-Dynamic_Row_Table[[Fixed Cost]:[Fixed Cost]]
-(Dynamic_Row_Table[[Funding Rate]:[Funding Rate]]*Dynamic_Row_Table[[Tenure (in months)]:[Tenure (in months)]]*$F$3*(1+$Q120)/12)
-(IF($Q120&lt;0,'Dynamic CM'!$G$3,'Dynamic CM'!$G$3*(($F$3*(1+$Q120)/$F$3)^'Dynamic CM'!$H$3))
*VLOOKUP($D$3,EAD_Table[#All],MATCH("EAD",EAD_Table[#Headers],0),FALSE)
*$F$3*(1+$Q120))</f>
        <v>-1494.7091868418747</v>
      </c>
      <c r="S120" s="98" cm="1">
        <f t="array" ref="S120">($F$4*(1+$Q120)*'User Segmentation'!$I$49)
-Dynamic_Row_Table[[Fixed Cost]:[Fixed Cost]]
-(Dynamic_Row_Table[[Funding Rate]:[Funding Rate]]*Dynamic_Row_Table[[Tenure (in months)]:[Tenure (in months)]]*$F$4*(1+$Q120)/12)
-(IF($Q120&lt;0,'Dynamic CM'!$G$4,'Dynamic CM'!$G$4*(($F$4*(1+$Q120)/$F$4)^'Dynamic CM'!$H$4))
*VLOOKUP($D$4,EAD_Table[#All],MATCH("EAD",EAD_Table[#Headers],0),FALSE)
*$F$4*(1+$Q120))</f>
        <v>-142.4996329658909</v>
      </c>
      <c r="T120" s="98" cm="1">
        <f t="array" ref="T120">($F$5*(1+$Q120)*'User Segmentation'!$I$49)
-Dynamic_Row_Table[[Fixed Cost]:[Fixed Cost]]
-(Dynamic_Row_Table[[Funding Rate]:[Funding Rate]]*Dynamic_Row_Table[[Tenure (in months)]:[Tenure (in months)]]*$F$5*(1+$Q120)/12)
-(IF($Q120&lt;0,'Dynamic CM'!$G$5,'Dynamic CM'!$G$5*(($F$5*(1+$Q120)/$F$5)^'Dynamic CM'!$H$5))
*VLOOKUP($D$5,EAD_Table[#All],MATCH("EAD",EAD_Table[#Headers],0),FALSE)
*$F$5*(1+$Q120))</f>
        <v>-48.524299854296714</v>
      </c>
      <c r="U120" s="98" cm="1">
        <f t="array" ref="U120">($F$6*(1+$Q120)*'User Segmentation'!$I$49)
-Dynamic_Row_Table[[Fixed Cost]:[Fixed Cost]]
-(Dynamic_Row_Table[[Funding Rate]:[Funding Rate]]*Dynamic_Row_Table[[Tenure (in months)]:[Tenure (in months)]]*$F$6*(1+$Q120)/12)
-(IF($Q120&lt;0,'Dynamic CM'!$G$6,'Dynamic CM'!$G$6*(($F$6*(1+$Q120)/$F$6)^'Dynamic CM'!$H$6))
*VLOOKUP($D$6,EAD_Table[#All],MATCH("EAD",EAD_Table[#Headers],0),FALSE)
*$F$6*(1+$Q120))</f>
        <v>-101.6290373883454</v>
      </c>
    </row>
    <row r="121" spans="17:21" x14ac:dyDescent="0.2">
      <c r="Q121" s="64">
        <v>10.3</v>
      </c>
      <c r="R121" s="98" cm="1">
        <f t="array" ref="R121">($F$3*(1+$Q121)*'User Segmentation'!$I$49)
-Dynamic_Row_Table[[Fixed Cost]:[Fixed Cost]]
-(Dynamic_Row_Table[[Funding Rate]:[Funding Rate]]*Dynamic_Row_Table[[Tenure (in months)]:[Tenure (in months)]]*$F$3*(1+$Q121)/12)
-(IF($Q121&lt;0,'Dynamic CM'!$G$3,'Dynamic CM'!$G$3*(($F$3*(1+$Q121)/$F$3)^'Dynamic CM'!$H$3))
*VLOOKUP($D$3,EAD_Table[#All],MATCH("EAD",EAD_Table[#Headers],0),FALSE)
*$F$3*(1+$Q121))</f>
        <v>-1533.9448716657118</v>
      </c>
      <c r="S121" s="98" cm="1">
        <f t="array" ref="S121">($F$4*(1+$Q121)*'User Segmentation'!$I$49)
-Dynamic_Row_Table[[Fixed Cost]:[Fixed Cost]]
-(Dynamic_Row_Table[[Funding Rate]:[Funding Rate]]*Dynamic_Row_Table[[Tenure (in months)]:[Tenure (in months)]]*$F$4*(1+$Q121)/12)
-(IF($Q121&lt;0,'Dynamic CM'!$G$4,'Dynamic CM'!$G$4*(($F$4*(1+$Q121)/$F$4)^'Dynamic CM'!$H$4))
*VLOOKUP($D$4,EAD_Table[#All],MATCH("EAD",EAD_Table[#Headers],0),FALSE)
*$F$4*(1+$Q121))</f>
        <v>-146.36085282791541</v>
      </c>
      <c r="T121" s="98" cm="1">
        <f t="array" ref="T121">($F$5*(1+$Q121)*'User Segmentation'!$I$49)
-Dynamic_Row_Table[[Fixed Cost]:[Fixed Cost]]
-(Dynamic_Row_Table[[Funding Rate]:[Funding Rate]]*Dynamic_Row_Table[[Tenure (in months)]:[Tenure (in months)]]*$F$5*(1+$Q121)/12)
-(IF($Q121&lt;0,'Dynamic CM'!$G$5,'Dynamic CM'!$G$5*(($F$5*(1+$Q121)/$F$5)^'Dynamic CM'!$H$5))
*VLOOKUP($D$5,EAD_Table[#All],MATCH("EAD",EAD_Table[#Headers],0),FALSE)
*$F$5*(1+$Q121))</f>
        <v>-51.243350536623097</v>
      </c>
      <c r="U121" s="98" cm="1">
        <f t="array" ref="U121">($F$6*(1+$Q121)*'User Segmentation'!$I$49)
-Dynamic_Row_Table[[Fixed Cost]:[Fixed Cost]]
-(Dynamic_Row_Table[[Funding Rate]:[Funding Rate]]*Dynamic_Row_Table[[Tenure (in months)]:[Tenure (in months)]]*$F$6*(1+$Q121)/12)
-(IF($Q121&lt;0,'Dynamic CM'!$G$6,'Dynamic CM'!$G$6*(($F$6*(1+$Q121)/$F$6)^'Dynamic CM'!$H$6))
*VLOOKUP($D$6,EAD_Table[#All],MATCH("EAD",EAD_Table[#Headers],0),FALSE)
*$F$6*(1+$Q121))</f>
        <v>-104.32045881487792</v>
      </c>
    </row>
    <row r="122" spans="17:21" x14ac:dyDescent="0.2">
      <c r="Q122" s="64">
        <v>10.4</v>
      </c>
      <c r="R122" s="98" cm="1">
        <f t="array" ref="R122">($F$3*(1+$Q122)*'User Segmentation'!$I$49)
-Dynamic_Row_Table[[Fixed Cost]:[Fixed Cost]]
-(Dynamic_Row_Table[[Funding Rate]:[Funding Rate]]*Dynamic_Row_Table[[Tenure (in months)]:[Tenure (in months)]]*$F$3*(1+$Q122)/12)
-(IF($Q122&lt;0,'Dynamic CM'!$G$3,'Dynamic CM'!$G$3*(($F$3*(1+$Q122)/$F$3)^'Dynamic CM'!$H$3))
*VLOOKUP($D$3,EAD_Table[#All],MATCH("EAD",EAD_Table[#Headers],0),FALSE)
*$F$3*(1+$Q122))</f>
        <v>-1573.8460067410456</v>
      </c>
      <c r="S122" s="98" cm="1">
        <f t="array" ref="S122">($F$4*(1+$Q122)*'User Segmentation'!$I$49)
-Dynamic_Row_Table[[Fixed Cost]:[Fixed Cost]]
-(Dynamic_Row_Table[[Funding Rate]:[Funding Rate]]*Dynamic_Row_Table[[Tenure (in months)]:[Tenure (in months)]]*$F$4*(1+$Q122)/12)
-(IF($Q122&lt;0,'Dynamic CM'!$G$4,'Dynamic CM'!$G$4*(($F$4*(1+$Q122)/$F$4)^'Dynamic CM'!$H$4))
*VLOOKUP($D$4,EAD_Table[#All],MATCH("EAD",EAD_Table[#Headers],0),FALSE)
*$F$4*(1+$Q122))</f>
        <v>-150.27585152308586</v>
      </c>
      <c r="T122" s="98" cm="1">
        <f t="array" ref="T122">($F$5*(1+$Q122)*'User Segmentation'!$I$49)
-Dynamic_Row_Table[[Fixed Cost]:[Fixed Cost]]
-(Dynamic_Row_Table[[Funding Rate]:[Funding Rate]]*Dynamic_Row_Table[[Tenure (in months)]:[Tenure (in months)]]*$F$5*(1+$Q122)/12)
-(IF($Q122&lt;0,'Dynamic CM'!$G$5,'Dynamic CM'!$G$5*(($F$5*(1+$Q122)/$F$5)^'Dynamic CM'!$H$5))
*VLOOKUP($D$5,EAD_Table[#All],MATCH("EAD",EAD_Table[#Headers],0),FALSE)
*$F$5*(1+$Q122))</f>
        <v>-54.004798281418942</v>
      </c>
      <c r="U122" s="98" cm="1">
        <f t="array" ref="U122">($F$6*(1+$Q122)*'User Segmentation'!$I$49)
-Dynamic_Row_Table[[Fixed Cost]:[Fixed Cost]]
-(Dynamic_Row_Table[[Funding Rate]:[Funding Rate]]*Dynamic_Row_Table[[Tenure (in months)]:[Tenure (in months)]]*$F$6*(1+$Q122)/12)
-(IF($Q122&lt;0,'Dynamic CM'!$G$6,'Dynamic CM'!$G$6*(($F$6*(1+$Q122)/$F$6)^'Dynamic CM'!$H$6))
*VLOOKUP($D$6,EAD_Table[#All],MATCH("EAD",EAD_Table[#Headers],0),FALSE)
*$F$6*(1+$Q122))</f>
        <v>-107.04911060012034</v>
      </c>
    </row>
    <row r="123" spans="17:21" x14ac:dyDescent="0.2">
      <c r="Q123" s="64">
        <v>10.5</v>
      </c>
      <c r="R123" s="98" cm="1">
        <f t="array" ref="R123">($F$3*(1+$Q123)*'User Segmentation'!$I$49)
-Dynamic_Row_Table[[Fixed Cost]:[Fixed Cost]]
-(Dynamic_Row_Table[[Funding Rate]:[Funding Rate]]*Dynamic_Row_Table[[Tenure (in months)]:[Tenure (in months)]]*$F$3*(1+$Q123)/12)
-(IF($Q123&lt;0,'Dynamic CM'!$G$3,'Dynamic CM'!$G$3*(($F$3*(1+$Q123)/$F$3)^'Dynamic CM'!$H$3))
*VLOOKUP($D$3,EAD_Table[#All],MATCH("EAD",EAD_Table[#Headers],0),FALSE)
*$F$3*(1+$Q123))</f>
        <v>-1614.417830689519</v>
      </c>
      <c r="S123" s="98" cm="1">
        <f t="array" ref="S123">($F$4*(1+$Q123)*'User Segmentation'!$I$49)
-Dynamic_Row_Table[[Fixed Cost]:[Fixed Cost]]
-(Dynamic_Row_Table[[Funding Rate]:[Funding Rate]]*Dynamic_Row_Table[[Tenure (in months)]:[Tenure (in months)]]*$F$4*(1+$Q123)/12)
-(IF($Q123&lt;0,'Dynamic CM'!$G$4,'Dynamic CM'!$G$4*(($F$4*(1+$Q123)/$F$4)^'Dynamic CM'!$H$4))
*VLOOKUP($D$4,EAD_Table[#All],MATCH("EAD",EAD_Table[#Headers],0),FALSE)
*$F$4*(1+$Q123))</f>
        <v>-154.24478089080827</v>
      </c>
      <c r="T123" s="98" cm="1">
        <f t="array" ref="T123">($F$5*(1+$Q123)*'User Segmentation'!$I$49)
-Dynamic_Row_Table[[Fixed Cost]:[Fixed Cost]]
-(Dynamic_Row_Table[[Funding Rate]:[Funding Rate]]*Dynamic_Row_Table[[Tenure (in months)]:[Tenure (in months)]]*$F$5*(1+$Q123)/12)
-(IF($Q123&lt;0,'Dynamic CM'!$G$5,'Dynamic CM'!$G$5*(($F$5*(1+$Q123)/$F$5)^'Dynamic CM'!$H$5))
*VLOOKUP($D$5,EAD_Table[#All],MATCH("EAD",EAD_Table[#Headers],0),FALSE)
*$F$5*(1+$Q123))</f>
        <v>-56.808669618982861</v>
      </c>
      <c r="U123" s="98" cm="1">
        <f t="array" ref="U123">($F$6*(1+$Q123)*'User Segmentation'!$I$49)
-Dynamic_Row_Table[[Fixed Cost]:[Fixed Cost]]
-(Dynamic_Row_Table[[Funding Rate]:[Funding Rate]]*Dynamic_Row_Table[[Tenure (in months)]:[Tenure (in months)]]*$F$6*(1+$Q123)/12)
-(IF($Q123&lt;0,'Dynamic CM'!$G$6,'Dynamic CM'!$G$6*(($F$6*(1+$Q123)/$F$6)^'Dynamic CM'!$H$6))
*VLOOKUP($D$6,EAD_Table[#All],MATCH("EAD",EAD_Table[#Headers],0),FALSE)
*$F$6*(1+$Q123))</f>
        <v>-109.81509786043945</v>
      </c>
    </row>
    <row r="124" spans="17:21" x14ac:dyDescent="0.2">
      <c r="Q124" s="64">
        <v>10.6</v>
      </c>
      <c r="R124" s="98" cm="1">
        <f t="array" ref="R124">($F$3*(1+$Q124)*'User Segmentation'!$I$49)
-Dynamic_Row_Table[[Fixed Cost]:[Fixed Cost]]
-(Dynamic_Row_Table[[Funding Rate]:[Funding Rate]]*Dynamic_Row_Table[[Tenure (in months)]:[Tenure (in months)]]*$F$3*(1+$Q124)/12)
-(IF($Q124&lt;0,'Dynamic CM'!$G$3,'Dynamic CM'!$G$3*(($F$3*(1+$Q124)/$F$3)^'Dynamic CM'!$H$3))
*VLOOKUP($D$3,EAD_Table[#All],MATCH("EAD",EAD_Table[#Headers],0),FALSE)
*$F$3*(1+$Q124))</f>
        <v>-1655.6655770802599</v>
      </c>
      <c r="S124" s="98" cm="1">
        <f t="array" ref="S124">($F$4*(1+$Q124)*'User Segmentation'!$I$49)
-Dynamic_Row_Table[[Fixed Cost]:[Fixed Cost]]
-(Dynamic_Row_Table[[Funding Rate]:[Funding Rate]]*Dynamic_Row_Table[[Tenure (in months)]:[Tenure (in months)]]*$F$4*(1+$Q124)/12)
-(IF($Q124&lt;0,'Dynamic CM'!$G$4,'Dynamic CM'!$G$4*(($F$4*(1+$Q124)/$F$4)^'Dynamic CM'!$H$4))
*VLOOKUP($D$4,EAD_Table[#All],MATCH("EAD",EAD_Table[#Headers],0),FALSE)
*$F$4*(1+$Q124))</f>
        <v>-158.26779186744142</v>
      </c>
      <c r="T124" s="98" cm="1">
        <f t="array" ref="T124">($F$5*(1+$Q124)*'User Segmentation'!$I$49)
-Dynamic_Row_Table[[Fixed Cost]:[Fixed Cost]]
-(Dynamic_Row_Table[[Funding Rate]:[Funding Rate]]*Dynamic_Row_Table[[Tenure (in months)]:[Tenure (in months)]]*$F$5*(1+$Q124)/12)
-(IF($Q124&lt;0,'Dynamic CM'!$G$5,'Dynamic CM'!$G$5*(($F$5*(1+$Q124)/$F$5)^'Dynamic CM'!$H$5))
*VLOOKUP($D$5,EAD_Table[#All],MATCH("EAD",EAD_Table[#Headers],0),FALSE)
*$F$5*(1+$Q124))</f>
        <v>-59.654990864283064</v>
      </c>
      <c r="U124" s="98" cm="1">
        <f t="array" ref="U124">($F$6*(1+$Q124)*'User Segmentation'!$I$49)
-Dynamic_Row_Table[[Fixed Cost]:[Fixed Cost]]
-(Dynamic_Row_Table[[Funding Rate]:[Funding Rate]]*Dynamic_Row_Table[[Tenure (in months)]:[Tenure (in months)]]*$F$6*(1+$Q124)/12)
-(IF($Q124&lt;0,'Dynamic CM'!$G$6,'Dynamic CM'!$G$6*(($F$6*(1+$Q124)/$F$6)^'Dynamic CM'!$H$6))
*VLOOKUP($D$6,EAD_Table[#All],MATCH("EAD",EAD_Table[#Headers],0),FALSE)
*$F$6*(1+$Q124))</f>
        <v>-112.61852508703463</v>
      </c>
    </row>
    <row r="125" spans="17:21" x14ac:dyDescent="0.2">
      <c r="Q125" s="64">
        <v>10.7</v>
      </c>
      <c r="R125" s="98" cm="1">
        <f t="array" ref="R125">($F$3*(1+$Q125)*'User Segmentation'!$I$49)
-Dynamic_Row_Table[[Fixed Cost]:[Fixed Cost]]
-(Dynamic_Row_Table[[Funding Rate]:[Funding Rate]]*Dynamic_Row_Table[[Tenure (in months)]:[Tenure (in months)]]*$F$3*(1+$Q125)/12)
-(IF($Q125&lt;0,'Dynamic CM'!$G$3,'Dynamic CM'!$G$3*(($F$3*(1+$Q125)/$F$3)^'Dynamic CM'!$H$3))
*VLOOKUP($D$3,EAD_Table[#All],MATCH("EAD",EAD_Table[#Headers],0),FALSE)
*$F$3*(1+$Q125))</f>
        <v>-1697.5944744786318</v>
      </c>
      <c r="S125" s="98" cm="1">
        <f t="array" ref="S125">($F$4*(1+$Q125)*'User Segmentation'!$I$49)
-Dynamic_Row_Table[[Fixed Cost]:[Fixed Cost]]
-(Dynamic_Row_Table[[Funding Rate]:[Funding Rate]]*Dynamic_Row_Table[[Tenure (in months)]:[Tenure (in months)]]*$F$4*(1+$Q125)/12)
-(IF($Q125&lt;0,'Dynamic CM'!$G$4,'Dynamic CM'!$G$4*(($F$4*(1+$Q125)/$F$4)^'Dynamic CM'!$H$4))
*VLOOKUP($D$4,EAD_Table[#All],MATCH("EAD",EAD_Table[#Headers],0),FALSE)
*$F$4*(1+$Q125))</f>
        <v>-162.34503449944989</v>
      </c>
      <c r="T125" s="98" cm="1">
        <f t="array" ref="T125">($F$5*(1+$Q125)*'User Segmentation'!$I$49)
-Dynamic_Row_Table[[Fixed Cost]:[Fixed Cost]]
-(Dynamic_Row_Table[[Funding Rate]:[Funding Rate]]*Dynamic_Row_Table[[Tenure (in months)]:[Tenure (in months)]]*$F$5*(1+$Q125)/12)
-(IF($Q125&lt;0,'Dynamic CM'!$G$5,'Dynamic CM'!$G$5*(($F$5*(1+$Q125)/$F$5)^'Dynamic CM'!$H$5))
*VLOOKUP($D$5,EAD_Table[#All],MATCH("EAD",EAD_Table[#Headers],0),FALSE)
*$F$5*(1+$Q125))</f>
        <v>-62.543788120556599</v>
      </c>
      <c r="U125" s="98" cm="1">
        <f t="array" ref="U125">($F$6*(1+$Q125)*'User Segmentation'!$I$49)
-Dynamic_Row_Table[[Fixed Cost]:[Fixed Cost]]
-(Dynamic_Row_Table[[Funding Rate]:[Funding Rate]]*Dynamic_Row_Table[[Tenure (in months)]:[Tenure (in months)]]*$F$6*(1+$Q125)/12)
-(IF($Q125&lt;0,'Dynamic CM'!$G$6,'Dynamic CM'!$G$6*(($F$6*(1+$Q125)/$F$6)^'Dynamic CM'!$H$6))
*VLOOKUP($D$6,EAD_Table[#All],MATCH("EAD",EAD_Table[#Headers],0),FALSE)
*$F$6*(1+$Q125))</f>
        <v>-115.45949615504362</v>
      </c>
    </row>
    <row r="126" spans="17:21" x14ac:dyDescent="0.2">
      <c r="Q126" s="64">
        <v>10.8</v>
      </c>
      <c r="R126" s="98" cm="1">
        <f t="array" ref="R126">($F$3*(1+$Q126)*'User Segmentation'!$I$49)
-Dynamic_Row_Table[[Fixed Cost]:[Fixed Cost]]
-(Dynamic_Row_Table[[Funding Rate]:[Funding Rate]]*Dynamic_Row_Table[[Tenure (in months)]:[Tenure (in months)]]*$F$3*(1+$Q126)/12)
-(IF($Q126&lt;0,'Dynamic CM'!$G$3,'Dynamic CM'!$G$3*(($F$3*(1+$Q126)/$F$3)^'Dynamic CM'!$H$3))
*VLOOKUP($D$3,EAD_Table[#All],MATCH("EAD",EAD_Table[#Headers],0),FALSE)
*$F$3*(1+$Q126))</f>
        <v>-1740.2097464940935</v>
      </c>
      <c r="S126" s="98" cm="1">
        <f t="array" ref="S126">($F$4*(1+$Q126)*'User Segmentation'!$I$49)
-Dynamic_Row_Table[[Fixed Cost]:[Fixed Cost]]
-(Dynamic_Row_Table[[Funding Rate]:[Funding Rate]]*Dynamic_Row_Table[[Tenure (in months)]:[Tenure (in months)]]*$F$4*(1+$Q126)/12)
-(IF($Q126&lt;0,'Dynamic CM'!$G$4,'Dynamic CM'!$G$4*(($F$4*(1+$Q126)/$F$4)^'Dynamic CM'!$H$4))
*VLOOKUP($D$4,EAD_Table[#All],MATCH("EAD",EAD_Table[#Headers],0),FALSE)
*$F$4*(1+$Q126))</f>
        <v>-166.47665795625647</v>
      </c>
      <c r="T126" s="98" cm="1">
        <f t="array" ref="T126">($F$5*(1+$Q126)*'User Segmentation'!$I$49)
-Dynamic_Row_Table[[Fixed Cost]:[Fixed Cost]]
-(Dynamic_Row_Table[[Funding Rate]:[Funding Rate]]*Dynamic_Row_Table[[Tenure (in months)]:[Tenure (in months)]]*$F$5*(1+$Q126)/12)
-(IF($Q126&lt;0,'Dynamic CM'!$G$5,'Dynamic CM'!$G$5*(($F$5*(1+$Q126)/$F$5)^'Dynamic CM'!$H$5))
*VLOOKUP($D$5,EAD_Table[#All],MATCH("EAD",EAD_Table[#Headers],0),FALSE)
*$F$5*(1+$Q126))</f>
        <v>-65.475087282815252</v>
      </c>
      <c r="U126" s="98" cm="1">
        <f t="array" ref="U126">($F$6*(1+$Q126)*'User Segmentation'!$I$49)
-Dynamic_Row_Table[[Fixed Cost]:[Fixed Cost]]
-(Dynamic_Row_Table[[Funding Rate]:[Funding Rate]]*Dynamic_Row_Table[[Tenure (in months)]:[Tenure (in months)]]*$F$6*(1+$Q126)/12)
-(IF($Q126&lt;0,'Dynamic CM'!$G$6,'Dynamic CM'!$G$6*(($F$6*(1+$Q126)/$F$6)^'Dynamic CM'!$H$6))
*VLOOKUP($D$6,EAD_Table[#All],MATCH("EAD",EAD_Table[#Headers],0),FALSE)
*$F$6*(1+$Q126))</f>
        <v>-118.33811433244003</v>
      </c>
    </row>
    <row r="127" spans="17:21" x14ac:dyDescent="0.2">
      <c r="Q127" s="64">
        <v>10.9</v>
      </c>
      <c r="R127" s="98" cm="1">
        <f t="array" ref="R127">($F$3*(1+$Q127)*'User Segmentation'!$I$49)
-Dynamic_Row_Table[[Fixed Cost]:[Fixed Cost]]
-(Dynamic_Row_Table[[Funding Rate]:[Funding Rate]]*Dynamic_Row_Table[[Tenure (in months)]:[Tenure (in months)]]*$F$3*(1+$Q127)/12)
-(IF($Q127&lt;0,'Dynamic CM'!$G$3,'Dynamic CM'!$G$3*(($F$3*(1+$Q127)/$F$3)^'Dynamic CM'!$H$3))
*VLOOKUP($D$3,EAD_Table[#All],MATCH("EAD",EAD_Table[#Headers],0),FALSE)
*$F$3*(1+$Q127))</f>
        <v>-1783.5166118271934</v>
      </c>
      <c r="S127" s="98" cm="1">
        <f t="array" ref="S127">($F$4*(1+$Q127)*'User Segmentation'!$I$49)
-Dynamic_Row_Table[[Fixed Cost]:[Fixed Cost]]
-(Dynamic_Row_Table[[Funding Rate]:[Funding Rate]]*Dynamic_Row_Table[[Tenure (in months)]:[Tenure (in months)]]*$F$4*(1+$Q127)/12)
-(IF($Q127&lt;0,'Dynamic CM'!$G$4,'Dynamic CM'!$G$4*(($F$4*(1+$Q127)/$F$4)^'Dynamic CM'!$H$4))
*VLOOKUP($D$4,EAD_Table[#All],MATCH("EAD",EAD_Table[#Headers],0),FALSE)
*$F$4*(1+$Q127))</f>
        <v>-170.6628105427987</v>
      </c>
      <c r="T127" s="98" cm="1">
        <f t="array" ref="T127">($F$5*(1+$Q127)*'User Segmentation'!$I$49)
-Dynamic_Row_Table[[Fixed Cost]:[Fixed Cost]]
-(Dynamic_Row_Table[[Funding Rate]:[Funding Rate]]*Dynamic_Row_Table[[Tenure (in months)]:[Tenure (in months)]]*$F$5*(1+$Q127)/12)
-(IF($Q127&lt;0,'Dynamic CM'!$G$5,'Dynamic CM'!$G$5*(($F$5*(1+$Q127)/$F$5)^'Dynamic CM'!$H$5))
*VLOOKUP($D$5,EAD_Table[#All],MATCH("EAD",EAD_Table[#Headers],0),FALSE)
*$F$5*(1+$Q127))</f>
        <v>-68.448914041266221</v>
      </c>
      <c r="U127" s="98" cm="1">
        <f t="array" ref="U127">($F$6*(1+$Q127)*'User Segmentation'!$I$49)
-Dynamic_Row_Table[[Fixed Cost]:[Fixed Cost]]
-(Dynamic_Row_Table[[Funding Rate]:[Funding Rate]]*Dynamic_Row_Table[[Tenure (in months)]:[Tenure (in months)]]*$F$6*(1+$Q127)/12)
-(IF($Q127&lt;0,'Dynamic CM'!$G$6,'Dynamic CM'!$G$6*(($F$6*(1+$Q127)/$F$6)^'Dynamic CM'!$H$6))
*VLOOKUP($D$6,EAD_Table[#All],MATCH("EAD",EAD_Table[#Headers],0),FALSE)
*$F$6*(1+$Q127))</f>
        <v>-121.25448228872591</v>
      </c>
    </row>
    <row r="128" spans="17:21" x14ac:dyDescent="0.2">
      <c r="Q128" s="64">
        <v>11</v>
      </c>
      <c r="R128" s="98" cm="1">
        <f t="array" ref="R128">($F$3*(1+$Q128)*'User Segmentation'!$I$49)
-Dynamic_Row_Table[[Fixed Cost]:[Fixed Cost]]
-(Dynamic_Row_Table[[Funding Rate]:[Funding Rate]]*Dynamic_Row_Table[[Tenure (in months)]:[Tenure (in months)]]*$F$3*(1+$Q128)/12)
-(IF($Q128&lt;0,'Dynamic CM'!$G$3,'Dynamic CM'!$G$3*(($F$3*(1+$Q128)/$F$3)^'Dynamic CM'!$H$3))
*VLOOKUP($D$3,EAD_Table[#All],MATCH("EAD",EAD_Table[#Headers],0),FALSE)
*$F$3*(1+$Q128))</f>
        <v>-1827.5202843157354</v>
      </c>
      <c r="S128" s="98" cm="1">
        <f t="array" ref="S128">($F$4*(1+$Q128)*'User Segmentation'!$I$49)
-Dynamic_Row_Table[[Fixed Cost]:[Fixed Cost]]
-(Dynamic_Row_Table[[Funding Rate]:[Funding Rate]]*Dynamic_Row_Table[[Tenure (in months)]:[Tenure (in months)]]*$F$4*(1+$Q128)/12)
-(IF($Q128&lt;0,'Dynamic CM'!$G$4,'Dynamic CM'!$G$4*(($F$4*(1+$Q128)/$F$4)^'Dynamic CM'!$H$4))
*VLOOKUP($D$4,EAD_Table[#All],MATCH("EAD",EAD_Table[#Headers],0),FALSE)
*$F$4*(1+$Q128))</f>
        <v>-174.90363971180301</v>
      </c>
      <c r="T128" s="98" cm="1">
        <f t="array" ref="T128">($F$5*(1+$Q128)*'User Segmentation'!$I$49)
-Dynamic_Row_Table[[Fixed Cost]:[Fixed Cost]]
-(Dynamic_Row_Table[[Funding Rate]:[Funding Rate]]*Dynamic_Row_Table[[Tenure (in months)]:[Tenure (in months)]]*$F$5*(1+$Q128)/12)
-(IF($Q128&lt;0,'Dynamic CM'!$G$5,'Dynamic CM'!$G$5*(($F$5*(1+$Q128)/$F$5)^'Dynamic CM'!$H$5))
*VLOOKUP($D$5,EAD_Table[#All],MATCH("EAD",EAD_Table[#Headers],0),FALSE)
*$F$5*(1+$Q128))</f>
        <v>-71.465293884646172</v>
      </c>
      <c r="U128" s="98" cm="1">
        <f t="array" ref="U128">($F$6*(1+$Q128)*'User Segmentation'!$I$49)
-Dynamic_Row_Table[[Fixed Cost]:[Fixed Cost]]
-(Dynamic_Row_Table[[Funding Rate]:[Funding Rate]]*Dynamic_Row_Table[[Tenure (in months)]:[Tenure (in months)]]*$F$6*(1+$Q128)/12)
-(IF($Q128&lt;0,'Dynamic CM'!$G$6,'Dynamic CM'!$G$6*(($F$6*(1+$Q128)/$F$6)^'Dynamic CM'!$H$6))
*VLOOKUP($D$6,EAD_Table[#All],MATCH("EAD",EAD_Table[#Headers],0),FALSE)
*$F$6*(1+$Q128))</f>
        <v>-124.2087021034291</v>
      </c>
    </row>
    <row r="129" spans="17:21" x14ac:dyDescent="0.2">
      <c r="Q129" s="64">
        <v>11.1</v>
      </c>
      <c r="R129" s="98" cm="1">
        <f t="array" ref="R129">($F$3*(1+$Q129)*'User Segmentation'!$I$49)
-Dynamic_Row_Table[[Fixed Cost]:[Fixed Cost]]
-(Dynamic_Row_Table[[Funding Rate]:[Funding Rate]]*Dynamic_Row_Table[[Tenure (in months)]:[Tenure (in months)]]*$F$3*(1+$Q129)/12)
-(IF($Q129&lt;0,'Dynamic CM'!$G$3,'Dynamic CM'!$G$3*(($F$3*(1+$Q129)/$F$3)^'Dynamic CM'!$H$3))
*VLOOKUP($D$3,EAD_Table[#All],MATCH("EAD",EAD_Table[#Headers],0),FALSE)
*$F$3*(1+$Q129))</f>
        <v>-1872.2259729801096</v>
      </c>
      <c r="S129" s="98" cm="1">
        <f t="array" ref="S129">($F$4*(1+$Q129)*'User Segmentation'!$I$49)
-Dynamic_Row_Table[[Fixed Cost]:[Fixed Cost]]
-(Dynamic_Row_Table[[Funding Rate]:[Funding Rate]]*Dynamic_Row_Table[[Tenure (in months)]:[Tenure (in months)]]*$F$4*(1+$Q129)/12)
-(IF($Q129&lt;0,'Dynamic CM'!$G$4,'Dynamic CM'!$G$4*(($F$4*(1+$Q129)/$F$4)^'Dynamic CM'!$H$4))
*VLOOKUP($D$4,EAD_Table[#All],MATCH("EAD",EAD_Table[#Headers],0),FALSE)
*$F$4*(1+$Q129))</f>
        <v>-179.19929207578147</v>
      </c>
      <c r="T129" s="98" cm="1">
        <f t="array" ref="T129">($F$5*(1+$Q129)*'User Segmentation'!$I$49)
-Dynamic_Row_Table[[Fixed Cost]:[Fixed Cost]]
-(Dynamic_Row_Table[[Funding Rate]:[Funding Rate]]*Dynamic_Row_Table[[Tenure (in months)]:[Tenure (in months)]]*$F$5*(1+$Q129)/12)
-(IF($Q129&lt;0,'Dynamic CM'!$G$5,'Dynamic CM'!$G$5*(($F$5*(1+$Q129)/$F$5)^'Dynamic CM'!$H$5))
*VLOOKUP($D$5,EAD_Table[#All],MATCH("EAD",EAD_Table[#Headers],0),FALSE)
*$F$5*(1+$Q129))</f>
        <v>-74.524252103475192</v>
      </c>
      <c r="U129" s="98" cm="1">
        <f t="array" ref="U129">($F$6*(1+$Q129)*'User Segmentation'!$I$49)
-Dynamic_Row_Table[[Fixed Cost]:[Fixed Cost]]
-(Dynamic_Row_Table[[Funding Rate]:[Funding Rate]]*Dynamic_Row_Table[[Tenure (in months)]:[Tenure (in months)]]*$F$6*(1+$Q129)/12)
-(IF($Q129&lt;0,'Dynamic CM'!$G$6,'Dynamic CM'!$G$6*(($F$6*(1+$Q129)/$F$6)^'Dynamic CM'!$H$6))
*VLOOKUP($D$6,EAD_Table[#All],MATCH("EAD",EAD_Table[#Headers],0),FALSE)
*$F$6*(1+$Q129))</f>
        <v>-127.20087527440857</v>
      </c>
    </row>
    <row r="130" spans="17:21" x14ac:dyDescent="0.2">
      <c r="Q130" s="64">
        <v>11.2</v>
      </c>
      <c r="R130" s="98" cm="1">
        <f t="array" ref="R130">($F$3*(1+$Q130)*'User Segmentation'!$I$49)
-Dynamic_Row_Table[[Fixed Cost]:[Fixed Cost]]
-(Dynamic_Row_Table[[Funding Rate]:[Funding Rate]]*Dynamic_Row_Table[[Tenure (in months)]:[Tenure (in months)]]*$F$3*(1+$Q130)/12)
-(IF($Q130&lt;0,'Dynamic CM'!$G$3,'Dynamic CM'!$G$3*(($F$3*(1+$Q130)/$F$3)^'Dynamic CM'!$H$3))
*VLOOKUP($D$3,EAD_Table[#All],MATCH("EAD",EAD_Table[#Headers],0),FALSE)
*$F$3*(1+$Q130))</f>
        <v>-1917.6388820678417</v>
      </c>
      <c r="S130" s="98" cm="1">
        <f t="array" ref="S130">($F$4*(1+$Q130)*'User Segmentation'!$I$49)
-Dynamic_Row_Table[[Fixed Cost]:[Fixed Cost]]
-(Dynamic_Row_Table[[Funding Rate]:[Funding Rate]]*Dynamic_Row_Table[[Tenure (in months)]:[Tenure (in months)]]*$F$4*(1+$Q130)/12)
-(IF($Q130&lt;0,'Dynamic CM'!$G$4,'Dynamic CM'!$G$4*(($F$4*(1+$Q130)/$F$4)^'Dynamic CM'!$H$4))
*VLOOKUP($D$4,EAD_Table[#All],MATCH("EAD",EAD_Table[#Headers],0),FALSE)
*$F$4*(1+$Q130))</f>
        <v>-183.5499134187628</v>
      </c>
      <c r="T130" s="98" cm="1">
        <f t="array" ref="T130">($F$5*(1+$Q130)*'User Segmentation'!$I$49)
-Dynamic_Row_Table[[Fixed Cost]:[Fixed Cost]]
-(Dynamic_Row_Table[[Funding Rate]:[Funding Rate]]*Dynamic_Row_Table[[Tenure (in months)]:[Tenure (in months)]]*$F$5*(1+$Q130)/12)
-(IF($Q130&lt;0,'Dynamic CM'!$G$5,'Dynamic CM'!$G$5*(($F$5*(1+$Q130)/$F$5)^'Dynamic CM'!$H$5))
*VLOOKUP($D$5,EAD_Table[#All],MATCH("EAD",EAD_Table[#Headers],0),FALSE)
*$F$5*(1+$Q130))</f>
        <v>-77.625813793231089</v>
      </c>
      <c r="U130" s="98" cm="1">
        <f t="array" ref="U130">($F$6*(1+$Q130)*'User Segmentation'!$I$49)
-Dynamic_Row_Table[[Fixed Cost]:[Fixed Cost]]
-(Dynamic_Row_Table[[Funding Rate]:[Funding Rate]]*Dynamic_Row_Table[[Tenure (in months)]:[Tenure (in months)]]*$F$6*(1+$Q130)/12)
-(IF($Q130&lt;0,'Dynamic CM'!$G$6,'Dynamic CM'!$G$6*(($F$6*(1+$Q130)/$F$6)^'Dynamic CM'!$H$6))
*VLOOKUP($D$6,EAD_Table[#All],MATCH("EAD",EAD_Table[#Headers],0),FALSE)
*$F$6*(1+$Q130))</f>
        <v>-130.23110272597535</v>
      </c>
    </row>
    <row r="131" spans="17:21" x14ac:dyDescent="0.2">
      <c r="Q131" s="64">
        <v>11.3</v>
      </c>
      <c r="R131" s="98" cm="1">
        <f t="array" ref="R131">($F$3*(1+$Q131)*'User Segmentation'!$I$49)
-Dynamic_Row_Table[[Fixed Cost]:[Fixed Cost]]
-(Dynamic_Row_Table[[Funding Rate]:[Funding Rate]]*Dynamic_Row_Table[[Tenure (in months)]:[Tenure (in months)]]*$F$3*(1+$Q131)/12)
-(IF($Q131&lt;0,'Dynamic CM'!$G$3,'Dynamic CM'!$G$3*(($F$3*(1+$Q131)/$F$3)^'Dynamic CM'!$H$3))
*VLOOKUP($D$3,EAD_Table[#All],MATCH("EAD",EAD_Table[#Headers],0),FALSE)
*$F$3*(1+$Q131))</f>
        <v>-1963.7642110973575</v>
      </c>
      <c r="S131" s="98" cm="1">
        <f t="array" ref="S131">($F$4*(1+$Q131)*'User Segmentation'!$I$49)
-Dynamic_Row_Table[[Fixed Cost]:[Fixed Cost]]
-(Dynamic_Row_Table[[Funding Rate]:[Funding Rate]]*Dynamic_Row_Table[[Tenure (in months)]:[Tenure (in months)]]*$F$4*(1+$Q131)/12)
-(IF($Q131&lt;0,'Dynamic CM'!$G$4,'Dynamic CM'!$G$4*(($F$4*(1+$Q131)/$F$4)^'Dynamic CM'!$H$4))
*VLOOKUP($D$4,EAD_Table[#All],MATCH("EAD",EAD_Table[#Headers],0),FALSE)
*$F$4*(1+$Q131))</f>
        <v>-187.95564870776352</v>
      </c>
      <c r="T131" s="98" cm="1">
        <f t="array" ref="T131">($F$5*(1+$Q131)*'User Segmentation'!$I$49)
-Dynamic_Row_Table[[Fixed Cost]:[Fixed Cost]]
-(Dynamic_Row_Table[[Funding Rate]:[Funding Rate]]*Dynamic_Row_Table[[Tenure (in months)]:[Tenure (in months)]]*$F$5*(1+$Q131)/12)
-(IF($Q131&lt;0,'Dynamic CM'!$G$5,'Dynamic CM'!$G$5*(($F$5*(1+$Q131)/$F$5)^'Dynamic CM'!$H$5))
*VLOOKUP($D$5,EAD_Table[#All],MATCH("EAD",EAD_Table[#Headers],0),FALSE)
*$F$5*(1+$Q131))</f>
        <v>-80.770003857446852</v>
      </c>
      <c r="U131" s="98" cm="1">
        <f t="array" ref="U131">($F$6*(1+$Q131)*'User Segmentation'!$I$49)
-Dynamic_Row_Table[[Fixed Cost]:[Fixed Cost]]
-(Dynamic_Row_Table[[Funding Rate]:[Funding Rate]]*Dynamic_Row_Table[[Tenure (in months)]:[Tenure (in months)]]*$F$6*(1+$Q131)/12)
-(IF($Q131&lt;0,'Dynamic CM'!$G$6,'Dynamic CM'!$G$6*(($F$6*(1+$Q131)/$F$6)^'Dynamic CM'!$H$6))
*VLOOKUP($D$6,EAD_Table[#All],MATCH("EAD",EAD_Table[#Headers],0),FALSE)
*$F$6*(1+$Q131))</f>
        <v>-133.29948481683385</v>
      </c>
    </row>
    <row r="132" spans="17:21" x14ac:dyDescent="0.2">
      <c r="Q132" s="64">
        <v>11.4</v>
      </c>
      <c r="R132" s="98" cm="1">
        <f t="array" ref="R132">($F$3*(1+$Q132)*'User Segmentation'!$I$49)
-Dynamic_Row_Table[[Fixed Cost]:[Fixed Cost]]
-(Dynamic_Row_Table[[Funding Rate]:[Funding Rate]]*Dynamic_Row_Table[[Tenure (in months)]:[Tenure (in months)]]*$F$3*(1+$Q132)/12)
-(IF($Q132&lt;0,'Dynamic CM'!$G$3,'Dynamic CM'!$G$3*(($F$3*(1+$Q132)/$F$3)^'Dynamic CM'!$H$3))
*VLOOKUP($D$3,EAD_Table[#All],MATCH("EAD",EAD_Table[#Headers],0),FALSE)
*$F$3*(1+$Q132))</f>
        <v>-2010.6071549009841</v>
      </c>
      <c r="S132" s="98" cm="1">
        <f t="array" ref="S132">($F$4*(1+$Q132)*'User Segmentation'!$I$49)
-Dynamic_Row_Table[[Fixed Cost]:[Fixed Cost]]
-(Dynamic_Row_Table[[Funding Rate]:[Funding Rate]]*Dynamic_Row_Table[[Tenure (in months)]:[Tenure (in months)]]*$F$4*(1+$Q132)/12)
-(IF($Q132&lt;0,'Dynamic CM'!$G$4,'Dynamic CM'!$G$4*(($F$4*(1+$Q132)/$F$4)^'Dynamic CM'!$H$4))
*VLOOKUP($D$4,EAD_Table[#All],MATCH("EAD",EAD_Table[#Headers],0),FALSE)
*$F$4*(1+$Q132))</f>
        <v>-192.41664210400688</v>
      </c>
      <c r="T132" s="98" cm="1">
        <f t="array" ref="T132">($F$5*(1+$Q132)*'User Segmentation'!$I$49)
-Dynamic_Row_Table[[Fixed Cost]:[Fixed Cost]]
-(Dynamic_Row_Table[[Funding Rate]:[Funding Rate]]*Dynamic_Row_Table[[Tenure (in months)]:[Tenure (in months)]]*$F$5*(1+$Q132)/12)
-(IF($Q132&lt;0,'Dynamic CM'!$G$5,'Dynamic CM'!$G$5*(($F$5*(1+$Q132)/$F$5)^'Dynamic CM'!$H$5))
*VLOOKUP($D$5,EAD_Table[#All],MATCH("EAD",EAD_Table[#Headers],0),FALSE)
*$F$5*(1+$Q132))</f>
        <v>-83.956847010733838</v>
      </c>
      <c r="U132" s="98" cm="1">
        <f t="array" ref="U132">($F$6*(1+$Q132)*'User Segmentation'!$I$49)
-Dynamic_Row_Table[[Fixed Cost]:[Fixed Cost]]
-(Dynamic_Row_Table[[Funding Rate]:[Funding Rate]]*Dynamic_Row_Table[[Tenure (in months)]:[Tenure (in months)]]*$F$6*(1+$Q132)/12)
-(IF($Q132&lt;0,'Dynamic CM'!$G$6,'Dynamic CM'!$G$6*(($F$6*(1+$Q132)/$F$6)^'Dynamic CM'!$H$6))
*VLOOKUP($D$6,EAD_Table[#All],MATCH("EAD",EAD_Table[#Headers],0),FALSE)
*$F$6*(1+$Q132))</f>
        <v>-136.40612134784894</v>
      </c>
    </row>
    <row r="133" spans="17:21" x14ac:dyDescent="0.2">
      <c r="Q133" s="64">
        <v>11.5</v>
      </c>
      <c r="R133" s="98" cm="1">
        <f t="array" ref="R133">($F$3*(1+$Q133)*'User Segmentation'!$I$49)
-Dynamic_Row_Table[[Fixed Cost]:[Fixed Cost]]
-(Dynamic_Row_Table[[Funding Rate]:[Funding Rate]]*Dynamic_Row_Table[[Tenure (in months)]:[Tenure (in months)]]*$F$3*(1+$Q133)/12)
-(IF($Q133&lt;0,'Dynamic CM'!$G$3,'Dynamic CM'!$G$3*(($F$3*(1+$Q133)/$F$3)^'Dynamic CM'!$H$3))
*VLOOKUP($D$3,EAD_Table[#All],MATCH("EAD",EAD_Table[#Headers],0),FALSE)
*$F$3*(1+$Q133))</f>
        <v>-2058.17290366724</v>
      </c>
      <c r="S133" s="98" cm="1">
        <f t="array" ref="S133">($F$4*(1+$Q133)*'User Segmentation'!$I$49)
-Dynamic_Row_Table[[Fixed Cost]:[Fixed Cost]]
-(Dynamic_Row_Table[[Funding Rate]:[Funding Rate]]*Dynamic_Row_Table[[Tenure (in months)]:[Tenure (in months)]]*$F$4*(1+$Q133)/12)
-(IF($Q133&lt;0,'Dynamic CM'!$G$4,'Dynamic CM'!$G$4*(($F$4*(1+$Q133)/$F$4)^'Dynamic CM'!$H$4))
*VLOOKUP($D$4,EAD_Table[#All],MATCH("EAD",EAD_Table[#Headers],0),FALSE)
*$F$4*(1+$Q133))</f>
        <v>-196.9330369739011</v>
      </c>
      <c r="T133" s="98" cm="1">
        <f t="array" ref="T133">($F$5*(1+$Q133)*'User Segmentation'!$I$49)
-Dynamic_Row_Table[[Fixed Cost]:[Fixed Cost]]
-(Dynamic_Row_Table[[Funding Rate]:[Funding Rate]]*Dynamic_Row_Table[[Tenure (in months)]:[Tenure (in months)]]*$F$5*(1+$Q133)/12)
-(IF($Q133&lt;0,'Dynamic CM'!$G$5,'Dynamic CM'!$G$5*(($F$5*(1+$Q133)/$F$5)^'Dynamic CM'!$H$5))
*VLOOKUP($D$5,EAD_Table[#All],MATCH("EAD",EAD_Table[#Headers],0),FALSE)
*$F$5*(1+$Q133))</f>
        <v>-87.186367781734219</v>
      </c>
      <c r="U133" s="98" cm="1">
        <f t="array" ref="U133">($F$6*(1+$Q133)*'User Segmentation'!$I$49)
-Dynamic_Row_Table[[Fixed Cost]:[Fixed Cost]]
-(Dynamic_Row_Table[[Funding Rate]:[Funding Rate]]*Dynamic_Row_Table[[Tenure (in months)]:[Tenure (in months)]]*$F$6*(1+$Q133)/12)
-(IF($Q133&lt;0,'Dynamic CM'!$G$6,'Dynamic CM'!$G$6*(($F$6*(1+$Q133)/$F$6)^'Dynamic CM'!$H$6))
*VLOOKUP($D$6,EAD_Table[#All],MATCH("EAD",EAD_Table[#Headers],0),FALSE)
*$F$6*(1+$Q133))</f>
        <v>-139.55111156964566</v>
      </c>
    </row>
    <row r="134" spans="17:21" x14ac:dyDescent="0.2">
      <c r="Q134" s="64">
        <v>11.6</v>
      </c>
      <c r="R134" s="98" cm="1">
        <f t="array" ref="R134">($F$3*(1+$Q134)*'User Segmentation'!$I$49)
-Dynamic_Row_Table[[Fixed Cost]:[Fixed Cost]]
-(Dynamic_Row_Table[[Funding Rate]:[Funding Rate]]*Dynamic_Row_Table[[Tenure (in months)]:[Tenure (in months)]]*$F$3*(1+$Q134)/12)
-(IF($Q134&lt;0,'Dynamic CM'!$G$3,'Dynamic CM'!$G$3*(($F$3*(1+$Q134)/$F$3)^'Dynamic CM'!$H$3))
*VLOOKUP($D$3,EAD_Table[#All],MATCH("EAD",EAD_Table[#Headers],0),FALSE)
*$F$3*(1+$Q134))</f>
        <v>-2106.4666429823696</v>
      </c>
      <c r="S134" s="98" cm="1">
        <f t="array" ref="S134">($F$4*(1+$Q134)*'User Segmentation'!$I$49)
-Dynamic_Row_Table[[Fixed Cost]:[Fixed Cost]]
-(Dynamic_Row_Table[[Funding Rate]:[Funding Rate]]*Dynamic_Row_Table[[Tenure (in months)]:[Tenure (in months)]]*$F$4*(1+$Q134)/12)
-(IF($Q134&lt;0,'Dynamic CM'!$G$4,'Dynamic CM'!$G$4*(($F$4*(1+$Q134)/$F$4)^'Dynamic CM'!$H$4))
*VLOOKUP($D$4,EAD_Table[#All],MATCH("EAD",EAD_Table[#Headers],0),FALSE)
*$F$4*(1+$Q134))</f>
        <v>-201.50497589977695</v>
      </c>
      <c r="T134" s="98" cm="1">
        <f t="array" ref="T134">($F$5*(1+$Q134)*'User Segmentation'!$I$49)
-Dynamic_Row_Table[[Fixed Cost]:[Fixed Cost]]
-(Dynamic_Row_Table[[Funding Rate]:[Funding Rate]]*Dynamic_Row_Table[[Tenure (in months)]:[Tenure (in months)]]*$F$5*(1+$Q134)/12)
-(IF($Q134&lt;0,'Dynamic CM'!$G$5,'Dynamic CM'!$G$5*(($F$5*(1+$Q134)/$F$5)^'Dynamic CM'!$H$5))
*VLOOKUP($D$5,EAD_Table[#All],MATCH("EAD",EAD_Table[#Headers],0),FALSE)
*$F$5*(1+$Q134))</f>
        <v>-90.458590516003596</v>
      </c>
      <c r="U134" s="98" cm="1">
        <f t="array" ref="U134">($F$6*(1+$Q134)*'User Segmentation'!$I$49)
-Dynamic_Row_Table[[Fixed Cost]:[Fixed Cost]]
-(Dynamic_Row_Table[[Funding Rate]:[Funding Rate]]*Dynamic_Row_Table[[Tenure (in months)]:[Tenure (in months)]]*$F$6*(1+$Q134)/12)
-(IF($Q134&lt;0,'Dynamic CM'!$G$6,'Dynamic CM'!$G$6*(($F$6*(1+$Q134)/$F$6)^'Dynamic CM'!$H$6))
*VLOOKUP($D$6,EAD_Table[#All],MATCH("EAD",EAD_Table[#Headers],0),FALSE)
*$F$6*(1+$Q134))</f>
        <v>-142.73455419004284</v>
      </c>
    </row>
    <row r="135" spans="17:21" x14ac:dyDescent="0.2">
      <c r="Q135" s="64">
        <v>11.7</v>
      </c>
      <c r="R135" s="98" cm="1">
        <f t="array" ref="R135">($F$3*(1+$Q135)*'User Segmentation'!$I$49)
-Dynamic_Row_Table[[Fixed Cost]:[Fixed Cost]]
-(Dynamic_Row_Table[[Funding Rate]:[Funding Rate]]*Dynamic_Row_Table[[Tenure (in months)]:[Tenure (in months)]]*$F$3*(1+$Q135)/12)
-(IF($Q135&lt;0,'Dynamic CM'!$G$3,'Dynamic CM'!$G$3*(($F$3*(1+$Q135)/$F$3)^'Dynamic CM'!$H$3))
*VLOOKUP($D$3,EAD_Table[#All],MATCH("EAD",EAD_Table[#Headers],0),FALSE)
*$F$3*(1+$Q135))</f>
        <v>-2155.4935538712089</v>
      </c>
      <c r="S135" s="98" cm="1">
        <f t="array" ref="S135">($F$4*(1+$Q135)*'User Segmentation'!$I$49)
-Dynamic_Row_Table[[Fixed Cost]:[Fixed Cost]]
-(Dynamic_Row_Table[[Funding Rate]:[Funding Rate]]*Dynamic_Row_Table[[Tenure (in months)]:[Tenure (in months)]]*$F$4*(1+$Q135)/12)
-(IF($Q135&lt;0,'Dynamic CM'!$G$4,'Dynamic CM'!$G$4*(($F$4*(1+$Q135)/$F$4)^'Dynamic CM'!$H$4))
*VLOOKUP($D$4,EAD_Table[#All],MATCH("EAD",EAD_Table[#Headers],0),FALSE)
*$F$4*(1+$Q135))</f>
        <v>-206.1326006903987</v>
      </c>
      <c r="T135" s="98" cm="1">
        <f t="array" ref="T135">($F$5*(1+$Q135)*'User Segmentation'!$I$49)
-Dynamic_Row_Table[[Fixed Cost]:[Fixed Cost]]
-(Dynamic_Row_Table[[Funding Rate]:[Funding Rate]]*Dynamic_Row_Table[[Tenure (in months)]:[Tenure (in months)]]*$F$5*(1+$Q135)/12)
-(IF($Q135&lt;0,'Dynamic CM'!$G$5,'Dynamic CM'!$G$5*(($F$5*(1+$Q135)/$F$5)^'Dynamic CM'!$H$5))
*VLOOKUP($D$5,EAD_Table[#All],MATCH("EAD",EAD_Table[#Headers],0),FALSE)
*$F$5*(1+$Q135))</f>
        <v>-93.773539378824807</v>
      </c>
      <c r="U135" s="98" cm="1">
        <f t="array" ref="U135">($F$6*(1+$Q135)*'User Segmentation'!$I$49)
-Dynamic_Row_Table[[Fixed Cost]:[Fixed Cost]]
-(Dynamic_Row_Table[[Funding Rate]:[Funding Rate]]*Dynamic_Row_Table[[Tenure (in months)]:[Tenure (in months)]]*$F$6*(1+$Q135)/12)
-(IF($Q135&lt;0,'Dynamic CM'!$G$6,'Dynamic CM'!$G$6*(($F$6*(1+$Q135)/$F$6)^'Dynamic CM'!$H$6))
*VLOOKUP($D$6,EAD_Table[#All],MATCH("EAD",EAD_Table[#Headers],0),FALSE)
*$F$6*(1+$Q135))</f>
        <v>-145.9565473813297</v>
      </c>
    </row>
    <row r="136" spans="17:21" x14ac:dyDescent="0.2">
      <c r="Q136" s="64">
        <v>11.8</v>
      </c>
      <c r="R136" s="98" cm="1">
        <f t="array" ref="R136">($F$3*(1+$Q136)*'User Segmentation'!$I$49)
-Dynamic_Row_Table[[Fixed Cost]:[Fixed Cost]]
-(Dynamic_Row_Table[[Funding Rate]:[Funding Rate]]*Dynamic_Row_Table[[Tenure (in months)]:[Tenure (in months)]]*$F$3*(1+$Q136)/12)
-(IF($Q136&lt;0,'Dynamic CM'!$G$3,'Dynamic CM'!$G$3*(($F$3*(1+$Q136)/$F$3)^'Dynamic CM'!$H$3))
*VLOOKUP($D$3,EAD_Table[#All],MATCH("EAD",EAD_Table[#Headers],0),FALSE)
*$F$3*(1+$Q136))</f>
        <v>-2205.2588128373482</v>
      </c>
      <c r="S136" s="98" cm="1">
        <f t="array" ref="S136">($F$4*(1+$Q136)*'User Segmentation'!$I$49)
-Dynamic_Row_Table[[Fixed Cost]:[Fixed Cost]]
-(Dynamic_Row_Table[[Funding Rate]:[Funding Rate]]*Dynamic_Row_Table[[Tenure (in months)]:[Tenure (in months)]]*$F$4*(1+$Q136)/12)
-(IF($Q136&lt;0,'Dynamic CM'!$G$4,'Dynamic CM'!$G$4*(($F$4*(1+$Q136)/$F$4)^'Dynamic CM'!$H$4))
*VLOOKUP($D$4,EAD_Table[#All],MATCH("EAD",EAD_Table[#Headers],0),FALSE)
*$F$4*(1+$Q136))</f>
        <v>-210.81605239125059</v>
      </c>
      <c r="T136" s="98" cm="1">
        <f t="array" ref="T136">($F$5*(1+$Q136)*'User Segmentation'!$I$49)
-Dynamic_Row_Table[[Fixed Cost]:[Fixed Cost]]
-(Dynamic_Row_Table[[Funding Rate]:[Funding Rate]]*Dynamic_Row_Table[[Tenure (in months)]:[Tenure (in months)]]*$F$5*(1+$Q136)/12)
-(IF($Q136&lt;0,'Dynamic CM'!$G$5,'Dynamic CM'!$G$5*(($F$5*(1+$Q136)/$F$5)^'Dynamic CM'!$H$5))
*VLOOKUP($D$5,EAD_Table[#All],MATCH("EAD",EAD_Table[#Headers],0),FALSE)
*$F$5*(1+$Q136))</f>
        <v>-97.131238357958864</v>
      </c>
      <c r="U136" s="98" cm="1">
        <f t="array" ref="U136">($F$6*(1+$Q136)*'User Segmentation'!$I$49)
-Dynamic_Row_Table[[Fixed Cost]:[Fixed Cost]]
-(Dynamic_Row_Table[[Funding Rate]:[Funding Rate]]*Dynamic_Row_Table[[Tenure (in months)]:[Tenure (in months)]]*$F$6*(1+$Q136)/12)
-(IF($Q136&lt;0,'Dynamic CM'!$G$6,'Dynamic CM'!$G$6*(($F$6*(1+$Q136)/$F$6)^'Dynamic CM'!$H$6))
*VLOOKUP($D$6,EAD_Table[#All],MATCH("EAD",EAD_Table[#Headers],0),FALSE)
*$F$6*(1+$Q136))</f>
        <v>-149.21718878738699</v>
      </c>
    </row>
    <row r="137" spans="17:21" x14ac:dyDescent="0.2">
      <c r="Q137" s="64">
        <v>11.9</v>
      </c>
      <c r="R137" s="98" cm="1">
        <f t="array" ref="R137">($F$3*(1+$Q137)*'User Segmentation'!$I$49)
-Dynamic_Row_Table[[Fixed Cost]:[Fixed Cost]]
-(Dynamic_Row_Table[[Funding Rate]:[Funding Rate]]*Dynamic_Row_Table[[Tenure (in months)]:[Tenure (in months)]]*$F$3*(1+$Q137)/12)
-(IF($Q137&lt;0,'Dynamic CM'!$G$3,'Dynamic CM'!$G$3*(($F$3*(1+$Q137)/$F$3)^'Dynamic CM'!$H$3))
*VLOOKUP($D$3,EAD_Table[#All],MATCH("EAD",EAD_Table[#Headers],0),FALSE)
*$F$3*(1+$Q137))</f>
        <v>-2255.7675919026274</v>
      </c>
      <c r="S137" s="98" cm="1">
        <f t="array" ref="S137">($F$4*(1+$Q137)*'User Segmentation'!$I$49)
-Dynamic_Row_Table[[Fixed Cost]:[Fixed Cost]]
-(Dynamic_Row_Table[[Funding Rate]:[Funding Rate]]*Dynamic_Row_Table[[Tenure (in months)]:[Tenure (in months)]]*$F$4*(1+$Q137)/12)
-(IF($Q137&lt;0,'Dynamic CM'!$G$4,'Dynamic CM'!$G$4*(($F$4*(1+$Q137)/$F$4)^'Dynamic CM'!$H$4))
*VLOOKUP($D$4,EAD_Table[#All],MATCH("EAD",EAD_Table[#Headers],0),FALSE)
*$F$4*(1+$Q137))</f>
        <v>-215.55547129460737</v>
      </c>
      <c r="T137" s="98" cm="1">
        <f t="array" ref="T137">($F$5*(1+$Q137)*'User Segmentation'!$I$49)
-Dynamic_Row_Table[[Fixed Cost]:[Fixed Cost]]
-(Dynamic_Row_Table[[Funding Rate]:[Funding Rate]]*Dynamic_Row_Table[[Tenure (in months)]:[Tenure (in months)]]*$F$5*(1+$Q137)/12)
-(IF($Q137&lt;0,'Dynamic CM'!$G$5,'Dynamic CM'!$G$5*(($F$5*(1+$Q137)/$F$5)^'Dynamic CM'!$H$5))
*VLOOKUP($D$5,EAD_Table[#All],MATCH("EAD",EAD_Table[#Headers],0),FALSE)
*$F$5*(1+$Q137))</f>
        <v>-100.53171126633151</v>
      </c>
      <c r="U137" s="98" cm="1">
        <f t="array" ref="U137">($F$6*(1+$Q137)*'User Segmentation'!$I$49)
-Dynamic_Row_Table[[Fixed Cost]:[Fixed Cost]]
-(Dynamic_Row_Table[[Funding Rate]:[Funding Rate]]*Dynamic_Row_Table[[Tenure (in months)]:[Tenure (in months)]]*$F$6*(1+$Q137)/12)
-(IF($Q137&lt;0,'Dynamic CM'!$G$6,'Dynamic CM'!$G$6*(($F$6*(1+$Q137)/$F$6)^'Dynamic CM'!$H$6))
*VLOOKUP($D$6,EAD_Table[#All],MATCH("EAD",EAD_Table[#Headers],0),FALSE)
*$F$6*(1+$Q137))</f>
        <v>-152.51657553065894</v>
      </c>
    </row>
    <row r="138" spans="17:21" x14ac:dyDescent="0.2">
      <c r="Q138" s="64">
        <v>12</v>
      </c>
      <c r="R138" s="98" cm="1">
        <f t="array" ref="R138">($F$3*(1+$Q138)*'User Segmentation'!$I$49)
-Dynamic_Row_Table[[Fixed Cost]:[Fixed Cost]]
-(Dynamic_Row_Table[[Funding Rate]:[Funding Rate]]*Dynamic_Row_Table[[Tenure (in months)]:[Tenure (in months)]]*$F$3*(1+$Q138)/12)
-(IF($Q138&lt;0,'Dynamic CM'!$G$3,'Dynamic CM'!$G$3*(($F$3*(1+$Q138)/$F$3)^'Dynamic CM'!$H$3))
*VLOOKUP($D$3,EAD_Table[#All],MATCH("EAD",EAD_Table[#Headers],0),FALSE)
*$F$3*(1+$Q138))</f>
        <v>-2307.0250586459961</v>
      </c>
      <c r="S138" s="98" cm="1">
        <f t="array" ref="S138">($F$4*(1+$Q138)*'User Segmentation'!$I$49)
-Dynamic_Row_Table[[Fixed Cost]:[Fixed Cost]]
-(Dynamic_Row_Table[[Funding Rate]:[Funding Rate]]*Dynamic_Row_Table[[Tenure (in months)]:[Tenure (in months)]]*$F$4*(1+$Q138)/12)
-(IF($Q138&lt;0,'Dynamic CM'!$G$4,'Dynamic CM'!$G$4*(($F$4*(1+$Q138)/$F$4)^'Dynamic CM'!$H$4))
*VLOOKUP($D$4,EAD_Table[#All],MATCH("EAD",EAD_Table[#Headers],0),FALSE)
*$F$4*(1+$Q138))</f>
        <v>-220.35099694939504</v>
      </c>
      <c r="T138" s="98" cm="1">
        <f t="array" ref="T138">($F$5*(1+$Q138)*'User Segmentation'!$I$49)
-Dynamic_Row_Table[[Fixed Cost]:[Fixed Cost]]
-(Dynamic_Row_Table[[Funding Rate]:[Funding Rate]]*Dynamic_Row_Table[[Tenure (in months)]:[Tenure (in months)]]*$F$5*(1+$Q138)/12)
-(IF($Q138&lt;0,'Dynamic CM'!$G$5,'Dynamic CM'!$G$5*(($F$5*(1+$Q138)/$F$5)^'Dynamic CM'!$H$5))
*VLOOKUP($D$5,EAD_Table[#All],MATCH("EAD",EAD_Table[#Headers],0),FALSE)
*$F$5*(1+$Q138))</f>
        <v>-103.97498174465846</v>
      </c>
      <c r="U138" s="98" cm="1">
        <f t="array" ref="U138">($F$6*(1+$Q138)*'User Segmentation'!$I$49)
-Dynamic_Row_Table[[Fixed Cost]:[Fixed Cost]]
-(Dynamic_Row_Table[[Funding Rate]:[Funding Rate]]*Dynamic_Row_Table[[Tenure (in months)]:[Tenure (in months)]]*$F$6*(1+$Q138)/12)
-(IF($Q138&lt;0,'Dynamic CM'!$G$6,'Dynamic CM'!$G$6*(($F$6*(1+$Q138)/$F$6)^'Dynamic CM'!$H$6))
*VLOOKUP($D$6,EAD_Table[#All],MATCH("EAD",EAD_Table[#Headers],0),FALSE)
*$F$6*(1+$Q138))</f>
        <v>-155.85480421897904</v>
      </c>
    </row>
    <row r="139" spans="17:21" x14ac:dyDescent="0.2">
      <c r="Q139" s="64">
        <v>12.1</v>
      </c>
      <c r="R139" s="98" cm="1">
        <f t="array" ref="R139">($F$3*(1+$Q139)*'User Segmentation'!$I$49)
-Dynamic_Row_Table[[Fixed Cost]:[Fixed Cost]]
-(Dynamic_Row_Table[[Funding Rate]:[Funding Rate]]*Dynamic_Row_Table[[Tenure (in months)]:[Tenure (in months)]]*$F$3*(1+$Q139)/12)
-(IF($Q139&lt;0,'Dynamic CM'!$G$3,'Dynamic CM'!$G$3*(($F$3*(1+$Q139)/$F$3)^'Dynamic CM'!$H$3))
*VLOOKUP($D$3,EAD_Table[#All],MATCH("EAD",EAD_Table[#Headers],0),FALSE)
*$F$3*(1+$Q139))</f>
        <v>-2359.0363762417192</v>
      </c>
      <c r="S139" s="98" cm="1">
        <f t="array" ref="S139">($F$4*(1+$Q139)*'User Segmentation'!$I$49)
-Dynamic_Row_Table[[Fixed Cost]:[Fixed Cost]]
-(Dynamic_Row_Table[[Funding Rate]:[Funding Rate]]*Dynamic_Row_Table[[Tenure (in months)]:[Tenure (in months)]]*$F$4*(1+$Q139)/12)
-(IF($Q139&lt;0,'Dynamic CM'!$G$4,'Dynamic CM'!$G$4*(($F$4*(1+$Q139)/$F$4)^'Dynamic CM'!$H$4))
*VLOOKUP($D$4,EAD_Table[#All],MATCH("EAD",EAD_Table[#Headers],0),FALSE)
*$F$4*(1+$Q139))</f>
        <v>-225.20276817084522</v>
      </c>
      <c r="T139" s="98" cm="1">
        <f t="array" ref="T139">($F$5*(1+$Q139)*'User Segmentation'!$I$49)
-Dynamic_Row_Table[[Fixed Cost]:[Fixed Cost]]
-(Dynamic_Row_Table[[Funding Rate]:[Funding Rate]]*Dynamic_Row_Table[[Tenure (in months)]:[Tenure (in months)]]*$F$5*(1+$Q139)/12)
-(IF($Q139&lt;0,'Dynamic CM'!$G$5,'Dynamic CM'!$G$5*(($F$5*(1+$Q139)/$F$5)^'Dynamic CM'!$H$5))
*VLOOKUP($D$5,EAD_Table[#All],MATCH("EAD",EAD_Table[#Headers],0),FALSE)
*$F$5*(1+$Q139))</f>
        <v>-107.46107326401122</v>
      </c>
      <c r="U139" s="98" cm="1">
        <f t="array" ref="U139">($F$6*(1+$Q139)*'User Segmentation'!$I$49)
-Dynamic_Row_Table[[Fixed Cost]:[Fixed Cost]]
-(Dynamic_Row_Table[[Funding Rate]:[Funding Rate]]*Dynamic_Row_Table[[Tenure (in months)]:[Tenure (in months)]]*$F$6*(1+$Q139)/12)
-(IF($Q139&lt;0,'Dynamic CM'!$G$6,'Dynamic CM'!$G$6*(($F$6*(1+$Q139)/$F$6)^'Dynamic CM'!$H$6))
*VLOOKUP($D$6,EAD_Table[#All],MATCH("EAD",EAD_Table[#Headers],0),FALSE)
*$F$6*(1+$Q139))</f>
        <v>-159.23197095225464</v>
      </c>
    </row>
    <row r="140" spans="17:21" x14ac:dyDescent="0.2">
      <c r="Q140" s="64">
        <v>12.2</v>
      </c>
      <c r="R140" s="98" cm="1">
        <f t="array" ref="R140">($F$3*(1+$Q140)*'User Segmentation'!$I$49)
-Dynamic_Row_Table[[Fixed Cost]:[Fixed Cost]]
-(Dynamic_Row_Table[[Funding Rate]:[Funding Rate]]*Dynamic_Row_Table[[Tenure (in months)]:[Tenure (in months)]]*$F$3*(1+$Q140)/12)
-(IF($Q140&lt;0,'Dynamic CM'!$G$3,'Dynamic CM'!$G$3*(($F$3*(1+$Q140)/$F$3)^'Dynamic CM'!$H$3))
*VLOOKUP($D$3,EAD_Table[#All],MATCH("EAD",EAD_Table[#Headers],0),FALSE)
*$F$3*(1+$Q140))</f>
        <v>-2411.8067034969868</v>
      </c>
      <c r="S140" s="98" cm="1">
        <f t="array" ref="S140">($F$4*(1+$Q140)*'User Segmentation'!$I$49)
-Dynamic_Row_Table[[Fixed Cost]:[Fixed Cost]]
-(Dynamic_Row_Table[[Funding Rate]:[Funding Rate]]*Dynamic_Row_Table[[Tenure (in months)]:[Tenure (in months)]]*$F$4*(1+$Q140)/12)
-(IF($Q140&lt;0,'Dynamic CM'!$G$4,'Dynamic CM'!$G$4*(($F$4*(1+$Q140)/$F$4)^'Dynamic CM'!$H$4))
*VLOOKUP($D$4,EAD_Table[#All],MATCH("EAD",EAD_Table[#Headers],0),FALSE)
*$F$4*(1+$Q140))</f>
        <v>-230.11092304995435</v>
      </c>
      <c r="T140" s="98" cm="1">
        <f t="array" ref="T140">($F$5*(1+$Q140)*'User Segmentation'!$I$49)
-Dynamic_Row_Table[[Fixed Cost]:[Fixed Cost]]
-(Dynamic_Row_Table[[Funding Rate]:[Funding Rate]]*Dynamic_Row_Table[[Tenure (in months)]:[Tenure (in months)]]*$F$5*(1+$Q140)/12)
-(IF($Q140&lt;0,'Dynamic CM'!$G$5,'Dynamic CM'!$G$5*(($F$5*(1+$Q140)/$F$5)^'Dynamic CM'!$H$5))
*VLOOKUP($D$5,EAD_Table[#All],MATCH("EAD",EAD_Table[#Headers],0),FALSE)
*$F$5*(1+$Q140))</f>
        <v>-110.99000912832622</v>
      </c>
      <c r="U140" s="98" cm="1">
        <f t="array" ref="U140">($F$6*(1+$Q140)*'User Segmentation'!$I$49)
-Dynamic_Row_Table[[Fixed Cost]:[Fixed Cost]]
-(Dynamic_Row_Table[[Funding Rate]:[Funding Rate]]*Dynamic_Row_Table[[Tenure (in months)]:[Tenure (in months)]]*$F$6*(1+$Q140)/12)
-(IF($Q140&lt;0,'Dynamic CM'!$G$6,'Dynamic CM'!$G$6*(($F$6*(1+$Q140)/$F$6)^'Dynamic CM'!$H$6))
*VLOOKUP($D$6,EAD_Table[#All],MATCH("EAD",EAD_Table[#Headers],0),FALSE)
*$F$6*(1+$Q140))</f>
        <v>-162.64817132901445</v>
      </c>
    </row>
    <row r="141" spans="17:21" x14ac:dyDescent="0.2">
      <c r="Q141" s="64">
        <v>12.3</v>
      </c>
      <c r="R141" s="98" cm="1">
        <f t="array" ref="R141">($F$3*(1+$Q141)*'User Segmentation'!$I$49)
-Dynamic_Row_Table[[Fixed Cost]:[Fixed Cost]]
-(Dynamic_Row_Table[[Funding Rate]:[Funding Rate]]*Dynamic_Row_Table[[Tenure (in months)]:[Tenure (in months)]]*$F$3*(1+$Q141)/12)
-(IF($Q141&lt;0,'Dynamic CM'!$G$3,'Dynamic CM'!$G$3*(($F$3*(1+$Q141)/$F$3)^'Dynamic CM'!$H$3))
*VLOOKUP($D$3,EAD_Table[#All],MATCH("EAD",EAD_Table[#Headers],0),FALSE)
*$F$3*(1+$Q141))</f>
        <v>-2465.3411948888829</v>
      </c>
      <c r="S141" s="98" cm="1">
        <f t="array" ref="S141">($F$4*(1+$Q141)*'User Segmentation'!$I$49)
-Dynamic_Row_Table[[Fixed Cost]:[Fixed Cost]]
-(Dynamic_Row_Table[[Funding Rate]:[Funding Rate]]*Dynamic_Row_Table[[Tenure (in months)]:[Tenure (in months)]]*$F$4*(1+$Q141)/12)
-(IF($Q141&lt;0,'Dynamic CM'!$G$4,'Dynamic CM'!$G$4*(($F$4*(1+$Q141)/$F$4)^'Dynamic CM'!$H$4))
*VLOOKUP($D$4,EAD_Table[#All],MATCH("EAD",EAD_Table[#Headers],0),FALSE)
*$F$4*(1+$Q141))</f>
        <v>-235.07559896274645</v>
      </c>
      <c r="T141" s="98" cm="1">
        <f t="array" ref="T141">($F$5*(1+$Q141)*'User Segmentation'!$I$49)
-Dynamic_Row_Table[[Fixed Cost]:[Fixed Cost]]
-(Dynamic_Row_Table[[Funding Rate]:[Funding Rate]]*Dynamic_Row_Table[[Tenure (in months)]:[Tenure (in months)]]*$F$5*(1+$Q141)/12)
-(IF($Q141&lt;0,'Dynamic CM'!$G$5,'Dynamic CM'!$G$5*(($F$5*(1+$Q141)/$F$5)^'Dynamic CM'!$H$5))
*VLOOKUP($D$5,EAD_Table[#All],MATCH("EAD",EAD_Table[#Headers],0),FALSE)
*$F$5*(1+$Q141))</f>
        <v>-114.5618124768564</v>
      </c>
      <c r="U141" s="98" cm="1">
        <f t="array" ref="U141">($F$6*(1+$Q141)*'User Segmentation'!$I$49)
-Dynamic_Row_Table[[Fixed Cost]:[Fixed Cost]]
-(Dynamic_Row_Table[[Funding Rate]:[Funding Rate]]*Dynamic_Row_Table[[Tenure (in months)]:[Tenure (in months)]]*$F$6*(1+$Q141)/12)
-(IF($Q141&lt;0,'Dynamic CM'!$G$6,'Dynamic CM'!$G$6*(($F$6*(1+$Q141)/$F$6)^'Dynamic CM'!$H$6))
*VLOOKUP($D$6,EAD_Table[#All],MATCH("EAD",EAD_Table[#Headers],0),FALSE)
*$F$6*(1+$Q141))</f>
        <v>-166.10350045282155</v>
      </c>
    </row>
    <row r="142" spans="17:21" x14ac:dyDescent="0.2">
      <c r="Q142" s="64">
        <v>12.4</v>
      </c>
      <c r="R142" s="98" cm="1">
        <f t="array" ref="R142">($F$3*(1+$Q142)*'User Segmentation'!$I$49)
-Dynamic_Row_Table[[Fixed Cost]:[Fixed Cost]]
-(Dynamic_Row_Table[[Funding Rate]:[Funding Rate]]*Dynamic_Row_Table[[Tenure (in months)]:[Tenure (in months)]]*$F$3*(1+$Q142)/12)
-(IF($Q142&lt;0,'Dynamic CM'!$G$3,'Dynamic CM'!$G$3*(($F$3*(1+$Q142)/$F$3)^'Dynamic CM'!$H$3))
*VLOOKUP($D$3,EAD_Table[#All],MATCH("EAD",EAD_Table[#Headers],0),FALSE)
*$F$3*(1+$Q142))</f>
        <v>-2519.6450006007976</v>
      </c>
      <c r="S142" s="98" cm="1">
        <f t="array" ref="S142">($F$4*(1+$Q142)*'User Segmentation'!$I$49)
-Dynamic_Row_Table[[Fixed Cost]:[Fixed Cost]]
-(Dynamic_Row_Table[[Funding Rate]:[Funding Rate]]*Dynamic_Row_Table[[Tenure (in months)]:[Tenure (in months)]]*$F$4*(1+$Q142)/12)
-(IF($Q142&lt;0,'Dynamic CM'!$G$4,'Dynamic CM'!$G$4*(($F$4*(1+$Q142)/$F$4)^'Dynamic CM'!$H$4))
*VLOOKUP($D$4,EAD_Table[#All],MATCH("EAD",EAD_Table[#Headers],0),FALSE)
*$F$4*(1+$Q142))</f>
        <v>-240.09693257934981</v>
      </c>
      <c r="T142" s="98" cm="1">
        <f t="array" ref="T142">($F$5*(1+$Q142)*'User Segmentation'!$I$49)
-Dynamic_Row_Table[[Fixed Cost]:[Fixed Cost]]
-(Dynamic_Row_Table[[Funding Rate]:[Funding Rate]]*Dynamic_Row_Table[[Tenure (in months)]:[Tenure (in months)]]*$F$5*(1+$Q142)/12)
-(IF($Q142&lt;0,'Dynamic CM'!$G$5,'Dynamic CM'!$G$5*(($F$5*(1+$Q142)/$F$5)^'Dynamic CM'!$H$5))
*VLOOKUP($D$5,EAD_Table[#All],MATCH("EAD",EAD_Table[#Headers],0),FALSE)
*$F$5*(1+$Q142))</f>
        <v>-118.17650628656958</v>
      </c>
      <c r="U142" s="98" cm="1">
        <f t="array" ref="U142">($F$6*(1+$Q142)*'User Segmentation'!$I$49)
-Dynamic_Row_Table[[Fixed Cost]:[Fixed Cost]]
-(Dynamic_Row_Table[[Funding Rate]:[Funding Rate]]*Dynamic_Row_Table[[Tenure (in months)]:[Tenure (in months)]]*$F$6*(1+$Q142)/12)
-(IF($Q142&lt;0,'Dynamic CM'!$G$6,'Dynamic CM'!$G$6*(($F$6*(1+$Q142)/$F$6)^'Dynamic CM'!$H$6))
*VLOOKUP($D$6,EAD_Table[#All],MATCH("EAD",EAD_Table[#Headers],0),FALSE)
*$F$6*(1+$Q142))</f>
        <v>-169.59805293855703</v>
      </c>
    </row>
    <row r="143" spans="17:21" x14ac:dyDescent="0.2">
      <c r="Q143" s="64">
        <v>12.5</v>
      </c>
      <c r="R143" s="98" cm="1">
        <f t="array" ref="R143">($F$3*(1+$Q143)*'User Segmentation'!$I$49)
-Dynamic_Row_Table[[Fixed Cost]:[Fixed Cost]]
-(Dynamic_Row_Table[[Funding Rate]:[Funding Rate]]*Dynamic_Row_Table[[Tenure (in months)]:[Tenure (in months)]]*$F$3*(1+$Q143)/12)
-(IF($Q143&lt;0,'Dynamic CM'!$G$3,'Dynamic CM'!$G$3*(($F$3*(1+$Q143)/$F$3)^'Dynamic CM'!$H$3))
*VLOOKUP($D$3,EAD_Table[#All],MATCH("EAD",EAD_Table[#Headers],0),FALSE)
*$F$3*(1+$Q143))</f>
        <v>-2574.723266558246</v>
      </c>
      <c r="S143" s="98" cm="1">
        <f t="array" ref="S143">($F$4*(1+$Q143)*'User Segmentation'!$I$49)
-Dynamic_Row_Table[[Fixed Cost]:[Fixed Cost]]
-(Dynamic_Row_Table[[Funding Rate]:[Funding Rate]]*Dynamic_Row_Table[[Tenure (in months)]:[Tenure (in months)]]*$F$4*(1+$Q143)/12)
-(IF($Q143&lt;0,'Dynamic CM'!$G$4,'Dynamic CM'!$G$4*(($F$4*(1+$Q143)/$F$4)^'Dynamic CM'!$H$4))
*VLOOKUP($D$4,EAD_Table[#All],MATCH("EAD",EAD_Table[#Headers],0),FALSE)
*$F$4*(1+$Q143))</f>
        <v>-245.17505987289252</v>
      </c>
      <c r="T143" s="98" cm="1">
        <f t="array" ref="T143">($F$5*(1+$Q143)*'User Segmentation'!$I$49)
-Dynamic_Row_Table[[Fixed Cost]:[Fixed Cost]]
-(Dynamic_Row_Table[[Funding Rate]:[Funding Rate]]*Dynamic_Row_Table[[Tenure (in months)]:[Tenure (in months)]]*$F$5*(1+$Q143)/12)
-(IF($Q143&lt;0,'Dynamic CM'!$G$5,'Dynamic CM'!$G$5*(($F$5*(1+$Q143)/$F$5)^'Dynamic CM'!$H$5))
*VLOOKUP($D$5,EAD_Table[#All],MATCH("EAD",EAD_Table[#Headers],0),FALSE)
*$F$5*(1+$Q143))</f>
        <v>-121.83411337449508</v>
      </c>
      <c r="U143" s="98" cm="1">
        <f t="array" ref="U143">($F$6*(1+$Q143)*'User Segmentation'!$I$49)
-Dynamic_Row_Table[[Fixed Cost]:[Fixed Cost]]
-(Dynamic_Row_Table[[Funding Rate]:[Funding Rate]]*Dynamic_Row_Table[[Tenure (in months)]:[Tenure (in months)]]*$F$6*(1+$Q143)/12)
-(IF($Q143&lt;0,'Dynamic CM'!$G$6,'Dynamic CM'!$G$6*(($F$6*(1+$Q143)/$F$6)^'Dynamic CM'!$H$6))
*VLOOKUP($D$6,EAD_Table[#All],MATCH("EAD",EAD_Table[#Headers],0),FALSE)
*$F$6*(1+$Q143))</f>
        <v>-173.13192291857811</v>
      </c>
    </row>
    <row r="144" spans="17:21" x14ac:dyDescent="0.2">
      <c r="Q144" s="64">
        <v>12.6</v>
      </c>
      <c r="R144" s="98" cm="1">
        <f t="array" ref="R144">($F$3*(1+$Q144)*'User Segmentation'!$I$49)
-Dynamic_Row_Table[[Fixed Cost]:[Fixed Cost]]
-(Dynamic_Row_Table[[Funding Rate]:[Funding Rate]]*Dynamic_Row_Table[[Tenure (in months)]:[Tenure (in months)]]*$F$3*(1+$Q144)/12)
-(IF($Q144&lt;0,'Dynamic CM'!$G$3,'Dynamic CM'!$G$3*(($F$3*(1+$Q144)/$F$3)^'Dynamic CM'!$H$3))
*VLOOKUP($D$3,EAD_Table[#All],MATCH("EAD",EAD_Table[#Headers],0),FALSE)
*$F$3*(1+$Q144))</f>
        <v>-2630.5811344641243</v>
      </c>
      <c r="S144" s="98" cm="1">
        <f t="array" ref="S144">($F$4*(1+$Q144)*'User Segmentation'!$I$49)
-Dynamic_Row_Table[[Fixed Cost]:[Fixed Cost]]
-(Dynamic_Row_Table[[Funding Rate]:[Funding Rate]]*Dynamic_Row_Table[[Tenure (in months)]:[Tenure (in months)]]*$F$4*(1+$Q144)/12)
-(IF($Q144&lt;0,'Dynamic CM'!$G$4,'Dynamic CM'!$G$4*(($F$4*(1+$Q144)/$F$4)^'Dynamic CM'!$H$4))
*VLOOKUP($D$4,EAD_Table[#All],MATCH("EAD",EAD_Table[#Headers],0),FALSE)
*$F$4*(1+$Q144))</f>
        <v>-250.31011612821777</v>
      </c>
      <c r="T144" s="98" cm="1">
        <f t="array" ref="T144">($F$5*(1+$Q144)*'User Segmentation'!$I$49)
-Dynamic_Row_Table[[Fixed Cost]:[Fixed Cost]]
-(Dynamic_Row_Table[[Funding Rate]:[Funding Rate]]*Dynamic_Row_Table[[Tenure (in months)]:[Tenure (in months)]]*$F$5*(1+$Q144)/12)
-(IF($Q144&lt;0,'Dynamic CM'!$G$5,'Dynamic CM'!$G$5*(($F$5*(1+$Q144)/$F$5)^'Dynamic CM'!$H$5))
*VLOOKUP($D$5,EAD_Table[#All],MATCH("EAD",EAD_Table[#Headers],0),FALSE)
*$F$5*(1+$Q144))</f>
        <v>-125.53465640001755</v>
      </c>
      <c r="U144" s="98" cm="1">
        <f t="array" ref="U144">($F$6*(1+$Q144)*'User Segmentation'!$I$49)
-Dynamic_Row_Table[[Fixed Cost]:[Fixed Cost]]
-(Dynamic_Row_Table[[Funding Rate]:[Funding Rate]]*Dynamic_Row_Table[[Tenure (in months)]:[Tenure (in months)]]*$F$6*(1+$Q144)/12)
-(IF($Q144&lt;0,'Dynamic CM'!$G$6,'Dynamic CM'!$G$6*(($F$6*(1+$Q144)/$F$6)^'Dynamic CM'!$H$6))
*VLOOKUP($D$6,EAD_Table[#All],MATCH("EAD",EAD_Table[#Headers],0),FALSE)
*$F$6*(1+$Q144))</f>
        <v>-176.7052040487518</v>
      </c>
    </row>
    <row r="145" spans="17:21" x14ac:dyDescent="0.2">
      <c r="Q145" s="64">
        <v>12.7</v>
      </c>
      <c r="R145" s="98" cm="1">
        <f t="array" ref="R145">($F$3*(1+$Q145)*'User Segmentation'!$I$49)
-Dynamic_Row_Table[[Fixed Cost]:[Fixed Cost]]
-(Dynamic_Row_Table[[Funding Rate]:[Funding Rate]]*Dynamic_Row_Table[[Tenure (in months)]:[Tenure (in months)]]*$F$3*(1+$Q145)/12)
-(IF($Q145&lt;0,'Dynamic CM'!$G$3,'Dynamic CM'!$G$3*(($F$3*(1+$Q145)/$F$3)^'Dynamic CM'!$H$3))
*VLOOKUP($D$3,EAD_Table[#All],MATCH("EAD",EAD_Table[#Headers],0),FALSE)
*$F$3*(1+$Q145))</f>
        <v>-2687.2237418334144</v>
      </c>
      <c r="S145" s="98" cm="1">
        <f t="array" ref="S145">($F$4*(1+$Q145)*'User Segmentation'!$I$49)
-Dynamic_Row_Table[[Fixed Cost]:[Fixed Cost]]
-(Dynamic_Row_Table[[Funding Rate]:[Funding Rate]]*Dynamic_Row_Table[[Tenure (in months)]:[Tenure (in months)]]*$F$4*(1+$Q145)/12)
-(IF($Q145&lt;0,'Dynamic CM'!$G$4,'Dynamic CM'!$G$4*(($F$4*(1+$Q145)/$F$4)^'Dynamic CM'!$H$4))
*VLOOKUP($D$4,EAD_Table[#All],MATCH("EAD",EAD_Table[#Headers],0),FALSE)
*$F$4*(1+$Q145))</f>
        <v>-255.50223595042866</v>
      </c>
      <c r="T145" s="98" cm="1">
        <f t="array" ref="T145">($F$5*(1+$Q145)*'User Segmentation'!$I$49)
-Dynamic_Row_Table[[Fixed Cost]:[Fixed Cost]]
-(Dynamic_Row_Table[[Funding Rate]:[Funding Rate]]*Dynamic_Row_Table[[Tenure (in months)]:[Tenure (in months)]]*$F$5*(1+$Q145)/12)
-(IF($Q145&lt;0,'Dynamic CM'!$G$5,'Dynamic CM'!$G$5*(($F$5*(1+$Q145)/$F$5)^'Dynamic CM'!$H$5))
*VLOOKUP($D$5,EAD_Table[#All],MATCH("EAD",EAD_Table[#Headers],0),FALSE)
*$F$5*(1+$Q145))</f>
        <v>-129.27815786712165</v>
      </c>
      <c r="U145" s="98" cm="1">
        <f t="array" ref="U145">($F$6*(1+$Q145)*'User Segmentation'!$I$49)
-Dynamic_Row_Table[[Fixed Cost]:[Fixed Cost]]
-(Dynamic_Row_Table[[Funding Rate]:[Funding Rate]]*Dynamic_Row_Table[[Tenure (in months)]:[Tenure (in months)]]*$F$6*(1+$Q145)/12)
-(IF($Q145&lt;0,'Dynamic CM'!$G$6,'Dynamic CM'!$G$6*(($F$6*(1+$Q145)/$F$6)^'Dynamic CM'!$H$6))
*VLOOKUP($D$6,EAD_Table[#All],MATCH("EAD",EAD_Table[#Headers],0),FALSE)
*$F$6*(1+$Q145))</f>
        <v>-180.31798951437</v>
      </c>
    </row>
    <row r="146" spans="17:21" x14ac:dyDescent="0.2">
      <c r="Q146" s="64">
        <v>12.8</v>
      </c>
      <c r="R146" s="98" cm="1">
        <f t="array" ref="R146">($F$3*(1+$Q146)*'User Segmentation'!$I$49)
-Dynamic_Row_Table[[Fixed Cost]:[Fixed Cost]]
-(Dynamic_Row_Table[[Funding Rate]:[Funding Rate]]*Dynamic_Row_Table[[Tenure (in months)]:[Tenure (in months)]]*$F$3*(1+$Q146)/12)
-(IF($Q146&lt;0,'Dynamic CM'!$G$3,'Dynamic CM'!$G$3*(($F$3*(1+$Q146)/$F$3)^'Dynamic CM'!$H$3))
*VLOOKUP($D$3,EAD_Table[#All],MATCH("EAD",EAD_Table[#Headers],0),FALSE)
*$F$3*(1+$Q146))</f>
        <v>-2744.6562220273599</v>
      </c>
      <c r="S146" s="98" cm="1">
        <f t="array" ref="S146">($F$4*(1+$Q146)*'User Segmentation'!$I$49)
-Dynamic_Row_Table[[Fixed Cost]:[Fixed Cost]]
-(Dynamic_Row_Table[[Funding Rate]:[Funding Rate]]*Dynamic_Row_Table[[Tenure (in months)]:[Tenure (in months)]]*$F$4*(1+$Q146)/12)
-(IF($Q146&lt;0,'Dynamic CM'!$G$4,'Dynamic CM'!$G$4*(($F$4*(1+$Q146)/$F$4)^'Dynamic CM'!$H$4))
*VLOOKUP($D$4,EAD_Table[#All],MATCH("EAD",EAD_Table[#Headers],0),FALSE)
*$F$4*(1+$Q146))</f>
        <v>-260.75155327326468</v>
      </c>
      <c r="T146" s="98" cm="1">
        <f t="array" ref="T146">($F$5*(1+$Q146)*'User Segmentation'!$I$49)
-Dynamic_Row_Table[[Fixed Cost]:[Fixed Cost]]
-(Dynamic_Row_Table[[Funding Rate]:[Funding Rate]]*Dynamic_Row_Table[[Tenure (in months)]:[Tenure (in months)]]*$F$5*(1+$Q146)/12)
-(IF($Q146&lt;0,'Dynamic CM'!$G$5,'Dynamic CM'!$G$5*(($F$5*(1+$Q146)/$F$5)^'Dynamic CM'!$H$5))
*VLOOKUP($D$5,EAD_Table[#All],MATCH("EAD",EAD_Table[#Headers],0),FALSE)
*$F$5*(1+$Q146))</f>
        <v>-133.06464012658944</v>
      </c>
      <c r="U146" s="98" cm="1">
        <f t="array" ref="U146">($F$6*(1+$Q146)*'User Segmentation'!$I$49)
-Dynamic_Row_Table[[Fixed Cost]:[Fixed Cost]]
-(Dynamic_Row_Table[[Funding Rate]:[Funding Rate]]*Dynamic_Row_Table[[Tenure (in months)]:[Tenure (in months)]]*$F$6*(1+$Q146)/12)
-(IF($Q146&lt;0,'Dynamic CM'!$G$6,'Dynamic CM'!$G$6*(($F$6*(1+$Q146)/$F$6)^'Dynamic CM'!$H$6))
*VLOOKUP($D$6,EAD_Table[#All],MATCH("EAD",EAD_Table[#Headers],0),FALSE)
*$F$6*(1+$Q146))</f>
        <v>-183.97037203594891</v>
      </c>
    </row>
    <row r="147" spans="17:21" x14ac:dyDescent="0.2">
      <c r="Q147" s="64">
        <v>12.9</v>
      </c>
      <c r="R147" s="98" cm="1">
        <f t="array" ref="R147">($F$3*(1+$Q147)*'User Segmentation'!$I$49)
-Dynamic_Row_Table[[Fixed Cost]:[Fixed Cost]]
-(Dynamic_Row_Table[[Funding Rate]:[Funding Rate]]*Dynamic_Row_Table[[Tenure (in months)]:[Tenure (in months)]]*$F$3*(1+$Q147)/12)
-(IF($Q147&lt;0,'Dynamic CM'!$G$3,'Dynamic CM'!$G$3*(($F$3*(1+$Q147)/$F$3)^'Dynamic CM'!$H$3))
*VLOOKUP($D$3,EAD_Table[#All],MATCH("EAD",EAD_Table[#Headers],0),FALSE)
*$F$3*(1+$Q147))</f>
        <v>-2802.8837042870941</v>
      </c>
      <c r="S147" s="98" cm="1">
        <f t="array" ref="S147">($F$4*(1+$Q147)*'User Segmentation'!$I$49)
-Dynamic_Row_Table[[Fixed Cost]:[Fixed Cost]]
-(Dynamic_Row_Table[[Funding Rate]:[Funding Rate]]*Dynamic_Row_Table[[Tenure (in months)]:[Tenure (in months)]]*$F$4*(1+$Q147)/12)
-(IF($Q147&lt;0,'Dynamic CM'!$G$4,'Dynamic CM'!$G$4*(($F$4*(1+$Q147)/$F$4)^'Dynamic CM'!$H$4))
*VLOOKUP($D$4,EAD_Table[#All],MATCH("EAD",EAD_Table[#Headers],0),FALSE)
*$F$4*(1+$Q147))</f>
        <v>-266.05820136731347</v>
      </c>
      <c r="T147" s="98" cm="1">
        <f t="array" ref="T147">($F$5*(1+$Q147)*'User Segmentation'!$I$49)
-Dynamic_Row_Table[[Fixed Cost]:[Fixed Cost]]
-(Dynamic_Row_Table[[Funding Rate]:[Funding Rate]]*Dynamic_Row_Table[[Tenure (in months)]:[Tenure (in months)]]*$F$5*(1+$Q147)/12)
-(IF($Q147&lt;0,'Dynamic CM'!$G$5,'Dynamic CM'!$G$5*(($F$5*(1+$Q147)/$F$5)^'Dynamic CM'!$H$5))
*VLOOKUP($D$5,EAD_Table[#All],MATCH("EAD",EAD_Table[#Headers],0),FALSE)
*$F$5*(1+$Q147))</f>
        <v>-136.89412537814997</v>
      </c>
      <c r="U147" s="98" cm="1">
        <f t="array" ref="U147">($F$6*(1+$Q147)*'User Segmentation'!$I$49)
-Dynamic_Row_Table[[Fixed Cost]:[Fixed Cost]]
-(Dynamic_Row_Table[[Funding Rate]:[Funding Rate]]*Dynamic_Row_Table[[Tenure (in months)]:[Tenure (in months)]]*$F$6*(1+$Q147)/12)
-(IF($Q147&lt;0,'Dynamic CM'!$G$6,'Dynamic CM'!$G$6*(($F$6*(1+$Q147)/$F$6)^'Dynamic CM'!$H$6))
*VLOOKUP($D$6,EAD_Table[#All],MATCH("EAD",EAD_Table[#Headers],0),FALSE)
*$F$6*(1+$Q147))</f>
        <v>-187.66244387491355</v>
      </c>
    </row>
    <row r="148" spans="17:21" x14ac:dyDescent="0.2">
      <c r="Q148" s="64">
        <v>13</v>
      </c>
      <c r="R148" s="98" cm="1">
        <f t="array" ref="R148">($F$3*(1+$Q148)*'User Segmentation'!$I$49)
-Dynamic_Row_Table[[Fixed Cost]:[Fixed Cost]]
-(Dynamic_Row_Table[[Funding Rate]:[Funding Rate]]*Dynamic_Row_Table[[Tenure (in months)]:[Tenure (in months)]]*$F$3*(1+$Q148)/12)
-(IF($Q148&lt;0,'Dynamic CM'!$G$3,'Dynamic CM'!$G$3*(($F$3*(1+$Q148)/$F$3)^'Dynamic CM'!$H$3))
*VLOOKUP($D$3,EAD_Table[#All],MATCH("EAD",EAD_Table[#Headers],0),FALSE)
*$F$3*(1+$Q148))</f>
        <v>-2861.9113137667814</v>
      </c>
      <c r="S148" s="98" cm="1">
        <f t="array" ref="S148">($F$4*(1+$Q148)*'User Segmentation'!$I$49)
-Dynamic_Row_Table[[Fixed Cost]:[Fixed Cost]]
-(Dynamic_Row_Table[[Funding Rate]:[Funding Rate]]*Dynamic_Row_Table[[Tenure (in months)]:[Tenure (in months)]]*$F$4*(1+$Q148)/12)
-(IF($Q148&lt;0,'Dynamic CM'!$G$4,'Dynamic CM'!$G$4*(($F$4*(1+$Q148)/$F$4)^'Dynamic CM'!$H$4))
*VLOOKUP($D$4,EAD_Table[#All],MATCH("EAD",EAD_Table[#Headers],0),FALSE)
*$F$4*(1+$Q148))</f>
        <v>-271.42231284806542</v>
      </c>
      <c r="T148" s="98" cm="1">
        <f t="array" ref="T148">($F$5*(1+$Q148)*'User Segmentation'!$I$49)
-Dynamic_Row_Table[[Fixed Cost]:[Fixed Cost]]
-(Dynamic_Row_Table[[Funding Rate]:[Funding Rate]]*Dynamic_Row_Table[[Tenure (in months)]:[Tenure (in months)]]*$F$5*(1+$Q148)/12)
-(IF($Q148&lt;0,'Dynamic CM'!$G$5,'Dynamic CM'!$G$5*(($F$5*(1+$Q148)/$F$5)^'Dynamic CM'!$H$5))
*VLOOKUP($D$5,EAD_Table[#All],MATCH("EAD",EAD_Table[#Headers],0),FALSE)
*$F$5*(1+$Q148))</f>
        <v>-140.76663567258328</v>
      </c>
      <c r="U148" s="98" cm="1">
        <f t="array" ref="U148">($F$6*(1+$Q148)*'User Segmentation'!$I$49)
-Dynamic_Row_Table[[Fixed Cost]:[Fixed Cost]]
-(Dynamic_Row_Table[[Funding Rate]:[Funding Rate]]*Dynamic_Row_Table[[Tenure (in months)]:[Tenure (in months)]]*$F$6*(1+$Q148)/12)
-(IF($Q148&lt;0,'Dynamic CM'!$G$6,'Dynamic CM'!$G$6*(($F$6*(1+$Q148)/$F$6)^'Dynamic CM'!$H$6))
*VLOOKUP($D$6,EAD_Table[#All],MATCH("EAD",EAD_Table[#Headers],0),FALSE)
*$F$6*(1+$Q148))</f>
        <v>-191.39429683917407</v>
      </c>
    </row>
    <row r="149" spans="17:21" x14ac:dyDescent="0.2">
      <c r="Q149" s="64">
        <v>13.1</v>
      </c>
      <c r="R149" s="98" cm="1">
        <f t="array" ref="R149">($F$3*(1+$Q149)*'User Segmentation'!$I$49)
-Dynamic_Row_Table[[Fixed Cost]:[Fixed Cost]]
-(Dynamic_Row_Table[[Funding Rate]:[Funding Rate]]*Dynamic_Row_Table[[Tenure (in months)]:[Tenure (in months)]]*$F$3*(1+$Q149)/12)
-(IF($Q149&lt;0,'Dynamic CM'!$G$3,'Dynamic CM'!$G$3*(($F$3*(1+$Q149)/$F$3)^'Dynamic CM'!$H$3))
*VLOOKUP($D$3,EAD_Table[#All],MATCH("EAD",EAD_Table[#Headers],0),FALSE)
*$F$3*(1+$Q149))</f>
        <v>-2921.7441715662421</v>
      </c>
      <c r="S149" s="98" cm="1">
        <f t="array" ref="S149">($F$4*(1+$Q149)*'User Segmentation'!$I$49)
-Dynamic_Row_Table[[Fixed Cost]:[Fixed Cost]]
-(Dynamic_Row_Table[[Funding Rate]:[Funding Rate]]*Dynamic_Row_Table[[Tenure (in months)]:[Tenure (in months)]]*$F$4*(1+$Q149)/12)
-(IF($Q149&lt;0,'Dynamic CM'!$G$4,'Dynamic CM'!$G$4*(($F$4*(1+$Q149)/$F$4)^'Dynamic CM'!$H$4))
*VLOOKUP($D$4,EAD_Table[#All],MATCH("EAD",EAD_Table[#Headers],0),FALSE)
*$F$4*(1+$Q149))</f>
        <v>-276.84401968381201</v>
      </c>
      <c r="T149" s="98" cm="1">
        <f t="array" ref="T149">($F$5*(1+$Q149)*'User Segmentation'!$I$49)
-Dynamic_Row_Table[[Fixed Cost]:[Fixed Cost]]
-(Dynamic_Row_Table[[Funding Rate]:[Funding Rate]]*Dynamic_Row_Table[[Tenure (in months)]:[Tenure (in months)]]*$F$5*(1+$Q149)/12)
-(IF($Q149&lt;0,'Dynamic CM'!$G$5,'Dynamic CM'!$G$5*(($F$5*(1+$Q149)/$F$5)^'Dynamic CM'!$H$5))
*VLOOKUP($D$5,EAD_Table[#All],MATCH("EAD",EAD_Table[#Headers],0),FALSE)
*$F$5*(1+$Q149))</f>
        <v>-144.68219291378216</v>
      </c>
      <c r="U149" s="98" cm="1">
        <f t="array" ref="U149">($F$6*(1+$Q149)*'User Segmentation'!$I$49)
-Dynamic_Row_Table[[Fixed Cost]:[Fixed Cost]]
-(Dynamic_Row_Table[[Funding Rate]:[Funding Rate]]*Dynamic_Row_Table[[Tenure (in months)]:[Tenure (in months)]]*$F$6*(1+$Q149)/12)
-(IF($Q149&lt;0,'Dynamic CM'!$G$6,'Dynamic CM'!$G$6*(($F$6*(1+$Q149)/$F$6)^'Dynamic CM'!$H$6))
*VLOOKUP($D$6,EAD_Table[#All],MATCH("EAD",EAD_Table[#Headers],0),FALSE)
*$F$6*(1+$Q149))</f>
        <v>-195.16602228859333</v>
      </c>
    </row>
    <row r="150" spans="17:21" x14ac:dyDescent="0.2">
      <c r="Q150" s="64">
        <v>13.2</v>
      </c>
      <c r="R150" s="98" cm="1">
        <f t="array" ref="R150">($F$3*(1+$Q150)*'User Segmentation'!$I$49)
-Dynamic_Row_Table[[Fixed Cost]:[Fixed Cost]]
-(Dynamic_Row_Table[[Funding Rate]:[Funding Rate]]*Dynamic_Row_Table[[Tenure (in months)]:[Tenure (in months)]]*$F$3*(1+$Q150)/12)
-(IF($Q150&lt;0,'Dynamic CM'!$G$3,'Dynamic CM'!$G$3*(($F$3*(1+$Q150)/$F$3)^'Dynamic CM'!$H$3))
*VLOOKUP($D$3,EAD_Table[#All],MATCH("EAD",EAD_Table[#Headers],0),FALSE)
*$F$3*(1+$Q150))</f>
        <v>-2982.3873947630682</v>
      </c>
      <c r="S150" s="98" cm="1">
        <f t="array" ref="S150">($F$4*(1+$Q150)*'User Segmentation'!$I$49)
-Dynamic_Row_Table[[Fixed Cost]:[Fixed Cost]]
-(Dynamic_Row_Table[[Funding Rate]:[Funding Rate]]*Dynamic_Row_Table[[Tenure (in months)]:[Tenure (in months)]]*$F$4*(1+$Q150)/12)
-(IF($Q150&lt;0,'Dynamic CM'!$G$4,'Dynamic CM'!$G$4*(($F$4*(1+$Q150)/$F$4)^'Dynamic CM'!$H$4))
*VLOOKUP($D$4,EAD_Table[#All],MATCH("EAD",EAD_Table[#Headers],0),FALSE)
*$F$4*(1+$Q150))</f>
        <v>-282.32345320339368</v>
      </c>
      <c r="T150" s="98" cm="1">
        <f t="array" ref="T150">($F$5*(1+$Q150)*'User Segmentation'!$I$49)
-Dynamic_Row_Table[[Fixed Cost]:[Fixed Cost]]
-(Dynamic_Row_Table[[Funding Rate]:[Funding Rate]]*Dynamic_Row_Table[[Tenure (in months)]:[Tenure (in months)]]*$F$5*(1+$Q150)/12)
-(IF($Q150&lt;0,'Dynamic CM'!$G$5,'Dynamic CM'!$G$5*(($F$5*(1+$Q150)/$F$5)^'Dynamic CM'!$H$5))
*VLOOKUP($D$5,EAD_Table[#All],MATCH("EAD",EAD_Table[#Headers],0),FALSE)
*$F$5*(1+$Q150))</f>
        <v>-148.64081886076755</v>
      </c>
      <c r="U150" s="98" cm="1">
        <f t="array" ref="U150">($F$6*(1+$Q150)*'User Segmentation'!$I$49)
-Dynamic_Row_Table[[Fixed Cost]:[Fixed Cost]]
-(Dynamic_Row_Table[[Funding Rate]:[Funding Rate]]*Dynamic_Row_Table[[Tenure (in months)]:[Tenure (in months)]]*$F$6*(1+$Q150)/12)
-(IF($Q150&lt;0,'Dynamic CM'!$G$6,'Dynamic CM'!$G$6*(($F$6*(1+$Q150)/$F$6)^'Dynamic CM'!$H$6))
*VLOOKUP($D$6,EAD_Table[#All],MATCH("EAD",EAD_Table[#Headers],0),FALSE)
*$F$6*(1+$Q150))</f>
        <v>-198.97771114035135</v>
      </c>
    </row>
    <row r="151" spans="17:21" x14ac:dyDescent="0.2">
      <c r="Q151" s="64">
        <v>13.3</v>
      </c>
      <c r="R151" s="98" cm="1">
        <f t="array" ref="R151">($F$3*(1+$Q151)*'User Segmentation'!$I$49)
-Dynamic_Row_Table[[Fixed Cost]:[Fixed Cost]]
-(Dynamic_Row_Table[[Funding Rate]:[Funding Rate]]*Dynamic_Row_Table[[Tenure (in months)]:[Tenure (in months)]]*$F$3*(1+$Q151)/12)
-(IF($Q151&lt;0,'Dynamic CM'!$G$3,'Dynamic CM'!$G$3*(($F$3*(1+$Q151)/$F$3)^'Dynamic CM'!$H$3))
*VLOOKUP($D$3,EAD_Table[#All],MATCH("EAD",EAD_Table[#Headers],0),FALSE)
*$F$3*(1+$Q151))</f>
        <v>-3043.8460964443075</v>
      </c>
      <c r="S151" s="98" cm="1">
        <f t="array" ref="S151">($F$4*(1+$Q151)*'User Segmentation'!$I$49)
-Dynamic_Row_Table[[Fixed Cost]:[Fixed Cost]]
-(Dynamic_Row_Table[[Funding Rate]:[Funding Rate]]*Dynamic_Row_Table[[Tenure (in months)]:[Tenure (in months)]]*$F$4*(1+$Q151)/12)
-(IF($Q151&lt;0,'Dynamic CM'!$G$4,'Dynamic CM'!$G$4*(($F$4*(1+$Q151)/$F$4)^'Dynamic CM'!$H$4))
*VLOOKUP($D$4,EAD_Table[#All],MATCH("EAD",EAD_Table[#Headers],0),FALSE)
*$F$4*(1+$Q151))</f>
        <v>-287.86074410380047</v>
      </c>
      <c r="T151" s="98" cm="1">
        <f t="array" ref="T151">($F$5*(1+$Q151)*'User Segmentation'!$I$49)
-Dynamic_Row_Table[[Fixed Cost]:[Fixed Cost]]
-(Dynamic_Row_Table[[Funding Rate]:[Funding Rate]]*Dynamic_Row_Table[[Tenure (in months)]:[Tenure (in months)]]*$F$5*(1+$Q151)/12)
-(IF($Q151&lt;0,'Dynamic CM'!$G$5,'Dynamic CM'!$G$5*(($F$5*(1+$Q151)/$F$5)^'Dynamic CM'!$H$5))
*VLOOKUP($D$5,EAD_Table[#All],MATCH("EAD",EAD_Table[#Headers],0),FALSE)
*$F$5*(1+$Q151))</f>
        <v>-152.6425351296653</v>
      </c>
      <c r="U151" s="98" cm="1">
        <f t="array" ref="U151">($F$6*(1+$Q151)*'User Segmentation'!$I$49)
-Dynamic_Row_Table[[Fixed Cost]:[Fixed Cost]]
-(Dynamic_Row_Table[[Funding Rate]:[Funding Rate]]*Dynamic_Row_Table[[Tenure (in months)]:[Tenure (in months)]]*$F$6*(1+$Q151)/12)
-(IF($Q151&lt;0,'Dynamic CM'!$G$6,'Dynamic CM'!$G$6*(($F$6*(1+$Q151)/$F$6)^'Dynamic CM'!$H$6))
*VLOOKUP($D$6,EAD_Table[#All],MATCH("EAD",EAD_Table[#Headers],0),FALSE)
*$F$6*(1+$Q151))</f>
        <v>-202.82945387420602</v>
      </c>
    </row>
    <row r="152" spans="17:21" x14ac:dyDescent="0.2">
      <c r="Q152" s="64">
        <v>13.4</v>
      </c>
      <c r="R152" s="98" cm="1">
        <f t="array" ref="R152">($F$3*(1+$Q152)*'User Segmentation'!$I$49)
-Dynamic_Row_Table[[Fixed Cost]:[Fixed Cost]]
-(Dynamic_Row_Table[[Funding Rate]:[Funding Rate]]*Dynamic_Row_Table[[Tenure (in months)]:[Tenure (in months)]]*$F$3*(1+$Q152)/12)
-(IF($Q152&lt;0,'Dynamic CM'!$G$3,'Dynamic CM'!$G$3*(($F$3*(1+$Q152)/$F$3)^'Dynamic CM'!$H$3))
*VLOOKUP($D$3,EAD_Table[#All],MATCH("EAD",EAD_Table[#Headers],0),FALSE)
*$F$3*(1+$Q152))</f>
        <v>-3106.1253857376105</v>
      </c>
      <c r="S152" s="98" cm="1">
        <f t="array" ref="S152">($F$4*(1+$Q152)*'User Segmentation'!$I$49)
-Dynamic_Row_Table[[Fixed Cost]:[Fixed Cost]]
-(Dynamic_Row_Table[[Funding Rate]:[Funding Rate]]*Dynamic_Row_Table[[Tenure (in months)]:[Tenure (in months)]]*$F$4*(1+$Q152)/12)
-(IF($Q152&lt;0,'Dynamic CM'!$G$4,'Dynamic CM'!$G$4*(($F$4*(1+$Q152)/$F$4)^'Dynamic CM'!$H$4))
*VLOOKUP($D$4,EAD_Table[#All],MATCH("EAD",EAD_Table[#Headers],0),FALSE)
*$F$4*(1+$Q152))</f>
        <v>-293.45602245763041</v>
      </c>
      <c r="T152" s="98" cm="1">
        <f t="array" ref="T152">($F$5*(1+$Q152)*'User Segmentation'!$I$49)
-Dynamic_Row_Table[[Fixed Cost]:[Fixed Cost]]
-(Dynamic_Row_Table[[Funding Rate]:[Funding Rate]]*Dynamic_Row_Table[[Tenure (in months)]:[Tenure (in months)]]*$F$5*(1+$Q152)/12)
-(IF($Q152&lt;0,'Dynamic CM'!$G$5,'Dynamic CM'!$G$5*(($F$5*(1+$Q152)/$F$5)^'Dynamic CM'!$H$5))
*VLOOKUP($D$5,EAD_Table[#All],MATCH("EAD",EAD_Table[#Headers],0),FALSE)
*$F$5*(1+$Q152))</f>
        <v>-156.68736319564056</v>
      </c>
      <c r="U152" s="98" cm="1">
        <f t="array" ref="U152">($F$6*(1+$Q152)*'User Segmentation'!$I$49)
-Dynamic_Row_Table[[Fixed Cost]:[Fixed Cost]]
-(Dynamic_Row_Table[[Funding Rate]:[Funding Rate]]*Dynamic_Row_Table[[Tenure (in months)]:[Tenure (in months)]]*$F$6*(1+$Q152)/12)
-(IF($Q152&lt;0,'Dynamic CM'!$G$6,'Dynamic CM'!$G$6*(($F$6*(1+$Q152)/$F$6)^'Dynamic CM'!$H$6))
*VLOOKUP($D$6,EAD_Table[#All],MATCH("EAD",EAD_Table[#Headers],0),FALSE)
*$F$6*(1+$Q152))</f>
        <v>-206.72134053765751</v>
      </c>
    </row>
    <row r="153" spans="17:21" x14ac:dyDescent="0.2">
      <c r="Q153" s="64">
        <v>13.5</v>
      </c>
      <c r="R153" s="98" cm="1">
        <f t="array" ref="R153">($F$3*(1+$Q153)*'User Segmentation'!$I$49)
-Dynamic_Row_Table[[Fixed Cost]:[Fixed Cost]]
-(Dynamic_Row_Table[[Funding Rate]:[Funding Rate]]*Dynamic_Row_Table[[Tenure (in months)]:[Tenure (in months)]]*$F$3*(1+$Q153)/12)
-(IF($Q153&lt;0,'Dynamic CM'!$G$3,'Dynamic CM'!$G$3*(($F$3*(1+$Q153)/$F$3)^'Dynamic CM'!$H$3))
*VLOOKUP($D$3,EAD_Table[#All],MATCH("EAD",EAD_Table[#Headers],0),FALSE)
*$F$3*(1+$Q153))</f>
        <v>-3169.2303678419858</v>
      </c>
      <c r="S153" s="98" cm="1">
        <f t="array" ref="S153">($F$4*(1+$Q153)*'User Segmentation'!$I$49)
-Dynamic_Row_Table[[Fixed Cost]:[Fixed Cost]]
-(Dynamic_Row_Table[[Funding Rate]:[Funding Rate]]*Dynamic_Row_Table[[Tenure (in months)]:[Tenure (in months)]]*$F$4*(1+$Q153)/12)
-(IF($Q153&lt;0,'Dynamic CM'!$G$4,'Dynamic CM'!$G$4*(($F$4*(1+$Q153)/$F$4)^'Dynamic CM'!$H$4))
*VLOOKUP($D$4,EAD_Table[#All],MATCH("EAD",EAD_Table[#Headers],0),FALSE)
*$F$4*(1+$Q153))</f>
        <v>-299.10941772040769</v>
      </c>
      <c r="T153" s="98" cm="1">
        <f t="array" ref="T153">($F$5*(1+$Q153)*'User Segmentation'!$I$49)
-Dynamic_Row_Table[[Fixed Cost]:[Fixed Cost]]
-(Dynamic_Row_Table[[Funding Rate]:[Funding Rate]]*Dynamic_Row_Table[[Tenure (in months)]:[Tenure (in months)]]*$F$5*(1+$Q153)/12)
-(IF($Q153&lt;0,'Dynamic CM'!$G$5,'Dynamic CM'!$G$5*(($F$5*(1+$Q153)/$F$5)^'Dynamic CM'!$H$5))
*VLOOKUP($D$5,EAD_Table[#All],MATCH("EAD",EAD_Table[#Headers],0),FALSE)
*$F$5*(1+$Q153))</f>
        <v>-160.77532439479376</v>
      </c>
      <c r="U153" s="98" cm="1">
        <f t="array" ref="U153">($F$6*(1+$Q153)*'User Segmentation'!$I$49)
-Dynamic_Row_Table[[Fixed Cost]:[Fixed Cost]]
-(Dynamic_Row_Table[[Funding Rate]:[Funding Rate]]*Dynamic_Row_Table[[Tenure (in months)]:[Tenure (in months)]]*$F$6*(1+$Q153)/12)
-(IF($Q153&lt;0,'Dynamic CM'!$G$6,'Dynamic CM'!$G$6*(($F$6*(1+$Q153)/$F$6)^'Dynamic CM'!$H$6))
*VLOOKUP($D$6,EAD_Table[#All],MATCH("EAD",EAD_Table[#Headers],0),FALSE)
*$F$6*(1+$Q153))</f>
        <v>-210.65346075101422</v>
      </c>
    </row>
    <row r="154" spans="17:21" x14ac:dyDescent="0.2">
      <c r="Q154" s="64">
        <v>13.6</v>
      </c>
      <c r="R154" s="98" cm="1">
        <f t="array" ref="R154">($F$3*(1+$Q154)*'User Segmentation'!$I$49)
-Dynamic_Row_Table[[Fixed Cost]:[Fixed Cost]]
-(Dynamic_Row_Table[[Funding Rate]:[Funding Rate]]*Dynamic_Row_Table[[Tenure (in months)]:[Tenure (in months)]]*$F$3*(1+$Q154)/12)
-(IF($Q154&lt;0,'Dynamic CM'!$G$3,'Dynamic CM'!$G$3*(($F$3*(1+$Q154)/$F$3)^'Dynamic CM'!$H$3))
*VLOOKUP($D$3,EAD_Table[#All],MATCH("EAD",EAD_Table[#Headers],0),FALSE)
*$F$3*(1+$Q154))</f>
        <v>-3233.166144058051</v>
      </c>
      <c r="S154" s="98" cm="1">
        <f t="array" ref="S154">($F$4*(1+$Q154)*'User Segmentation'!$I$49)
-Dynamic_Row_Table[[Fixed Cost]:[Fixed Cost]]
-(Dynamic_Row_Table[[Funding Rate]:[Funding Rate]]*Dynamic_Row_Table[[Tenure (in months)]:[Tenure (in months)]]*$F$4*(1+$Q154)/12)
-(IF($Q154&lt;0,'Dynamic CM'!$G$4,'Dynamic CM'!$G$4*(($F$4*(1+$Q154)/$F$4)^'Dynamic CM'!$H$4))
*VLOOKUP($D$4,EAD_Table[#All],MATCH("EAD",EAD_Table[#Headers],0),FALSE)
*$F$4*(1+$Q154))</f>
        <v>-304.82105873776476</v>
      </c>
      <c r="T154" s="98" cm="1">
        <f t="array" ref="T154">($F$5*(1+$Q154)*'User Segmentation'!$I$49)
-Dynamic_Row_Table[[Fixed Cost]:[Fixed Cost]]
-(Dynamic_Row_Table[[Funding Rate]:[Funding Rate]]*Dynamic_Row_Table[[Tenure (in months)]:[Tenure (in months)]]*$F$5*(1+$Q154)/12)
-(IF($Q154&lt;0,'Dynamic CM'!$G$5,'Dynamic CM'!$G$5*(($F$5*(1+$Q154)/$F$5)^'Dynamic CM'!$H$5))
*VLOOKUP($D$5,EAD_Table[#All],MATCH("EAD",EAD_Table[#Headers],0),FALSE)
*$F$5*(1+$Q154))</f>
        <v>-164.9064399260169</v>
      </c>
      <c r="U154" s="98" cm="1">
        <f t="array" ref="U154">($F$6*(1+$Q154)*'User Segmentation'!$I$49)
-Dynamic_Row_Table[[Fixed Cost]:[Fixed Cost]]
-(Dynamic_Row_Table[[Funding Rate]:[Funding Rate]]*Dynamic_Row_Table[[Tenure (in months)]:[Tenure (in months)]]*$F$6*(1+$Q154)/12)
-(IF($Q154&lt;0,'Dynamic CM'!$G$6,'Dynamic CM'!$G$6*(($F$6*(1+$Q154)/$F$6)^'Dynamic CM'!$H$6))
*VLOOKUP($D$6,EAD_Table[#All],MATCH("EAD",EAD_Table[#Headers],0),FALSE)
*$F$6*(1+$Q154))</f>
        <v>-214.62590371236456</v>
      </c>
    </row>
    <row r="155" spans="17:21" x14ac:dyDescent="0.2">
      <c r="Q155" s="64">
        <v>13.7</v>
      </c>
      <c r="R155" s="98" cm="1">
        <f t="array" ref="R155">($F$3*(1+$Q155)*'User Segmentation'!$I$49)
-Dynamic_Row_Table[[Fixed Cost]:[Fixed Cost]]
-(Dynamic_Row_Table[[Funding Rate]:[Funding Rate]]*Dynamic_Row_Table[[Tenure (in months)]:[Tenure (in months)]]*$F$3*(1+$Q155)/12)
-(IF($Q155&lt;0,'Dynamic CM'!$G$3,'Dynamic CM'!$G$3*(($F$3*(1+$Q155)/$F$3)^'Dynamic CM'!$H$3))
*VLOOKUP($D$3,EAD_Table[#All],MATCH("EAD",EAD_Table[#Headers],0),FALSE)
*$F$3*(1+$Q155))</f>
        <v>-3297.9378118178729</v>
      </c>
      <c r="S155" s="98" cm="1">
        <f t="array" ref="S155">($F$4*(1+$Q155)*'User Segmentation'!$I$49)
-Dynamic_Row_Table[[Fixed Cost]:[Fixed Cost]]
-(Dynamic_Row_Table[[Funding Rate]:[Funding Rate]]*Dynamic_Row_Table[[Tenure (in months)]:[Tenure (in months)]]*$F$4*(1+$Q155)/12)
-(IF($Q155&lt;0,'Dynamic CM'!$G$4,'Dynamic CM'!$G$4*(($F$4*(1+$Q155)/$F$4)^'Dynamic CM'!$H$4))
*VLOOKUP($D$4,EAD_Table[#All],MATCH("EAD",EAD_Table[#Headers],0),FALSE)
*$F$4*(1+$Q155))</f>
        <v>-310.59107375249289</v>
      </c>
      <c r="T155" s="98" cm="1">
        <f t="array" ref="T155">($F$5*(1+$Q155)*'User Segmentation'!$I$49)
-Dynamic_Row_Table[[Fixed Cost]:[Fixed Cost]]
-(Dynamic_Row_Table[[Funding Rate]:[Funding Rate]]*Dynamic_Row_Table[[Tenure (in months)]:[Tenure (in months)]]*$F$5*(1+$Q155)/12)
-(IF($Q155&lt;0,'Dynamic CM'!$G$5,'Dynamic CM'!$G$5*(($F$5*(1+$Q155)/$F$5)^'Dynamic CM'!$H$5))
*VLOOKUP($D$5,EAD_Table[#All],MATCH("EAD",EAD_Table[#Headers],0),FALSE)
*$F$5*(1+$Q155))</f>
        <v>-169.08073085281316</v>
      </c>
      <c r="U155" s="98" cm="1">
        <f t="array" ref="U155">($F$6*(1+$Q155)*'User Segmentation'!$I$49)
-Dynamic_Row_Table[[Fixed Cost]:[Fixed Cost]]
-(Dynamic_Row_Table[[Funding Rate]:[Funding Rate]]*Dynamic_Row_Table[[Tenure (in months)]:[Tenure (in months)]]*$F$6*(1+$Q155)/12)
-(IF($Q155&lt;0,'Dynamic CM'!$G$6,'Dynamic CM'!$G$6*(($F$6*(1+$Q155)/$F$6)^'Dynamic CM'!$H$6))
*VLOOKUP($D$6,EAD_Table[#All],MATCH("EAD",EAD_Table[#Headers],0),FALSE)
*$F$6*(1+$Q155))</f>
        <v>-218.63875820245804</v>
      </c>
    </row>
    <row r="156" spans="17:21" x14ac:dyDescent="0.2">
      <c r="Q156" s="64">
        <v>13.8</v>
      </c>
      <c r="R156" s="98" cm="1">
        <f t="array" ref="R156">($F$3*(1+$Q156)*'User Segmentation'!$I$49)
-Dynamic_Row_Table[[Fixed Cost]:[Fixed Cost]]
-(Dynamic_Row_Table[[Funding Rate]:[Funding Rate]]*Dynamic_Row_Table[[Tenure (in months)]:[Tenure (in months)]]*$F$3*(1+$Q156)/12)
-(IF($Q156&lt;0,'Dynamic CM'!$G$3,'Dynamic CM'!$G$3*(($F$3*(1+$Q156)/$F$3)^'Dynamic CM'!$H$3))
*VLOOKUP($D$3,EAD_Table[#All],MATCH("EAD",EAD_Table[#Headers],0),FALSE)
*$F$3*(1+$Q156))</f>
        <v>-3363.5504647143703</v>
      </c>
      <c r="S156" s="98" cm="1">
        <f t="array" ref="S156">($F$4*(1+$Q156)*'User Segmentation'!$I$49)
-Dynamic_Row_Table[[Fixed Cost]:[Fixed Cost]]
-(Dynamic_Row_Table[[Funding Rate]:[Funding Rate]]*Dynamic_Row_Table[[Tenure (in months)]:[Tenure (in months)]]*$F$4*(1+$Q156)/12)
-(IF($Q156&lt;0,'Dynamic CM'!$G$4,'Dynamic CM'!$G$4*(($F$4*(1+$Q156)/$F$4)^'Dynamic CM'!$H$4))
*VLOOKUP($D$4,EAD_Table[#All],MATCH("EAD",EAD_Table[#Headers],0),FALSE)
*$F$4*(1+$Q156))</f>
        <v>-316.4195904114631</v>
      </c>
      <c r="T156" s="98" cm="1">
        <f t="array" ref="T156">($F$5*(1+$Q156)*'User Segmentation'!$I$49)
-Dynamic_Row_Table[[Fixed Cost]:[Fixed Cost]]
-(Dynamic_Row_Table[[Funding Rate]:[Funding Rate]]*Dynamic_Row_Table[[Tenure (in months)]:[Tenure (in months)]]*$F$5*(1+$Q156)/12)
-(IF($Q156&lt;0,'Dynamic CM'!$G$5,'Dynamic CM'!$G$5*(($F$5*(1+$Q156)/$F$5)^'Dynamic CM'!$H$5))
*VLOOKUP($D$5,EAD_Table[#All],MATCH("EAD",EAD_Table[#Headers],0),FALSE)
*$F$5*(1+$Q156))</f>
        <v>-173.29821810508065</v>
      </c>
      <c r="U156" s="98" cm="1">
        <f t="array" ref="U156">($F$6*(1+$Q156)*'User Segmentation'!$I$49)
-Dynamic_Row_Table[[Fixed Cost]:[Fixed Cost]]
-(Dynamic_Row_Table[[Funding Rate]:[Funding Rate]]*Dynamic_Row_Table[[Tenure (in months)]:[Tenure (in months)]]*$F$6*(1+$Q156)/12)
-(IF($Q156&lt;0,'Dynamic CM'!$G$6,'Dynamic CM'!$G$6*(($F$6*(1+$Q156)/$F$6)^'Dynamic CM'!$H$6))
*VLOOKUP($D$6,EAD_Table[#All],MATCH("EAD",EAD_Table[#Headers],0),FALSE)
*$F$6*(1+$Q156))</f>
        <v>-222.69211258949682</v>
      </c>
    </row>
    <row r="157" spans="17:21" x14ac:dyDescent="0.2">
      <c r="Q157" s="64">
        <v>13.9</v>
      </c>
      <c r="R157" s="98" cm="1">
        <f t="array" ref="R157">($F$3*(1+$Q157)*'User Segmentation'!$I$49)
-Dynamic_Row_Table[[Fixed Cost]:[Fixed Cost]]
-(Dynamic_Row_Table[[Funding Rate]:[Funding Rate]]*Dynamic_Row_Table[[Tenure (in months)]:[Tenure (in months)]]*$F$3*(1+$Q157)/12)
-(IF($Q157&lt;0,'Dynamic CM'!$G$3,'Dynamic CM'!$G$3*(($F$3*(1+$Q157)/$F$3)^'Dynamic CM'!$H$3))
*VLOOKUP($D$3,EAD_Table[#All],MATCH("EAD",EAD_Table[#Headers],0),FALSE)
*$F$3*(1+$Q157))</f>
        <v>-3430.0091925302954</v>
      </c>
      <c r="S157" s="98" cm="1">
        <f t="array" ref="S157">($F$4*(1+$Q157)*'User Segmentation'!$I$49)
-Dynamic_Row_Table[[Fixed Cost]:[Fixed Cost]]
-(Dynamic_Row_Table[[Funding Rate]:[Funding Rate]]*Dynamic_Row_Table[[Tenure (in months)]:[Tenure (in months)]]*$F$4*(1+$Q157)/12)
-(IF($Q157&lt;0,'Dynamic CM'!$G$4,'Dynamic CM'!$G$4*(($F$4*(1+$Q157)/$F$4)^'Dynamic CM'!$H$4))
*VLOOKUP($D$4,EAD_Table[#All],MATCH("EAD",EAD_Table[#Headers],0),FALSE)
*$F$4*(1+$Q157))</f>
        <v>-322.30673577242112</v>
      </c>
      <c r="T157" s="98" cm="1">
        <f t="array" ref="T157">($F$5*(1+$Q157)*'User Segmentation'!$I$49)
-Dynamic_Row_Table[[Fixed Cost]:[Fixed Cost]]
-(Dynamic_Row_Table[[Funding Rate]:[Funding Rate]]*Dynamic_Row_Table[[Tenure (in months)]:[Tenure (in months)]]*$F$5*(1+$Q157)/12)
-(IF($Q157&lt;0,'Dynamic CM'!$G$5,'Dynamic CM'!$G$5*(($F$5*(1+$Q157)/$F$5)^'Dynamic CM'!$H$5))
*VLOOKUP($D$5,EAD_Table[#All],MATCH("EAD",EAD_Table[#Headers],0),FALSE)
*$F$5*(1+$Q157))</f>
        <v>-177.55892248085985</v>
      </c>
      <c r="U157" s="98" cm="1">
        <f t="array" ref="U157">($F$6*(1+$Q157)*'User Segmentation'!$I$49)
-Dynamic_Row_Table[[Fixed Cost]:[Fixed Cost]]
-(Dynamic_Row_Table[[Funding Rate]:[Funding Rate]]*Dynamic_Row_Table[[Tenure (in months)]:[Tenure (in months)]]*$F$6*(1+$Q157)/12)
-(IF($Q157&lt;0,'Dynamic CM'!$G$6,'Dynamic CM'!$G$6*(($F$6*(1+$Q157)/$F$6)^'Dynamic CM'!$H$6))
*VLOOKUP($D$6,EAD_Table[#All],MATCH("EAD",EAD_Table[#Headers],0),FALSE)
*$F$6*(1+$Q157))</f>
        <v>-226.78605483383947</v>
      </c>
    </row>
    <row r="158" spans="17:21" x14ac:dyDescent="0.2">
      <c r="Q158" s="64">
        <v>14</v>
      </c>
      <c r="R158" s="98" cm="1">
        <f t="array" ref="R158">($F$3*(1+$Q158)*'User Segmentation'!$I$49)
-Dynamic_Row_Table[[Fixed Cost]:[Fixed Cost]]
-(Dynamic_Row_Table[[Funding Rate]:[Funding Rate]]*Dynamic_Row_Table[[Tenure (in months)]:[Tenure (in months)]]*$F$3*(1+$Q158)/12)
-(IF($Q158&lt;0,'Dynamic CM'!$G$3,'Dynamic CM'!$G$3*(($F$3*(1+$Q158)/$F$3)^'Dynamic CM'!$H$3))
*VLOOKUP($D$3,EAD_Table[#All],MATCH("EAD",EAD_Table[#Headers],0),FALSE)
*$F$3*(1+$Q158))</f>
        <v>-3497.3190812667917</v>
      </c>
      <c r="S158" s="98" cm="1">
        <f t="array" ref="S158">($F$4*(1+$Q158)*'User Segmentation'!$I$49)
-Dynamic_Row_Table[[Fixed Cost]:[Fixed Cost]]
-(Dynamic_Row_Table[[Funding Rate]:[Funding Rate]]*Dynamic_Row_Table[[Tenure (in months)]:[Tenure (in months)]]*$F$4*(1+$Q158)/12)
-(IF($Q158&lt;0,'Dynamic CM'!$G$4,'Dynamic CM'!$G$4*(($F$4*(1+$Q158)/$F$4)^'Dynamic CM'!$H$4))
*VLOOKUP($D$4,EAD_Table[#All],MATCH("EAD",EAD_Table[#Headers],0),FALSE)
*$F$4*(1+$Q158))</f>
        <v>-328.25263631065889</v>
      </c>
      <c r="T158" s="98" cm="1">
        <f t="array" ref="T158">($F$5*(1+$Q158)*'User Segmentation'!$I$49)
-Dynamic_Row_Table[[Fixed Cost]:[Fixed Cost]]
-(Dynamic_Row_Table[[Funding Rate]:[Funding Rate]]*Dynamic_Row_Table[[Tenure (in months)]:[Tenure (in months)]]*$F$5*(1+$Q158)/12)
-(IF($Q158&lt;0,'Dynamic CM'!$G$5,'Dynamic CM'!$G$5*(($F$5*(1+$Q158)/$F$5)^'Dynamic CM'!$H$5))
*VLOOKUP($D$5,EAD_Table[#All],MATCH("EAD",EAD_Table[#Headers],0),FALSE)
*$F$5*(1+$Q158))</f>
        <v>-181.86286464804704</v>
      </c>
      <c r="U158" s="98" cm="1">
        <f t="array" ref="U158">($F$6*(1+$Q158)*'User Segmentation'!$I$49)
-Dynamic_Row_Table[[Fixed Cost]:[Fixed Cost]]
-(Dynamic_Row_Table[[Funding Rate]:[Funding Rate]]*Dynamic_Row_Table[[Tenure (in months)]:[Tenure (in months)]]*$F$6*(1+$Q158)/12)
-(IF($Q158&lt;0,'Dynamic CM'!$G$6,'Dynamic CM'!$G$6*(($F$6*(1+$Q158)/$F$6)^'Dynamic CM'!$H$6))
*VLOOKUP($D$6,EAD_Table[#All],MATCH("EAD",EAD_Table[#Headers],0),FALSE)
*$F$6*(1+$Q158))</f>
        <v>-230.92067249261981</v>
      </c>
    </row>
    <row r="159" spans="17:21" x14ac:dyDescent="0.2">
      <c r="Q159" s="64">
        <v>14.1</v>
      </c>
      <c r="R159" s="98" cm="1">
        <f t="array" ref="R159">($F$3*(1+$Q159)*'User Segmentation'!$I$49)
-Dynamic_Row_Table[[Fixed Cost]:[Fixed Cost]]
-(Dynamic_Row_Table[[Funding Rate]:[Funding Rate]]*Dynamic_Row_Table[[Tenure (in months)]:[Tenure (in months)]]*$F$3*(1+$Q159)/12)
-(IF($Q159&lt;0,'Dynamic CM'!$G$3,'Dynamic CM'!$G$3*(($F$3*(1+$Q159)/$F$3)^'Dynamic CM'!$H$3))
*VLOOKUP($D$3,EAD_Table[#All],MATCH("EAD",EAD_Table[#Headers],0),FALSE)
*$F$3*(1+$Q159))</f>
        <v>-3565.4852131715616</v>
      </c>
      <c r="S159" s="98" cm="1">
        <f t="array" ref="S159">($F$4*(1+$Q159)*'User Segmentation'!$I$49)
-Dynamic_Row_Table[[Fixed Cost]:[Fixed Cost]]
-(Dynamic_Row_Table[[Funding Rate]:[Funding Rate]]*Dynamic_Row_Table[[Tenure (in months)]:[Tenure (in months)]]*$F$4*(1+$Q159)/12)
-(IF($Q159&lt;0,'Dynamic CM'!$G$4,'Dynamic CM'!$G$4*(($F$4*(1+$Q159)/$F$4)^'Dynamic CM'!$H$4))
*VLOOKUP($D$4,EAD_Table[#All],MATCH("EAD",EAD_Table[#Headers],0),FALSE)
*$F$4*(1+$Q159))</f>
        <v>-334.25741792556812</v>
      </c>
      <c r="T159" s="98" cm="1">
        <f t="array" ref="T159">($F$5*(1+$Q159)*'User Segmentation'!$I$49)
-Dynamic_Row_Table[[Fixed Cost]:[Fixed Cost]]
-(Dynamic_Row_Table[[Funding Rate]:[Funding Rate]]*Dynamic_Row_Table[[Tenure (in months)]:[Tenure (in months)]]*$F$5*(1+$Q159)/12)
-(IF($Q159&lt;0,'Dynamic CM'!$G$5,'Dynamic CM'!$G$5*(($F$5*(1+$Q159)/$F$5)^'Dynamic CM'!$H$5))
*VLOOKUP($D$5,EAD_Table[#All],MATCH("EAD",EAD_Table[#Headers],0),FALSE)
*$F$5*(1+$Q159))</f>
        <v>-186.21006514607365</v>
      </c>
      <c r="U159" s="98" cm="1">
        <f t="array" ref="U159">($F$6*(1+$Q159)*'User Segmentation'!$I$49)
-Dynamic_Row_Table[[Fixed Cost]:[Fixed Cost]]
-(Dynamic_Row_Table[[Funding Rate]:[Funding Rate]]*Dynamic_Row_Table[[Tenure (in months)]:[Tenure (in months)]]*$F$6*(1+$Q159)/12)
-(IF($Q159&lt;0,'Dynamic CM'!$G$6,'Dynamic CM'!$G$6*(($F$6*(1+$Q159)/$F$6)^'Dynamic CM'!$H$6))
*VLOOKUP($D$6,EAD_Table[#All],MATCH("EAD",EAD_Table[#Headers],0),FALSE)
*$F$6*(1+$Q159))</f>
        <v>-235.09605272428382</v>
      </c>
    </row>
    <row r="160" spans="17:21" x14ac:dyDescent="0.2">
      <c r="Q160" s="64">
        <v>14.2</v>
      </c>
      <c r="R160" s="98" cm="1">
        <f t="array" ref="R160">($F$3*(1+$Q160)*'User Segmentation'!$I$49)
-Dynamic_Row_Table[[Fixed Cost]:[Fixed Cost]]
-(Dynamic_Row_Table[[Funding Rate]:[Funding Rate]]*Dynamic_Row_Table[[Tenure (in months)]:[Tenure (in months)]]*$F$3*(1+$Q160)/12)
-(IF($Q160&lt;0,'Dynamic CM'!$G$3,'Dynamic CM'!$G$3*(($F$3*(1+$Q160)/$F$3)^'Dynamic CM'!$H$3))
*VLOOKUP($D$3,EAD_Table[#All],MATCH("EAD",EAD_Table[#Headers],0),FALSE)
*$F$3*(1+$Q160))</f>
        <v>-3634.5126667666304</v>
      </c>
      <c r="S160" s="98" cm="1">
        <f t="array" ref="S160">($F$4*(1+$Q160)*'User Segmentation'!$I$49)
-Dynamic_Row_Table[[Fixed Cost]:[Fixed Cost]]
-(Dynamic_Row_Table[[Funding Rate]:[Funding Rate]]*Dynamic_Row_Table[[Tenure (in months)]:[Tenure (in months)]]*$F$4*(1+$Q160)/12)
-(IF($Q160&lt;0,'Dynamic CM'!$G$4,'Dynamic CM'!$G$4*(($F$4*(1+$Q160)/$F$4)^'Dynamic CM'!$H$4))
*VLOOKUP($D$4,EAD_Table[#All],MATCH("EAD",EAD_Table[#Headers],0),FALSE)
*$F$4*(1+$Q160))</f>
        <v>-340.32120594707612</v>
      </c>
      <c r="T160" s="98" cm="1">
        <f t="array" ref="T160">($F$5*(1+$Q160)*'User Segmentation'!$I$49)
-Dynamic_Row_Table[[Fixed Cost]:[Fixed Cost]]
-(Dynamic_Row_Table[[Funding Rate]:[Funding Rate]]*Dynamic_Row_Table[[Tenure (in months)]:[Tenure (in months)]]*$F$5*(1+$Q160)/12)
-(IF($Q160&lt;0,'Dynamic CM'!$G$5,'Dynamic CM'!$G$5*(($F$5*(1+$Q160)/$F$5)^'Dynamic CM'!$H$5))
*VLOOKUP($D$5,EAD_Table[#All],MATCH("EAD",EAD_Table[#Headers],0),FALSE)
*$F$5*(1+$Q160))</f>
        <v>-190.60054438755293</v>
      </c>
      <c r="U160" s="98" cm="1">
        <f t="array" ref="U160">($F$6*(1+$Q160)*'User Segmentation'!$I$49)
-Dynamic_Row_Table[[Fixed Cost]:[Fixed Cost]]
-(Dynamic_Row_Table[[Funding Rate]:[Funding Rate]]*Dynamic_Row_Table[[Tenure (in months)]:[Tenure (in months)]]*$F$6*(1+$Q160)/12)
-(IF($Q160&lt;0,'Dynamic CM'!$G$6,'Dynamic CM'!$G$6*(($F$6*(1+$Q160)/$F$6)^'Dynamic CM'!$H$6))
*VLOOKUP($D$6,EAD_Table[#All],MATCH("EAD",EAD_Table[#Headers],0),FALSE)
*$F$6*(1+$Q160))</f>
        <v>-239.31228229304435</v>
      </c>
    </row>
    <row r="161" spans="17:21" x14ac:dyDescent="0.2">
      <c r="Q161" s="64">
        <v>14.3</v>
      </c>
      <c r="R161" s="98" cm="1">
        <f t="array" ref="R161">($F$3*(1+$Q161)*'User Segmentation'!$I$49)
-Dynamic_Row_Table[[Fixed Cost]:[Fixed Cost]]
-(Dynamic_Row_Table[[Funding Rate]:[Funding Rate]]*Dynamic_Row_Table[[Tenure (in months)]:[Tenure (in months)]]*$F$3*(1+$Q161)/12)
-(IF($Q161&lt;0,'Dynamic CM'!$G$3,'Dynamic CM'!$G$3*(($F$3*(1+$Q161)/$F$3)^'Dynamic CM'!$H$3))
*VLOOKUP($D$3,EAD_Table[#All],MATCH("EAD",EAD_Table[#Headers],0),FALSE)
*$F$3*(1+$Q161))</f>
        <v>-3704.4065168757434</v>
      </c>
      <c r="S161" s="98" cm="1">
        <f t="array" ref="S161">($F$4*(1+$Q161)*'User Segmentation'!$I$49)
-Dynamic_Row_Table[[Fixed Cost]:[Fixed Cost]]
-(Dynamic_Row_Table[[Funding Rate]:[Funding Rate]]*Dynamic_Row_Table[[Tenure (in months)]:[Tenure (in months)]]*$F$4*(1+$Q161)/12)
-(IF($Q161&lt;0,'Dynamic CM'!$G$4,'Dynamic CM'!$G$4*(($F$4*(1+$Q161)/$F$4)^'Dynamic CM'!$H$4))
*VLOOKUP($D$4,EAD_Table[#All],MATCH("EAD",EAD_Table[#Headers],0),FALSE)
*$F$4*(1+$Q161))</f>
        <v>-346.44412514196642</v>
      </c>
      <c r="T161" s="98" cm="1">
        <f t="array" ref="T161">($F$5*(1+$Q161)*'User Segmentation'!$I$49)
-Dynamic_Row_Table[[Fixed Cost]:[Fixed Cost]]
-(Dynamic_Row_Table[[Funding Rate]:[Funding Rate]]*Dynamic_Row_Table[[Tenure (in months)]:[Tenure (in months)]]*$F$5*(1+$Q161)/12)
-(IF($Q161&lt;0,'Dynamic CM'!$G$5,'Dynamic CM'!$G$5*(($F$5*(1+$Q161)/$F$5)^'Dynamic CM'!$H$5))
*VLOOKUP($D$5,EAD_Table[#All],MATCH("EAD",EAD_Table[#Headers],0),FALSE)
*$F$5*(1+$Q161))</f>
        <v>-195.03432265989716</v>
      </c>
      <c r="U161" s="98" cm="1">
        <f t="array" ref="U161">($F$6*(1+$Q161)*'User Segmentation'!$I$49)
-Dynamic_Row_Table[[Fixed Cost]:[Fixed Cost]]
-(Dynamic_Row_Table[[Funding Rate]:[Funding Rate]]*Dynamic_Row_Table[[Tenure (in months)]:[Tenure (in months)]]*$F$6*(1+$Q161)/12)
-(IF($Q161&lt;0,'Dynamic CM'!$G$6,'Dynamic CM'!$G$6*(($F$6*(1+$Q161)/$F$6)^'Dynamic CM'!$H$6))
*VLOOKUP($D$6,EAD_Table[#All],MATCH("EAD",EAD_Table[#Headers],0),FALSE)
*$F$6*(1+$Q161))</f>
        <v>-243.56944757325834</v>
      </c>
    </row>
    <row r="162" spans="17:21" x14ac:dyDescent="0.2">
      <c r="Q162" s="64">
        <v>14.4</v>
      </c>
      <c r="R162" s="98" cm="1">
        <f t="array" ref="R162">($F$3*(1+$Q162)*'User Segmentation'!$I$49)
-Dynamic_Row_Table[[Fixed Cost]:[Fixed Cost]]
-(Dynamic_Row_Table[[Funding Rate]:[Funding Rate]]*Dynamic_Row_Table[[Tenure (in months)]:[Tenure (in months)]]*$F$3*(1+$Q162)/12)
-(IF($Q162&lt;0,'Dynamic CM'!$G$3,'Dynamic CM'!$G$3*(($F$3*(1+$Q162)/$F$3)^'Dynamic CM'!$H$3))
*VLOOKUP($D$3,EAD_Table[#All],MATCH("EAD",EAD_Table[#Headers],0),FALSE)
*$F$3*(1+$Q162))</f>
        <v>-3775.1718346513212</v>
      </c>
      <c r="S162" s="98" cm="1">
        <f t="array" ref="S162">($F$4*(1+$Q162)*'User Segmentation'!$I$49)
-Dynamic_Row_Table[[Fixed Cost]:[Fixed Cost]]
-(Dynamic_Row_Table[[Funding Rate]:[Funding Rate]]*Dynamic_Row_Table[[Tenure (in months)]:[Tenure (in months)]]*$F$4*(1+$Q162)/12)
-(IF($Q162&lt;0,'Dynamic CM'!$G$4,'Dynamic CM'!$G$4*(($F$4*(1+$Q162)/$F$4)^'Dynamic CM'!$H$4))
*VLOOKUP($D$4,EAD_Table[#All],MATCH("EAD",EAD_Table[#Headers],0),FALSE)
*$F$4*(1+$Q162))</f>
        <v>-352.62629972009006</v>
      </c>
      <c r="T162" s="98" cm="1">
        <f t="array" ref="T162">($F$5*(1+$Q162)*'User Segmentation'!$I$49)
-Dynamic_Row_Table[[Fixed Cost]:[Fixed Cost]]
-(Dynamic_Row_Table[[Funding Rate]:[Funding Rate]]*Dynamic_Row_Table[[Tenure (in months)]:[Tenure (in months)]]*$F$5*(1+$Q162)/12)
-(IF($Q162&lt;0,'Dynamic CM'!$G$5,'Dynamic CM'!$G$5*(($F$5*(1+$Q162)/$F$5)^'Dynamic CM'!$H$5))
*VLOOKUP($D$5,EAD_Table[#All],MATCH("EAD",EAD_Table[#Headers],0),FALSE)
*$F$5*(1+$Q162))</f>
        <v>-199.51142012689894</v>
      </c>
      <c r="U162" s="98" cm="1">
        <f t="array" ref="U162">($F$6*(1+$Q162)*'User Segmentation'!$I$49)
-Dynamic_Row_Table[[Fixed Cost]:[Fixed Cost]]
-(Dynamic_Row_Table[[Funding Rate]:[Funding Rate]]*Dynamic_Row_Table[[Tenure (in months)]:[Tenure (in months)]]*$F$6*(1+$Q162)/12)
-(IF($Q162&lt;0,'Dynamic CM'!$G$6,'Dynamic CM'!$G$6*(($F$6*(1+$Q162)/$F$6)^'Dynamic CM'!$H$6))
*VLOOKUP($D$6,EAD_Table[#All],MATCH("EAD",EAD_Table[#Headers],0),FALSE)
*$F$6*(1+$Q162))</f>
        <v>-247.86763455372511</v>
      </c>
    </row>
    <row r="163" spans="17:21" x14ac:dyDescent="0.2">
      <c r="Q163" s="64">
        <v>14.5</v>
      </c>
      <c r="R163" s="98" cm="1">
        <f t="array" ref="R163">($F$3*(1+$Q163)*'User Segmentation'!$I$49)
-Dynamic_Row_Table[[Fixed Cost]:[Fixed Cost]]
-(Dynamic_Row_Table[[Funding Rate]:[Funding Rate]]*Dynamic_Row_Table[[Tenure (in months)]:[Tenure (in months)]]*$F$3*(1+$Q163)/12)
-(IF($Q163&lt;0,'Dynamic CM'!$G$3,'Dynamic CM'!$G$3*(($F$3*(1+$Q163)/$F$3)^'Dynamic CM'!$H$3))
*VLOOKUP($D$3,EAD_Table[#All],MATCH("EAD",EAD_Table[#Headers],0),FALSE)
*$F$3*(1+$Q163))</f>
        <v>-3846.813687601129</v>
      </c>
      <c r="S163" s="98" cm="1">
        <f t="array" ref="S163">($F$4*(1+$Q163)*'User Segmentation'!$I$49)
-Dynamic_Row_Table[[Fixed Cost]:[Fixed Cost]]
-(Dynamic_Row_Table[[Funding Rate]:[Funding Rate]]*Dynamic_Row_Table[[Tenure (in months)]:[Tenure (in months)]]*$F$4*(1+$Q163)/12)
-(IF($Q163&lt;0,'Dynamic CM'!$G$4,'Dynamic CM'!$G$4*(($F$4*(1+$Q163)/$F$4)^'Dynamic CM'!$H$4))
*VLOOKUP($D$4,EAD_Table[#All],MATCH("EAD",EAD_Table[#Headers],0),FALSE)
*$F$4*(1+$Q163))</f>
        <v>-358.86785334046749</v>
      </c>
      <c r="T163" s="98" cm="1">
        <f t="array" ref="T163">($F$5*(1+$Q163)*'User Segmentation'!$I$49)
-Dynamic_Row_Table[[Fixed Cost]:[Fixed Cost]]
-(Dynamic_Row_Table[[Funding Rate]:[Funding Rate]]*Dynamic_Row_Table[[Tenure (in months)]:[Tenure (in months)]]*$F$5*(1+$Q163)/12)
-(IF($Q163&lt;0,'Dynamic CM'!$G$5,'Dynamic CM'!$G$5*(($F$5*(1+$Q163)/$F$5)^'Dynamic CM'!$H$5))
*VLOOKUP($D$5,EAD_Table[#All],MATCH("EAD",EAD_Table[#Headers],0),FALSE)
*$F$5*(1+$Q163))</f>
        <v>-204.03185683028681</v>
      </c>
      <c r="U163" s="98" cm="1">
        <f t="array" ref="U163">($F$6*(1+$Q163)*'User Segmentation'!$I$49)
-Dynamic_Row_Table[[Fixed Cost]:[Fixed Cost]]
-(Dynamic_Row_Table[[Funding Rate]:[Funding Rate]]*Dynamic_Row_Table[[Tenure (in months)]:[Tenure (in months)]]*$F$6*(1+$Q163)/12)
-(IF($Q163&lt;0,'Dynamic CM'!$G$6,'Dynamic CM'!$G$6*(($F$6*(1+$Q163)/$F$6)^'Dynamic CM'!$H$6))
*VLOOKUP($D$6,EAD_Table[#All],MATCH("EAD",EAD_Table[#Headers],0),FALSE)
*$F$6*(1+$Q163))</f>
        <v>-252.20692884191209</v>
      </c>
    </row>
    <row r="164" spans="17:21" x14ac:dyDescent="0.2">
      <c r="Q164" s="64">
        <v>14.6</v>
      </c>
      <c r="R164" s="98" cm="1">
        <f t="array" ref="R164">($F$3*(1+$Q164)*'User Segmentation'!$I$49)
-Dynamic_Row_Table[[Fixed Cost]:[Fixed Cost]]
-(Dynamic_Row_Table[[Funding Rate]:[Funding Rate]]*Dynamic_Row_Table[[Tenure (in months)]:[Tenure (in months)]]*$F$3*(1+$Q164)/12)
-(IF($Q164&lt;0,'Dynamic CM'!$G$3,'Dynamic CM'!$G$3*(($F$3*(1+$Q164)/$F$3)^'Dynamic CM'!$H$3))
*VLOOKUP($D$3,EAD_Table[#All],MATCH("EAD",EAD_Table[#Headers],0),FALSE)
*$F$3*(1+$Q164))</f>
        <v>-3919.3371396145144</v>
      </c>
      <c r="S164" s="98" cm="1">
        <f t="array" ref="S164">($F$4*(1+$Q164)*'User Segmentation'!$I$49)
-Dynamic_Row_Table[[Fixed Cost]:[Fixed Cost]]
-(Dynamic_Row_Table[[Funding Rate]:[Funding Rate]]*Dynamic_Row_Table[[Tenure (in months)]:[Tenure (in months)]]*$F$4*(1+$Q164)/12)
-(IF($Q164&lt;0,'Dynamic CM'!$G$4,'Dynamic CM'!$G$4*(($F$4*(1+$Q164)/$F$4)^'Dynamic CM'!$H$4))
*VLOOKUP($D$4,EAD_Table[#All],MATCH("EAD",EAD_Table[#Headers],0),FALSE)
*$F$4*(1+$Q164))</f>
        <v>-365.16890911728444</v>
      </c>
      <c r="T164" s="98" cm="1">
        <f t="array" ref="T164">($F$5*(1+$Q164)*'User Segmentation'!$I$49)
-Dynamic_Row_Table[[Fixed Cost]:[Fixed Cost]]
-(Dynamic_Row_Table[[Funding Rate]:[Funding Rate]]*Dynamic_Row_Table[[Tenure (in months)]:[Tenure (in months)]]*$F$5*(1+$Q164)/12)
-(IF($Q164&lt;0,'Dynamic CM'!$G$5,'Dynamic CM'!$G$5*(($F$5*(1+$Q164)/$F$5)^'Dynamic CM'!$H$5))
*VLOOKUP($D$5,EAD_Table[#All],MATCH("EAD",EAD_Table[#Headers],0),FALSE)
*$F$5*(1+$Q164))</f>
        <v>-208.59565269124931</v>
      </c>
      <c r="U164" s="98" cm="1">
        <f t="array" ref="U164">($F$6*(1+$Q164)*'User Segmentation'!$I$49)
-Dynamic_Row_Table[[Fixed Cost]:[Fixed Cost]]
-(Dynamic_Row_Table[[Funding Rate]:[Funding Rate]]*Dynamic_Row_Table[[Tenure (in months)]:[Tenure (in months)]]*$F$6*(1+$Q164)/12)
-(IF($Q164&lt;0,'Dynamic CM'!$G$6,'Dynamic CM'!$G$6*(($F$6*(1+$Q164)/$F$6)^'Dynamic CM'!$H$6))
*VLOOKUP($D$6,EAD_Table[#All],MATCH("EAD",EAD_Table[#Headers],0),FALSE)
*$F$6*(1+$Q164))</f>
        <v>-256.58741566810448</v>
      </c>
    </row>
    <row r="165" spans="17:21" x14ac:dyDescent="0.2">
      <c r="Q165" s="64">
        <v>14.7</v>
      </c>
      <c r="R165" s="98" cm="1">
        <f t="array" ref="R165">($F$3*(1+$Q165)*'User Segmentation'!$I$49)
-Dynamic_Row_Table[[Fixed Cost]:[Fixed Cost]]
-(Dynamic_Row_Table[[Funding Rate]:[Funding Rate]]*Dynamic_Row_Table[[Tenure (in months)]:[Tenure (in months)]]*$F$3*(1+$Q165)/12)
-(IF($Q165&lt;0,'Dynamic CM'!$G$3,'Dynamic CM'!$G$3*(($F$3*(1+$Q165)/$F$3)^'Dynamic CM'!$H$3))
*VLOOKUP($D$3,EAD_Table[#All],MATCH("EAD",EAD_Table[#Headers],0),FALSE)
*$F$3*(1+$Q165))</f>
        <v>-3992.7472509883237</v>
      </c>
      <c r="S165" s="98" cm="1">
        <f t="array" ref="S165">($F$4*(1+$Q165)*'User Segmentation'!$I$49)
-Dynamic_Row_Table[[Fixed Cost]:[Fixed Cost]]
-(Dynamic_Row_Table[[Funding Rate]:[Funding Rate]]*Dynamic_Row_Table[[Tenure (in months)]:[Tenure (in months)]]*$F$4*(1+$Q165)/12)
-(IF($Q165&lt;0,'Dynamic CM'!$G$4,'Dynamic CM'!$G$4*(($F$4*(1+$Q165)/$F$4)^'Dynamic CM'!$H$4))
*VLOOKUP($D$4,EAD_Table[#All],MATCH("EAD",EAD_Table[#Headers],0),FALSE)
*$F$4*(1+$Q165))</f>
        <v>-371.52958962578481</v>
      </c>
      <c r="T165" s="98" cm="1">
        <f t="array" ref="T165">($F$5*(1+$Q165)*'User Segmentation'!$I$49)
-Dynamic_Row_Table[[Fixed Cost]:[Fixed Cost]]
-(Dynamic_Row_Table[[Funding Rate]:[Funding Rate]]*Dynamic_Row_Table[[Tenure (in months)]:[Tenure (in months)]]*$F$5*(1+$Q165)/12)
-(IF($Q165&lt;0,'Dynamic CM'!$G$5,'Dynamic CM'!$G$5*(($F$5*(1+$Q165)/$F$5)^'Dynamic CM'!$H$5))
*VLOOKUP($D$5,EAD_Table[#All],MATCH("EAD",EAD_Table[#Headers],0),FALSE)
*$F$5*(1+$Q165))</f>
        <v>-213.20282751193122</v>
      </c>
      <c r="U165" s="98" cm="1">
        <f t="array" ref="U165">($F$6*(1+$Q165)*'User Segmentation'!$I$49)
-Dynamic_Row_Table[[Fixed Cost]:[Fixed Cost]]
-(Dynamic_Row_Table[[Funding Rate]:[Funding Rate]]*Dynamic_Row_Table[[Tenure (in months)]:[Tenure (in months)]]*$F$6*(1+$Q165)/12)
-(IF($Q165&lt;0,'Dynamic CM'!$G$6,'Dynamic CM'!$G$6*(($F$6*(1+$Q165)/$F$6)^'Dynamic CM'!$H$6))
*VLOOKUP($D$6,EAD_Table[#All],MATCH("EAD",EAD_Table[#Headers],0),FALSE)
*$F$6*(1+$Q165))</f>
        <v>-261.00917988948555</v>
      </c>
    </row>
    <row r="166" spans="17:21" x14ac:dyDescent="0.2">
      <c r="Q166" s="64">
        <v>14.8</v>
      </c>
      <c r="R166" s="98" cm="1">
        <f t="array" ref="R166">($F$3*(1+$Q166)*'User Segmentation'!$I$49)
-Dynamic_Row_Table[[Fixed Cost]:[Fixed Cost]]
-(Dynamic_Row_Table[[Funding Rate]:[Funding Rate]]*Dynamic_Row_Table[[Tenure (in months)]:[Tenure (in months)]]*$F$3*(1+$Q166)/12)
-(IF($Q166&lt;0,'Dynamic CM'!$G$3,'Dynamic CM'!$G$3*(($F$3*(1+$Q166)/$F$3)^'Dynamic CM'!$H$3))
*VLOOKUP($D$3,EAD_Table[#All],MATCH("EAD",EAD_Table[#Headers],0),FALSE)
*$F$3*(1+$Q166))</f>
        <v>-4067.0490784524504</v>
      </c>
      <c r="S166" s="98" cm="1">
        <f t="array" ref="S166">($F$4*(1+$Q166)*'User Segmentation'!$I$49)
-Dynamic_Row_Table[[Fixed Cost]:[Fixed Cost]]
-(Dynamic_Row_Table[[Funding Rate]:[Funding Rate]]*Dynamic_Row_Table[[Tenure (in months)]:[Tenure (in months)]]*$F$4*(1+$Q166)/12)
-(IF($Q166&lt;0,'Dynamic CM'!$G$4,'Dynamic CM'!$G$4*(($F$4*(1+$Q166)/$F$4)^'Dynamic CM'!$H$4))
*VLOOKUP($D$4,EAD_Table[#All],MATCH("EAD",EAD_Table[#Headers],0),FALSE)
*$F$4*(1+$Q166))</f>
        <v>-377.95001690806191</v>
      </c>
      <c r="T166" s="98" cm="1">
        <f t="array" ref="T166">($F$5*(1+$Q166)*'User Segmentation'!$I$49)
-Dynamic_Row_Table[[Fixed Cost]:[Fixed Cost]]
-(Dynamic_Row_Table[[Funding Rate]:[Funding Rate]]*Dynamic_Row_Table[[Tenure (in months)]:[Tenure (in months)]]*$F$5*(1+$Q166)/12)
-(IF($Q166&lt;0,'Dynamic CM'!$G$5,'Dynamic CM'!$G$5*(($F$5*(1+$Q166)/$F$5)^'Dynamic CM'!$H$5))
*VLOOKUP($D$5,EAD_Table[#All],MATCH("EAD",EAD_Table[#Headers],0),FALSE)
*$F$5*(1+$Q166))</f>
        <v>-217.85340097689988</v>
      </c>
      <c r="U166" s="98" cm="1">
        <f t="array" ref="U166">($F$6*(1+$Q166)*'User Segmentation'!$I$49)
-Dynamic_Row_Table[[Fixed Cost]:[Fixed Cost]]
-(Dynamic_Row_Table[[Funding Rate]:[Funding Rate]]*Dynamic_Row_Table[[Tenure (in months)]:[Tenure (in months)]]*$F$6*(1+$Q166)/12)
-(IF($Q166&lt;0,'Dynamic CM'!$G$6,'Dynamic CM'!$G$6*(($F$6*(1+$Q166)/$F$6)^'Dynamic CM'!$H$6))
*VLOOKUP($D$6,EAD_Table[#All],MATCH("EAD",EAD_Table[#Headers],0),FALSE)
*$F$6*(1+$Q166))</f>
        <v>-265.47230599414576</v>
      </c>
    </row>
    <row r="167" spans="17:21" x14ac:dyDescent="0.2">
      <c r="Q167" s="64">
        <v>14.9</v>
      </c>
      <c r="R167" s="98" cm="1">
        <f t="array" ref="R167">($F$3*(1+$Q167)*'User Segmentation'!$I$49)
-Dynamic_Row_Table[[Fixed Cost]:[Fixed Cost]]
-(Dynamic_Row_Table[[Funding Rate]:[Funding Rate]]*Dynamic_Row_Table[[Tenure (in months)]:[Tenure (in months)]]*$F$3*(1+$Q167)/12)
-(IF($Q167&lt;0,'Dynamic CM'!$G$3,'Dynamic CM'!$G$3*(($F$3*(1+$Q167)/$F$3)^'Dynamic CM'!$H$3))
*VLOOKUP($D$3,EAD_Table[#All],MATCH("EAD",EAD_Table[#Headers],0),FALSE)
*$F$3*(1+$Q167))</f>
        <v>-4142.2476751950353</v>
      </c>
      <c r="S167" s="98" cm="1">
        <f t="array" ref="S167">($F$4*(1+$Q167)*'User Segmentation'!$I$49)
-Dynamic_Row_Table[[Fixed Cost]:[Fixed Cost]]
-(Dynamic_Row_Table[[Funding Rate]:[Funding Rate]]*Dynamic_Row_Table[[Tenure (in months)]:[Tenure (in months)]]*$F$4*(1+$Q167)/12)
-(IF($Q167&lt;0,'Dynamic CM'!$G$4,'Dynamic CM'!$G$4*(($F$4*(1+$Q167)/$F$4)^'Dynamic CM'!$H$4))
*VLOOKUP($D$4,EAD_Table[#All],MATCH("EAD",EAD_Table[#Headers],0),FALSE)
*$F$4*(1+$Q167))</f>
        <v>-384.43031247875132</v>
      </c>
      <c r="T167" s="98" cm="1">
        <f t="array" ref="T167">($F$5*(1+$Q167)*'User Segmentation'!$I$49)
-Dynamic_Row_Table[[Fixed Cost]:[Fixed Cost]]
-(Dynamic_Row_Table[[Funding Rate]:[Funding Rate]]*Dynamic_Row_Table[[Tenure (in months)]:[Tenure (in months)]]*$F$5*(1+$Q167)/12)
-(IF($Q167&lt;0,'Dynamic CM'!$G$5,'Dynamic CM'!$G$5*(($F$5*(1+$Q167)/$F$5)^'Dynamic CM'!$H$5))
*VLOOKUP($D$5,EAD_Table[#All],MATCH("EAD",EAD_Table[#Headers],0),FALSE)
*$F$5*(1+$Q167))</f>
        <v>-222.54739265458704</v>
      </c>
      <c r="U167" s="98" cm="1">
        <f t="array" ref="U167">($F$6*(1+$Q167)*'User Segmentation'!$I$49)
-Dynamic_Row_Table[[Fixed Cost]:[Fixed Cost]]
-(Dynamic_Row_Table[[Funding Rate]:[Funding Rate]]*Dynamic_Row_Table[[Tenure (in months)]:[Tenure (in months)]]*$F$6*(1+$Q167)/12)
-(IF($Q167&lt;0,'Dynamic CM'!$G$6,'Dynamic CM'!$G$6*(($F$6*(1+$Q167)/$F$6)^'Dynamic CM'!$H$6))
*VLOOKUP($D$6,EAD_Table[#All],MATCH("EAD",EAD_Table[#Headers],0),FALSE)
*$F$6*(1+$Q167))</f>
        <v>-269.97687810502333</v>
      </c>
    </row>
    <row r="168" spans="17:21" x14ac:dyDescent="0.2">
      <c r="Q168" s="64">
        <v>15</v>
      </c>
      <c r="R168" s="98" cm="1">
        <f t="array" ref="R168">($F$3*(1+$Q168)*'User Segmentation'!$I$49)
-Dynamic_Row_Table[[Fixed Cost]:[Fixed Cost]]
-(Dynamic_Row_Table[[Funding Rate]:[Funding Rate]]*Dynamic_Row_Table[[Tenure (in months)]:[Tenure (in months)]]*$F$3*(1+$Q168)/12)
-(IF($Q168&lt;0,'Dynamic CM'!$G$3,'Dynamic CM'!$G$3*(($F$3*(1+$Q168)/$F$3)^'Dynamic CM'!$H$3))
*VLOOKUP($D$3,EAD_Table[#All],MATCH("EAD",EAD_Table[#Headers],0),FALSE)
*$F$3*(1+$Q168))</f>
        <v>-4218.3480908873553</v>
      </c>
      <c r="S168" s="98" cm="1">
        <f t="array" ref="S168">($F$4*(1+$Q168)*'User Segmentation'!$I$49)
-Dynamic_Row_Table[[Fixed Cost]:[Fixed Cost]]
-(Dynamic_Row_Table[[Funding Rate]:[Funding Rate]]*Dynamic_Row_Table[[Tenure (in months)]:[Tenure (in months)]]*$F$4*(1+$Q168)/12)
-(IF($Q168&lt;0,'Dynamic CM'!$G$4,'Dynamic CM'!$G$4*(($F$4*(1+$Q168)/$F$4)^'Dynamic CM'!$H$4))
*VLOOKUP($D$4,EAD_Table[#All],MATCH("EAD",EAD_Table[#Headers],0),FALSE)
*$F$4*(1+$Q168))</f>
        <v>-390.97059733062679</v>
      </c>
      <c r="T168" s="98" cm="1">
        <f t="array" ref="T168">($F$5*(1+$Q168)*'User Segmentation'!$I$49)
-Dynamic_Row_Table[[Fixed Cost]:[Fixed Cost]]
-(Dynamic_Row_Table[[Funding Rate]:[Funding Rate]]*Dynamic_Row_Table[[Tenure (in months)]:[Tenure (in months)]]*$F$5*(1+$Q168)/12)
-(IF($Q168&lt;0,'Dynamic CM'!$G$5,'Dynamic CM'!$G$5*(($F$5*(1+$Q168)/$F$5)^'Dynamic CM'!$H$5))
*VLOOKUP($D$5,EAD_Table[#All],MATCH("EAD",EAD_Table[#Headers],0),FALSE)
*$F$5*(1+$Q168))</f>
        <v>-227.28482199870149</v>
      </c>
      <c r="U168" s="98" cm="1">
        <f t="array" ref="U168">($F$6*(1+$Q168)*'User Segmentation'!$I$49)
-Dynamic_Row_Table[[Fixed Cost]:[Fixed Cost]]
-(Dynamic_Row_Table[[Funding Rate]:[Funding Rate]]*Dynamic_Row_Table[[Tenure (in months)]:[Tenure (in months)]]*$F$6*(1+$Q168)/12)
-(IF($Q168&lt;0,'Dynamic CM'!$G$6,'Dynamic CM'!$G$6*(($F$6*(1+$Q168)/$F$6)^'Dynamic CM'!$H$6))
*VLOOKUP($D$6,EAD_Table[#All],MATCH("EAD",EAD_Table[#Headers],0),FALSE)
*$F$6*(1+$Q168))</f>
        <v>-274.52297998377895</v>
      </c>
    </row>
  </sheetData>
  <phoneticPr fontId="10" type="noConversion"/>
  <conditionalFormatting sqref="B9:B32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{5D1C4129-6DF5-C146-A668-82684ED4FDB6}</x14:id>
        </ext>
      </extLst>
    </cfRule>
  </conditionalFormatting>
  <conditionalFormatting sqref="C9:E32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{943D0E27-87C1-1748-9A0B-A26B40BFC4A4}</x14:id>
        </ext>
      </extLst>
    </cfRule>
  </conditionalFormatting>
  <pageMargins left="0.7" right="0.7" top="0.75" bottom="0.75" header="0.3" footer="0.3"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1C4129-6DF5-C146-A668-82684ED4FD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B9:B32</xm:sqref>
        </x14:conditionalFormatting>
        <x14:conditionalFormatting xmlns:xm="http://schemas.microsoft.com/office/excel/2006/main">
          <x14:cfRule type="dataBar" id="{943D0E27-87C1-1748-9A0B-A26B40BFC4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C9:E32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FDDC-3FE7-C44A-B8A0-013A0374403D}">
  <sheetPr codeName="Sheet8">
    <tabColor theme="1"/>
  </sheetPr>
  <dimension ref="A1:N38"/>
  <sheetViews>
    <sheetView zoomScale="56" workbookViewId="0">
      <selection activeCell="B4" sqref="B4"/>
    </sheetView>
  </sheetViews>
  <sheetFormatPr baseColWidth="10" defaultRowHeight="16" x14ac:dyDescent="0.2"/>
  <cols>
    <col min="1" max="1" width="42.6640625" bestFit="1" customWidth="1"/>
    <col min="2" max="2" width="17.1640625" bestFit="1" customWidth="1"/>
    <col min="3" max="3" width="13.5" bestFit="1" customWidth="1"/>
    <col min="4" max="4" width="9.33203125" bestFit="1" customWidth="1"/>
    <col min="5" max="5" width="10.1640625" bestFit="1" customWidth="1"/>
    <col min="6" max="6" width="6.5" bestFit="1" customWidth="1"/>
    <col min="7" max="7" width="10.83203125" bestFit="1" customWidth="1"/>
    <col min="9" max="9" width="22.1640625" bestFit="1" customWidth="1"/>
    <col min="10" max="10" width="13.5" bestFit="1" customWidth="1"/>
    <col min="11" max="11" width="12.1640625" bestFit="1" customWidth="1"/>
    <col min="12" max="12" width="12.1640625" hidden="1" customWidth="1"/>
    <col min="13" max="14" width="12.1640625" bestFit="1" customWidth="1"/>
  </cols>
  <sheetData>
    <row r="1" spans="1:14" ht="27" x14ac:dyDescent="0.35">
      <c r="A1" s="115" t="s">
        <v>107</v>
      </c>
      <c r="B1" s="116" t="s">
        <v>38</v>
      </c>
    </row>
    <row r="2" spans="1:14" ht="27" x14ac:dyDescent="0.35">
      <c r="A2" s="115" t="s">
        <v>101</v>
      </c>
      <c r="B2" s="116" cm="1">
        <f t="array" ref="B2">Table48[Portfolio Default Rate] + 'Default Rates'!$C$10*'Default Rates'!$D$10</f>
        <v>1.7289750755928434E-2</v>
      </c>
      <c r="L2" s="10">
        <v>-400</v>
      </c>
    </row>
    <row r="3" spans="1:14" ht="27" x14ac:dyDescent="0.35">
      <c r="A3" s="115" t="s">
        <v>169</v>
      </c>
      <c r="B3" s="117">
        <f>SUM(Portfolio_Loans[[Deep Subprime]:[Super Prime]])/SUM(Portfolio_Num[[Deep Subprime]:[Super Prime]])</f>
        <v>6.5153193494338986</v>
      </c>
      <c r="L3" s="10">
        <v>-375</v>
      </c>
    </row>
    <row r="4" spans="1:14" ht="27" x14ac:dyDescent="0.35">
      <c r="A4" s="115" t="s">
        <v>105</v>
      </c>
      <c r="B4" s="138">
        <f>SUMPRODUCT(ATS_Table[[Deep Subprime]:[Super Prime]],Portfolio_Loans[[Deep Subprime]:[Super Prime]])/SUM(Portfolio_Loans[[Deep Subprime]:[Super Prime]])</f>
        <v>143.89083660926707</v>
      </c>
      <c r="L4" s="10">
        <v>-350</v>
      </c>
    </row>
    <row r="5" spans="1:14" ht="27" x14ac:dyDescent="0.35">
      <c r="A5" s="115" t="s">
        <v>106</v>
      </c>
      <c r="B5" s="118">
        <f>SUMPRODUCT(ARPU_Table[[Deep Subprime]:[Super Prime]],Portfolio_Num[[Deep Subprime]:[Super Prime]])/SUM(Portfolio_Num[[Deep Subprime]:[Super Prime]])</f>
        <v>46.874737598329475</v>
      </c>
      <c r="L5" s="10">
        <v>-325</v>
      </c>
    </row>
    <row r="6" spans="1:14" ht="27" x14ac:dyDescent="0.35">
      <c r="A6" s="115" t="s">
        <v>168</v>
      </c>
      <c r="B6" s="119">
        <f>SUMPRODUCT(CMPerLoan[[Deep Subprime]:[Super Prime]],Portfolio_Loans[[Deep Subprime]:[Super Prime]])/SUM(Portfolio_Loans[[Deep Subprime]:[Super Prime]])</f>
        <v>1.233130895802097</v>
      </c>
      <c r="L6" s="10">
        <v>-300</v>
      </c>
    </row>
    <row r="7" spans="1:14" ht="27" x14ac:dyDescent="0.35">
      <c r="A7" s="115" t="s">
        <v>167</v>
      </c>
      <c r="B7" s="119">
        <f>B6*B3</f>
        <v>8.0342415858041587</v>
      </c>
      <c r="L7" s="10">
        <v>-275</v>
      </c>
    </row>
    <row r="8" spans="1:14" x14ac:dyDescent="0.2">
      <c r="L8" s="10">
        <v>-250</v>
      </c>
    </row>
    <row r="9" spans="1:14" x14ac:dyDescent="0.2">
      <c r="L9" s="10">
        <v>-225</v>
      </c>
    </row>
    <row r="10" spans="1:14" x14ac:dyDescent="0.2">
      <c r="C10" s="65"/>
      <c r="D10" s="65"/>
      <c r="E10" s="65"/>
      <c r="F10" s="65"/>
      <c r="G10" s="65"/>
      <c r="J10" s="10"/>
      <c r="K10" s="10"/>
      <c r="L10" s="10">
        <v>-200</v>
      </c>
      <c r="M10" s="10"/>
      <c r="N10" s="10"/>
    </row>
    <row r="11" spans="1:14" x14ac:dyDescent="0.2">
      <c r="C11" s="65"/>
      <c r="D11" s="65"/>
      <c r="E11" s="65"/>
      <c r="F11" s="65"/>
      <c r="G11" s="65"/>
      <c r="I11" s="61"/>
      <c r="J11" s="10"/>
      <c r="K11" s="10"/>
      <c r="L11" s="10">
        <v>-175</v>
      </c>
      <c r="M11" s="10"/>
      <c r="N11" s="10"/>
    </row>
    <row r="12" spans="1:14" x14ac:dyDescent="0.2">
      <c r="C12" s="65"/>
      <c r="D12" s="65"/>
      <c r="E12" s="65"/>
      <c r="F12" s="65"/>
      <c r="G12" s="65"/>
      <c r="J12" s="10"/>
      <c r="K12" s="10"/>
      <c r="L12" s="10">
        <v>-150</v>
      </c>
      <c r="M12" s="10"/>
      <c r="N12" s="10"/>
    </row>
    <row r="13" spans="1:14" x14ac:dyDescent="0.2">
      <c r="C13" s="65"/>
      <c r="D13" s="65"/>
      <c r="E13" s="65"/>
      <c r="F13" s="65"/>
      <c r="G13" s="65"/>
      <c r="J13" s="10"/>
      <c r="K13" s="10"/>
      <c r="L13" s="10">
        <v>-125</v>
      </c>
      <c r="M13" s="10"/>
      <c r="N13" s="10"/>
    </row>
    <row r="14" spans="1:14" x14ac:dyDescent="0.2">
      <c r="C14" s="65"/>
      <c r="D14" s="65"/>
      <c r="E14" s="65"/>
      <c r="F14" s="65"/>
      <c r="G14" s="65"/>
      <c r="J14" s="10"/>
      <c r="K14" s="10"/>
      <c r="L14" s="10">
        <v>-100</v>
      </c>
      <c r="M14" s="10"/>
      <c r="N14" s="10"/>
    </row>
    <row r="15" spans="1:14" x14ac:dyDescent="0.2">
      <c r="C15" s="65"/>
      <c r="D15" s="65"/>
      <c r="E15" s="65"/>
      <c r="F15" s="65"/>
      <c r="G15" s="65"/>
      <c r="J15" s="10"/>
      <c r="K15" s="10"/>
      <c r="L15" s="10">
        <v>-75</v>
      </c>
      <c r="M15" s="10"/>
      <c r="N15" s="10"/>
    </row>
    <row r="16" spans="1:14" x14ac:dyDescent="0.2">
      <c r="C16" s="65"/>
      <c r="D16" s="65"/>
      <c r="E16" s="65"/>
      <c r="F16" s="65"/>
      <c r="G16" s="65"/>
      <c r="J16" s="10"/>
      <c r="K16" s="10"/>
      <c r="L16" s="10">
        <v>-50</v>
      </c>
      <c r="M16" s="10"/>
      <c r="N16" s="10"/>
    </row>
    <row r="17" spans="3:14" x14ac:dyDescent="0.2">
      <c r="C17" s="65"/>
      <c r="D17" s="65"/>
      <c r="E17" s="65"/>
      <c r="F17" s="65"/>
      <c r="G17" s="65"/>
      <c r="J17" s="10"/>
      <c r="K17" s="10"/>
      <c r="L17" s="10">
        <v>-25</v>
      </c>
      <c r="M17" s="10"/>
      <c r="N17" s="10"/>
    </row>
    <row r="18" spans="3:14" x14ac:dyDescent="0.2">
      <c r="C18" s="65"/>
      <c r="D18" s="65"/>
      <c r="E18" s="65"/>
      <c r="F18" s="65"/>
      <c r="G18" s="65"/>
      <c r="J18" s="10"/>
      <c r="K18" s="10"/>
      <c r="L18" s="10">
        <v>0</v>
      </c>
      <c r="M18" s="10"/>
      <c r="N18" s="10"/>
    </row>
    <row r="19" spans="3:14" x14ac:dyDescent="0.2">
      <c r="C19" s="65"/>
      <c r="D19" s="65"/>
      <c r="E19" s="65"/>
      <c r="F19" s="65"/>
      <c r="G19" s="65"/>
      <c r="J19" s="10"/>
      <c r="K19" s="10"/>
      <c r="L19" s="10">
        <v>25</v>
      </c>
      <c r="M19" s="10"/>
      <c r="N19" s="10"/>
    </row>
    <row r="20" spans="3:14" x14ac:dyDescent="0.2">
      <c r="C20" s="65"/>
      <c r="D20" s="65"/>
      <c r="E20" s="65"/>
      <c r="F20" s="65"/>
      <c r="G20" s="65"/>
      <c r="J20" s="10"/>
      <c r="K20" s="10"/>
      <c r="L20" s="10">
        <v>50</v>
      </c>
      <c r="M20" s="10"/>
      <c r="N20" s="10"/>
    </row>
    <row r="21" spans="3:14" x14ac:dyDescent="0.2">
      <c r="C21" s="65"/>
      <c r="D21" s="65"/>
      <c r="E21" s="65"/>
      <c r="F21" s="65"/>
      <c r="G21" s="65"/>
      <c r="J21" s="10"/>
      <c r="K21" s="10"/>
      <c r="L21" s="10">
        <v>75</v>
      </c>
      <c r="M21" s="10"/>
      <c r="N21" s="10"/>
    </row>
    <row r="22" spans="3:14" x14ac:dyDescent="0.2">
      <c r="L22" s="10">
        <v>100</v>
      </c>
    </row>
    <row r="23" spans="3:14" x14ac:dyDescent="0.2">
      <c r="L23" s="10">
        <v>125</v>
      </c>
    </row>
    <row r="24" spans="3:14" x14ac:dyDescent="0.2">
      <c r="L24" s="10">
        <v>150</v>
      </c>
    </row>
    <row r="25" spans="3:14" x14ac:dyDescent="0.2">
      <c r="L25" s="10">
        <v>175</v>
      </c>
    </row>
    <row r="26" spans="3:14" x14ac:dyDescent="0.2">
      <c r="C26" s="65"/>
      <c r="D26" s="65"/>
      <c r="E26" s="65"/>
      <c r="F26" s="65"/>
      <c r="G26" s="65"/>
      <c r="J26" s="10"/>
      <c r="K26" s="10"/>
      <c r="L26" s="10">
        <v>200</v>
      </c>
      <c r="M26" s="10"/>
      <c r="N26" s="10"/>
    </row>
    <row r="27" spans="3:14" x14ac:dyDescent="0.2">
      <c r="C27" s="65"/>
      <c r="D27" s="65"/>
      <c r="E27" s="65"/>
      <c r="F27" s="65"/>
      <c r="G27" s="65"/>
      <c r="J27" s="10"/>
      <c r="K27" s="10"/>
      <c r="L27" s="10">
        <v>225</v>
      </c>
      <c r="M27" s="10"/>
      <c r="N27" s="10"/>
    </row>
    <row r="28" spans="3:14" x14ac:dyDescent="0.2">
      <c r="C28" s="65"/>
      <c r="D28" s="65"/>
      <c r="E28" s="65"/>
      <c r="F28" s="65"/>
      <c r="G28" s="65"/>
      <c r="J28" s="10"/>
      <c r="K28" s="10"/>
      <c r="L28" s="10">
        <v>250</v>
      </c>
      <c r="M28" s="10"/>
      <c r="N28" s="10"/>
    </row>
    <row r="29" spans="3:14" x14ac:dyDescent="0.2">
      <c r="C29" s="65"/>
      <c r="D29" s="65"/>
      <c r="E29" s="65"/>
      <c r="F29" s="65"/>
      <c r="G29" s="65"/>
      <c r="J29" s="10"/>
      <c r="K29" s="10"/>
      <c r="L29" s="10">
        <v>275</v>
      </c>
      <c r="M29" s="10"/>
      <c r="N29" s="10"/>
    </row>
    <row r="30" spans="3:14" x14ac:dyDescent="0.2">
      <c r="C30" s="65"/>
      <c r="D30" s="65"/>
      <c r="E30" s="65"/>
      <c r="F30" s="65"/>
      <c r="G30" s="65"/>
      <c r="J30" s="10"/>
      <c r="K30" s="10"/>
      <c r="L30" s="10">
        <v>300</v>
      </c>
      <c r="M30" s="10"/>
      <c r="N30" s="10"/>
    </row>
    <row r="31" spans="3:14" x14ac:dyDescent="0.2">
      <c r="C31" s="65"/>
      <c r="D31" s="65"/>
      <c r="E31" s="65"/>
      <c r="F31" s="65"/>
      <c r="G31" s="65"/>
      <c r="J31" s="10"/>
      <c r="K31" s="10"/>
      <c r="L31" s="10">
        <v>325</v>
      </c>
      <c r="M31" s="10"/>
      <c r="N31" s="10"/>
    </row>
    <row r="32" spans="3:14" x14ac:dyDescent="0.2">
      <c r="C32" s="65"/>
      <c r="D32" s="65"/>
      <c r="E32" s="65"/>
      <c r="F32" s="65"/>
      <c r="G32" s="65"/>
      <c r="J32" s="10"/>
      <c r="K32" s="10"/>
      <c r="L32" s="10">
        <v>350</v>
      </c>
      <c r="M32" s="10"/>
      <c r="N32" s="10"/>
    </row>
    <row r="33" spans="3:14" x14ac:dyDescent="0.2">
      <c r="C33" s="65"/>
      <c r="D33" s="65"/>
      <c r="E33" s="65"/>
      <c r="F33" s="65"/>
      <c r="G33" s="65"/>
      <c r="J33" s="10"/>
      <c r="K33" s="10"/>
      <c r="L33" s="10">
        <v>375</v>
      </c>
      <c r="M33" s="10"/>
      <c r="N33" s="10"/>
    </row>
    <row r="34" spans="3:14" x14ac:dyDescent="0.2">
      <c r="C34" s="65"/>
      <c r="D34" s="65"/>
      <c r="E34" s="65"/>
      <c r="F34" s="65"/>
      <c r="G34" s="65"/>
      <c r="J34" s="10"/>
      <c r="K34" s="10"/>
      <c r="L34" s="10">
        <v>400</v>
      </c>
      <c r="M34" s="10"/>
      <c r="N34" s="10"/>
    </row>
    <row r="35" spans="3:14" x14ac:dyDescent="0.2">
      <c r="C35" s="65"/>
      <c r="D35" s="65"/>
      <c r="E35" s="65"/>
      <c r="F35" s="65"/>
      <c r="G35" s="65"/>
      <c r="J35" s="10"/>
      <c r="K35" s="10"/>
      <c r="L35" s="10"/>
      <c r="M35" s="10"/>
      <c r="N35" s="10"/>
    </row>
    <row r="36" spans="3:14" x14ac:dyDescent="0.2">
      <c r="C36" s="65"/>
      <c r="D36" s="65"/>
      <c r="E36" s="65"/>
      <c r="F36" s="65"/>
      <c r="G36" s="65"/>
      <c r="J36" s="10"/>
      <c r="K36" s="10"/>
      <c r="L36" s="10"/>
      <c r="M36" s="10"/>
      <c r="N36" s="10"/>
    </row>
    <row r="37" spans="3:14" x14ac:dyDescent="0.2">
      <c r="C37" s="65"/>
      <c r="D37" s="65"/>
      <c r="E37" s="65"/>
      <c r="F37" s="65"/>
      <c r="G37" s="65"/>
      <c r="J37" s="10"/>
      <c r="K37" s="10"/>
      <c r="L37" s="10"/>
      <c r="M37" s="10"/>
      <c r="N37" s="10"/>
    </row>
    <row r="38" spans="3:14" x14ac:dyDescent="0.2">
      <c r="C38" s="65"/>
      <c r="D38" s="65"/>
      <c r="E38" s="65"/>
      <c r="F38" s="65"/>
      <c r="G38" s="65"/>
      <c r="L38" s="10"/>
    </row>
  </sheetData>
  <conditionalFormatting sqref="C26:G38">
    <cfRule type="colorScale" priority="3">
      <colorScale>
        <cfvo type="min"/>
        <cfvo type="percentile" val="50"/>
        <cfvo type="max"/>
        <color rgb="FF6BC17C"/>
        <color rgb="FFFFEB84"/>
        <color rgb="FFC25353"/>
      </colorScale>
    </cfRule>
  </conditionalFormatting>
  <conditionalFormatting sqref="J26:K37 M26:N3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{8029685F-0C56-EC45-A8B0-22249DBB4D7F}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29685F-0C56-EC45-A8B0-22249DBB4D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J26:K37 M26:N37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E63F-B777-874F-8BBB-13B05EC9AAB0}">
  <sheetPr codeName="Sheet9">
    <tabColor theme="1" tint="0.249977111117893"/>
  </sheetPr>
  <dimension ref="A11:AF67"/>
  <sheetViews>
    <sheetView showGridLines="0" zoomScale="47" zoomScaleNormal="50" workbookViewId="0">
      <selection activeCell="AI26" sqref="AI26"/>
    </sheetView>
  </sheetViews>
  <sheetFormatPr baseColWidth="10" defaultRowHeight="16" x14ac:dyDescent="0.2"/>
  <cols>
    <col min="1" max="5" width="15.1640625" customWidth="1"/>
    <col min="6" max="7" width="5.83203125" customWidth="1"/>
    <col min="8" max="8" width="6.83203125" customWidth="1"/>
    <col min="9" max="10" width="10.83203125" customWidth="1"/>
    <col min="12" max="12" width="10.83203125" customWidth="1"/>
    <col min="17" max="17" width="10.6640625" customWidth="1"/>
    <col min="18" max="18" width="10.83203125" customWidth="1"/>
    <col min="19" max="19" width="12.33203125" customWidth="1"/>
    <col min="20" max="20" width="11.5" customWidth="1"/>
    <col min="21" max="21" width="2.5" customWidth="1"/>
    <col min="22" max="22" width="4.33203125" customWidth="1"/>
    <col min="23" max="27" width="15" customWidth="1"/>
    <col min="28" max="28" width="16.33203125" customWidth="1"/>
    <col min="29" max="29" width="12.6640625" customWidth="1"/>
    <col min="30" max="30" width="8.83203125" customWidth="1"/>
  </cols>
  <sheetData>
    <row r="11" spans="8:32" x14ac:dyDescent="0.2">
      <c r="H11" s="192" t="s">
        <v>0</v>
      </c>
      <c r="I11" s="192"/>
      <c r="J11" s="192"/>
      <c r="M11" s="192" t="s">
        <v>34</v>
      </c>
      <c r="N11" s="192"/>
      <c r="O11" s="192"/>
      <c r="R11" s="192" t="s">
        <v>57</v>
      </c>
      <c r="S11" s="192"/>
      <c r="T11" s="192"/>
    </row>
    <row r="12" spans="8:32" x14ac:dyDescent="0.2">
      <c r="H12" s="192"/>
      <c r="I12" s="192"/>
      <c r="J12" s="192"/>
      <c r="M12" s="192"/>
      <c r="N12" s="192"/>
      <c r="O12" s="192"/>
      <c r="R12" s="192"/>
      <c r="S12" s="192"/>
      <c r="T12" s="192"/>
    </row>
    <row r="13" spans="8:32" x14ac:dyDescent="0.2">
      <c r="H13" s="192"/>
      <c r="I13" s="192"/>
      <c r="J13" s="192"/>
      <c r="M13" s="192"/>
      <c r="N13" s="192"/>
      <c r="O13" s="192"/>
      <c r="R13" s="192"/>
      <c r="S13" s="192"/>
      <c r="T13" s="192"/>
    </row>
    <row r="14" spans="8:32" x14ac:dyDescent="0.2">
      <c r="AF14" s="105"/>
    </row>
    <row r="15" spans="8:32" ht="16" customHeight="1" x14ac:dyDescent="0.2">
      <c r="H15" s="193" t="s">
        <v>29</v>
      </c>
      <c r="I15" s="193"/>
      <c r="J15" s="193"/>
      <c r="M15" s="193" t="s">
        <v>36</v>
      </c>
      <c r="N15" s="193"/>
      <c r="O15" s="193"/>
      <c r="R15" s="193" t="s">
        <v>60</v>
      </c>
      <c r="S15" s="193"/>
      <c r="T15" s="193"/>
    </row>
    <row r="16" spans="8:32" ht="16" customHeight="1" x14ac:dyDescent="0.2">
      <c r="H16" s="193"/>
      <c r="I16" s="193"/>
      <c r="J16" s="193"/>
      <c r="M16" s="193"/>
      <c r="N16" s="193"/>
      <c r="O16" s="193"/>
      <c r="R16" s="193"/>
      <c r="S16" s="193"/>
      <c r="T16" s="193"/>
    </row>
    <row r="17" spans="8:20" ht="16" customHeight="1" x14ac:dyDescent="0.2">
      <c r="H17" s="193"/>
      <c r="I17" s="193"/>
      <c r="J17" s="193"/>
      <c r="M17" s="193"/>
      <c r="N17" s="193"/>
      <c r="O17" s="193"/>
      <c r="R17" s="193"/>
      <c r="S17" s="193"/>
      <c r="T17" s="193"/>
    </row>
    <row r="18" spans="8:20" ht="16" customHeight="1" x14ac:dyDescent="0.2"/>
    <row r="20" spans="8:20" ht="16" customHeight="1" x14ac:dyDescent="0.2">
      <c r="J20" s="200" t="s">
        <v>141</v>
      </c>
      <c r="K20" s="200"/>
      <c r="L20" s="200"/>
      <c r="P20" s="200" t="s">
        <v>140</v>
      </c>
      <c r="Q20" s="200"/>
      <c r="R20" s="200"/>
    </row>
    <row r="21" spans="8:20" ht="16" customHeight="1" x14ac:dyDescent="0.2">
      <c r="J21" s="200"/>
      <c r="K21" s="200"/>
      <c r="L21" s="200"/>
      <c r="P21" s="200"/>
      <c r="Q21" s="200"/>
      <c r="R21" s="200"/>
    </row>
    <row r="22" spans="8:20" ht="16" customHeight="1" x14ac:dyDescent="0.2">
      <c r="J22" s="200"/>
      <c r="K22" s="200"/>
      <c r="L22" s="200"/>
      <c r="P22" s="200"/>
      <c r="Q22" s="200"/>
      <c r="R22" s="200"/>
    </row>
    <row r="23" spans="8:20" ht="22" x14ac:dyDescent="0.3">
      <c r="J23" s="194" t="s">
        <v>142</v>
      </c>
      <c r="K23" s="194"/>
      <c r="L23" s="194"/>
      <c r="P23" s="194" t="s">
        <v>142</v>
      </c>
      <c r="Q23" s="194"/>
      <c r="R23" s="194"/>
    </row>
    <row r="25" spans="8:20" ht="16" customHeight="1" x14ac:dyDescent="0.2">
      <c r="K25" s="195">
        <v>0</v>
      </c>
      <c r="Q25" s="195">
        <v>0</v>
      </c>
    </row>
    <row r="26" spans="8:20" ht="16" customHeight="1" x14ac:dyDescent="0.2">
      <c r="K26" s="195"/>
      <c r="Q26" s="195"/>
    </row>
    <row r="27" spans="8:20" ht="16" customHeight="1" x14ac:dyDescent="0.2"/>
    <row r="37" spans="1:26" ht="17" thickBot="1" x14ac:dyDescent="0.25"/>
    <row r="38" spans="1:26" ht="30" customHeight="1" x14ac:dyDescent="0.2">
      <c r="A38" s="196" t="s">
        <v>73</v>
      </c>
      <c r="B38" s="211"/>
      <c r="C38" s="203" t="s">
        <v>116</v>
      </c>
      <c r="D38" s="204"/>
      <c r="E38" s="196" t="s">
        <v>138</v>
      </c>
      <c r="F38" s="197"/>
      <c r="W38" s="108"/>
      <c r="X38" s="108"/>
      <c r="Y38" s="108"/>
      <c r="Z38" s="108"/>
    </row>
    <row r="39" spans="1:26" ht="30" customHeight="1" thickBot="1" x14ac:dyDescent="0.25">
      <c r="A39" s="212"/>
      <c r="B39" s="213"/>
      <c r="C39" s="205"/>
      <c r="D39" s="206"/>
      <c r="E39" s="198"/>
      <c r="F39" s="199"/>
      <c r="W39" s="108"/>
      <c r="X39" s="108"/>
      <c r="Y39" s="108"/>
      <c r="Z39" s="108"/>
    </row>
    <row r="40" spans="1:26" ht="30" customHeight="1" x14ac:dyDescent="0.2">
      <c r="A40" s="207" cm="1">
        <f t="array" ref="A40">INDEX('Portfolio x PD x Loan Count'!$C$94:$G$105, MATCH(1,($H$15='Portfolio x PD x Loan Count'!$A$94:$A$105)*($M$15='Portfolio x PD x Loan Count'!$B$132:$B$143),0),MATCH($R$15,'Portfolio x PD x Loan Count'!$C$93:$G$93,0))</f>
        <v>8.6400000000000001E-3</v>
      </c>
      <c r="B40" s="208"/>
      <c r="C40" s="240" cm="1">
        <f t="array" ref="C40">INDEX('Support Tables'!C18:G29, MATCH(1,('Support Tables'!$A$18:$A$29=$H$15)*('Support Tables'!$B$18:$B$29=$M$15),0), MATCH($R$15,'Support Tables'!$C$17:$G$17,0))</f>
        <v>125.14880952380952</v>
      </c>
      <c r="D40" s="241"/>
      <c r="E40" s="236" cm="1">
        <f t="array" ref="E40">INDEX('Support Tables'!C33:G44, MATCH(1,('Support Tables'!$A$18:$A$29=$H$15)*('Support Tables'!$B$18:$B$29=$M$15),0), MATCH($R$15,'Support Tables'!$C$17:$G$17,0))</f>
        <v>30.249747347660506</v>
      </c>
      <c r="F40" s="237"/>
      <c r="W40" s="108"/>
      <c r="X40" s="108"/>
      <c r="Y40" s="108"/>
      <c r="Z40" s="108"/>
    </row>
    <row r="41" spans="1:26" ht="30" customHeight="1" x14ac:dyDescent="0.2">
      <c r="A41" s="209"/>
      <c r="B41" s="210"/>
      <c r="C41" s="242"/>
      <c r="D41" s="243"/>
      <c r="E41" s="238"/>
      <c r="F41" s="239"/>
      <c r="W41" s="201" t="s">
        <v>148</v>
      </c>
      <c r="X41" s="201"/>
      <c r="Y41" s="201"/>
      <c r="Z41" s="201"/>
    </row>
    <row r="42" spans="1:26" ht="28" customHeight="1" x14ac:dyDescent="0.2">
      <c r="A42" s="233" t="s">
        <v>150</v>
      </c>
      <c r="B42" s="234"/>
      <c r="C42" s="229" t="s">
        <v>143</v>
      </c>
      <c r="D42" s="230"/>
      <c r="E42" s="226" t="s">
        <v>139</v>
      </c>
      <c r="F42" s="227"/>
      <c r="W42" s="201"/>
      <c r="X42" s="201"/>
      <c r="Y42" s="201"/>
      <c r="Z42" s="201"/>
    </row>
    <row r="43" spans="1:26" ht="28" customHeight="1" x14ac:dyDescent="0.2">
      <c r="A43" s="212"/>
      <c r="B43" s="235"/>
      <c r="C43" s="231"/>
      <c r="D43" s="232"/>
      <c r="E43" s="205"/>
      <c r="F43" s="228"/>
      <c r="H43" s="108"/>
      <c r="W43" s="108"/>
      <c r="X43" s="108"/>
      <c r="Y43" s="108"/>
      <c r="Z43" s="108"/>
    </row>
    <row r="44" spans="1:26" ht="28" customHeight="1" x14ac:dyDescent="0.2">
      <c r="A44" s="214" cm="1">
        <f t="array" ref="A44">INDEX('Contribution Margin'!$C$18:$G$29,MATCH(1,('Contribution Margin'!$A$18:$A$29=$H$15)*('Contribution Margin'!$B$18:$B$29=$M$15),0),MATCH($R$15,'Contribution Margin'!$C$17:$G$17,0))</f>
        <v>5.8577652352189915</v>
      </c>
      <c r="B44" s="215"/>
      <c r="C44" s="218" cm="1">
        <f t="array" ref="C44">INDEX('Portfolio x PD x Loan Count'!$C$79:$G$90, MATCH(1,('Portfolio x PD x Loan Count'!$A$79:$A$90=$H$15)*('Portfolio x PD x Loan Count'!$B$79:$B$90=$M$15),0), MATCH($R$15,'Portfolio x PD x Loan Count'!$C$78:$G$78,0))</f>
        <v>1.2885705836529482E-2</v>
      </c>
      <c r="D44" s="219"/>
      <c r="E44" s="222" cm="1">
        <f t="array" ref="E44">(INDEX('Portfolio x PD x Loan Count'!$C$132:$G$143,MATCH(1,('Portfolio x PD x Loan Count'!$A$132:$A$143=$H$15)*('Portfolio x PD x Loan Count'!$B$132:$B$143=$M$15),0),MATCH($R$15,'Portfolio x PD x Loan Count'!$C$131:$G$131,0))/SUM('Portfolio x PD x Loan Count'!$C$132:$G$143))</f>
        <v>9.5608725688054834E-3</v>
      </c>
      <c r="F44" s="223"/>
      <c r="W44" s="202" t="s">
        <v>149</v>
      </c>
      <c r="X44" s="202"/>
      <c r="Y44" s="202" t="s">
        <v>102</v>
      </c>
      <c r="Z44" s="202"/>
    </row>
    <row r="45" spans="1:26" ht="32" customHeight="1" thickBot="1" x14ac:dyDescent="0.25">
      <c r="A45" s="216"/>
      <c r="B45" s="217"/>
      <c r="C45" s="220"/>
      <c r="D45" s="221"/>
      <c r="E45" s="224"/>
      <c r="F45" s="225"/>
      <c r="W45" s="202"/>
      <c r="X45" s="202"/>
      <c r="Y45" s="202"/>
      <c r="Z45" s="202"/>
    </row>
    <row r="46" spans="1:26" x14ac:dyDescent="0.2">
      <c r="A46" s="108"/>
      <c r="B46" s="108"/>
      <c r="C46" s="108"/>
      <c r="D46" s="108"/>
      <c r="E46" s="108"/>
      <c r="F46" s="108"/>
      <c r="W46" s="245">
        <f>'Portfolio Metrics'!$B$2</f>
        <v>1.7289750755928434E-2</v>
      </c>
      <c r="X46" s="246"/>
      <c r="Y46" s="244">
        <f>'Portfolio Metrics'!$B$4</f>
        <v>143.89083660926707</v>
      </c>
      <c r="Z46" s="244"/>
    </row>
    <row r="47" spans="1:26" x14ac:dyDescent="0.2">
      <c r="W47" s="246"/>
      <c r="X47" s="246"/>
      <c r="Y47" s="244"/>
      <c r="Z47" s="244"/>
    </row>
    <row r="48" spans="1:26" x14ac:dyDescent="0.2">
      <c r="W48" s="246"/>
      <c r="X48" s="246"/>
      <c r="Y48" s="244"/>
      <c r="Z48" s="244"/>
    </row>
    <row r="49" spans="5:27" x14ac:dyDescent="0.2">
      <c r="W49" s="202" t="s">
        <v>151</v>
      </c>
      <c r="X49" s="202"/>
      <c r="Y49" s="202" t="s">
        <v>103</v>
      </c>
      <c r="Z49" s="202"/>
    </row>
    <row r="50" spans="5:27" ht="22" customHeight="1" x14ac:dyDescent="0.2">
      <c r="E50" s="191"/>
      <c r="F50" s="191"/>
      <c r="W50" s="202"/>
      <c r="X50" s="202"/>
      <c r="Y50" s="202"/>
      <c r="Z50" s="202"/>
    </row>
    <row r="51" spans="5:27" ht="25" customHeight="1" x14ac:dyDescent="0.2">
      <c r="E51" s="191"/>
      <c r="F51" s="191"/>
      <c r="W51" s="202"/>
      <c r="X51" s="202"/>
      <c r="Y51" s="202"/>
      <c r="Z51" s="202"/>
    </row>
    <row r="52" spans="5:27" x14ac:dyDescent="0.2">
      <c r="W52" s="244">
        <f>'Portfolio Metrics'!$B$6</f>
        <v>1.233130895802097</v>
      </c>
      <c r="X52" s="244"/>
      <c r="Y52" s="244">
        <f>'Portfolio Metrics'!$B$5</f>
        <v>46.874737598329475</v>
      </c>
      <c r="Z52" s="244"/>
    </row>
    <row r="53" spans="5:27" x14ac:dyDescent="0.2">
      <c r="W53" s="244"/>
      <c r="X53" s="244"/>
      <c r="Y53" s="244"/>
      <c r="Z53" s="244"/>
    </row>
    <row r="54" spans="5:27" x14ac:dyDescent="0.2">
      <c r="W54" s="244"/>
      <c r="X54" s="244"/>
      <c r="Y54" s="244"/>
      <c r="Z54" s="244"/>
    </row>
    <row r="55" spans="5:27" x14ac:dyDescent="0.2">
      <c r="W55" s="108"/>
      <c r="X55" s="108"/>
      <c r="Y55" s="108"/>
      <c r="Z55" s="108"/>
    </row>
    <row r="56" spans="5:27" ht="1" customHeight="1" x14ac:dyDescent="0.2">
      <c r="W56" s="108"/>
      <c r="X56" s="108"/>
      <c r="Y56" s="108"/>
      <c r="Z56" s="108"/>
    </row>
    <row r="57" spans="5:27" ht="38" customHeight="1" x14ac:dyDescent="0.2">
      <c r="W57" s="247" t="str">
        <f>"Data Source: 2024 US BNPL market statistics (industry reports, census data, credit bureau distributions)
Interactive Features: Use dropdowns to select user profiles or adjust MDR/Funding Rate for scenario analysis."</f>
        <v>Data Source: 2024 US BNPL market statistics (industry reports, census data, credit bureau distributions)
Interactive Features: Use dropdowns to select user profiles or adjust MDR/Funding Rate for scenario analysis.</v>
      </c>
      <c r="X57" s="247"/>
      <c r="Y57" s="247"/>
      <c r="Z57" s="247"/>
    </row>
    <row r="58" spans="5:27" x14ac:dyDescent="0.2">
      <c r="W58" s="247"/>
      <c r="X58" s="247"/>
      <c r="Y58" s="247"/>
      <c r="Z58" s="247"/>
    </row>
    <row r="59" spans="5:27" x14ac:dyDescent="0.2">
      <c r="W59" s="247"/>
      <c r="X59" s="247"/>
      <c r="Y59" s="247"/>
      <c r="Z59" s="247"/>
    </row>
    <row r="60" spans="5:27" ht="14" customHeight="1" x14ac:dyDescent="0.2">
      <c r="W60" s="247"/>
      <c r="X60" s="247"/>
      <c r="Y60" s="247"/>
      <c r="Z60" s="247"/>
    </row>
    <row r="61" spans="5:27" ht="21" customHeight="1" x14ac:dyDescent="0.2">
      <c r="I61" s="202" t="s">
        <v>152</v>
      </c>
      <c r="J61" s="202"/>
      <c r="K61" s="202"/>
      <c r="M61" s="202" t="s">
        <v>166</v>
      </c>
      <c r="N61" s="202"/>
      <c r="O61" s="202"/>
      <c r="Q61" s="202" t="s">
        <v>153</v>
      </c>
      <c r="R61" s="202"/>
      <c r="S61" s="202"/>
      <c r="W61" s="247"/>
      <c r="X61" s="247"/>
      <c r="Y61" s="247"/>
      <c r="Z61" s="247"/>
      <c r="AA61" t="s">
        <v>80</v>
      </c>
    </row>
    <row r="62" spans="5:27" ht="16" customHeight="1" x14ac:dyDescent="0.2">
      <c r="I62" s="202"/>
      <c r="J62" s="202"/>
      <c r="K62" s="202"/>
      <c r="M62" s="202"/>
      <c r="N62" s="202"/>
      <c r="O62" s="202"/>
      <c r="Q62" s="202"/>
      <c r="R62" s="202"/>
      <c r="S62" s="202"/>
      <c r="W62" s="247"/>
      <c r="X62" s="247"/>
      <c r="Y62" s="247"/>
      <c r="Z62" s="247"/>
    </row>
    <row r="63" spans="5:27" ht="26" customHeight="1" x14ac:dyDescent="0.2">
      <c r="I63" s="202"/>
      <c r="J63" s="202"/>
      <c r="K63" s="202"/>
      <c r="M63" s="202"/>
      <c r="N63" s="202"/>
      <c r="O63" s="202"/>
      <c r="Q63" s="202"/>
      <c r="R63" s="202"/>
      <c r="S63" s="202"/>
      <c r="W63" s="247"/>
      <c r="X63" s="247"/>
      <c r="Y63" s="247"/>
      <c r="Z63" s="247"/>
    </row>
    <row r="64" spans="5:27" x14ac:dyDescent="0.2">
      <c r="I64" s="244">
        <f>'Dynamic CM'!$D$37</f>
        <v>100.11904761904762</v>
      </c>
      <c r="J64" s="244"/>
      <c r="K64" s="244"/>
      <c r="M64" s="244">
        <f>'Dynamic CM'!$C$35</f>
        <v>337.90178571428572</v>
      </c>
      <c r="N64" s="244"/>
      <c r="O64" s="244"/>
      <c r="Q64" s="244">
        <f>'Dynamic CM'!$E$37</f>
        <v>563.16964285714289</v>
      </c>
      <c r="R64" s="244"/>
      <c r="S64" s="244"/>
      <c r="W64" s="247"/>
      <c r="X64" s="247"/>
      <c r="Y64" s="247"/>
      <c r="Z64" s="247"/>
    </row>
    <row r="65" spans="9:26" x14ac:dyDescent="0.2">
      <c r="I65" s="244"/>
      <c r="J65" s="244"/>
      <c r="K65" s="244"/>
      <c r="M65" s="244"/>
      <c r="N65" s="244"/>
      <c r="O65" s="244"/>
      <c r="Q65" s="244"/>
      <c r="R65" s="244"/>
      <c r="S65" s="244"/>
      <c r="W65" s="247"/>
      <c r="X65" s="247"/>
      <c r="Y65" s="247"/>
      <c r="Z65" s="247"/>
    </row>
    <row r="66" spans="9:26" x14ac:dyDescent="0.2">
      <c r="I66" s="244"/>
      <c r="J66" s="244"/>
      <c r="K66" s="244"/>
      <c r="M66" s="244"/>
      <c r="N66" s="244"/>
      <c r="O66" s="244"/>
      <c r="Q66" s="244"/>
      <c r="R66" s="244"/>
      <c r="S66" s="244"/>
      <c r="W66" s="247"/>
      <c r="X66" s="247"/>
      <c r="Y66" s="247"/>
      <c r="Z66" s="247"/>
    </row>
    <row r="67" spans="9:26" x14ac:dyDescent="0.2">
      <c r="W67" s="247"/>
      <c r="X67" s="247"/>
      <c r="Y67" s="247"/>
      <c r="Z67" s="247"/>
    </row>
  </sheetData>
  <mergeCells count="41">
    <mergeCell ref="I64:K66"/>
    <mergeCell ref="I61:K63"/>
    <mergeCell ref="W44:X45"/>
    <mergeCell ref="Y46:Z48"/>
    <mergeCell ref="W46:X48"/>
    <mergeCell ref="Y49:Z51"/>
    <mergeCell ref="W49:X51"/>
    <mergeCell ref="Y52:Z54"/>
    <mergeCell ref="W52:X54"/>
    <mergeCell ref="W57:Z67"/>
    <mergeCell ref="Q64:S66"/>
    <mergeCell ref="Q61:S63"/>
    <mergeCell ref="M64:O66"/>
    <mergeCell ref="M61:O63"/>
    <mergeCell ref="W41:Z42"/>
    <mergeCell ref="Y44:Z45"/>
    <mergeCell ref="C38:D39"/>
    <mergeCell ref="A40:B41"/>
    <mergeCell ref="A38:B39"/>
    <mergeCell ref="A44:B45"/>
    <mergeCell ref="C44:D45"/>
    <mergeCell ref="E44:F45"/>
    <mergeCell ref="E42:F43"/>
    <mergeCell ref="C42:D43"/>
    <mergeCell ref="A42:B43"/>
    <mergeCell ref="E40:F41"/>
    <mergeCell ref="C40:D41"/>
    <mergeCell ref="E50:F51"/>
    <mergeCell ref="H11:J13"/>
    <mergeCell ref="M11:O13"/>
    <mergeCell ref="R11:T13"/>
    <mergeCell ref="H15:J17"/>
    <mergeCell ref="M15:O17"/>
    <mergeCell ref="R15:T17"/>
    <mergeCell ref="J23:L23"/>
    <mergeCell ref="Q25:Q26"/>
    <mergeCell ref="K25:K26"/>
    <mergeCell ref="E38:F39"/>
    <mergeCell ref="J20:L22"/>
    <mergeCell ref="P20:R22"/>
    <mergeCell ref="P23:R23"/>
  </mergeCells>
  <dataValidations count="1">
    <dataValidation type="whole" allowBlank="1" showInputMessage="1" showErrorMessage="1" sqref="H24:I26 J24" xr:uid="{0A104C0E-D16E-7B40-B8B0-94FB53FBE8E0}">
      <formula1>-1000000</formula1>
      <formula2>1000000</formula2>
    </dataValidation>
  </dataValidations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89E3DDF-644B-4A4B-9B8B-0CD00971D152}">
          <x14:formula1>
            <xm:f>'Portfolio x PD x Loan Count'!$A$79:$A$90</xm:f>
          </x14:formula1>
          <xm:sqref>H15:J17</xm:sqref>
        </x14:dataValidation>
        <x14:dataValidation type="list" allowBlank="1" showInputMessage="1" showErrorMessage="1" xr:uid="{EF1DC786-875E-5C4E-AA44-37265208AB36}">
          <x14:formula1>
            <xm:f>'Portfolio x PD x Loan Count'!$B$79:$B$90</xm:f>
          </x14:formula1>
          <xm:sqref>M15:O17</xm:sqref>
        </x14:dataValidation>
        <x14:dataValidation type="list" allowBlank="1" showInputMessage="1" showErrorMessage="1" xr:uid="{36AF49EA-531B-834A-959A-9310F08DDABF}">
          <x14:formula1>
            <xm:f>'Portfolio x PD x Loan Count'!$C$78:$G$78</xm:f>
          </x14:formula1>
          <xm:sqref>R15:T17</xm:sqref>
        </x14:dataValidation>
        <x14:dataValidation type="list" allowBlank="1" showInputMessage="1" showErrorMessage="1" xr:uid="{BADF498F-7E2E-DF4D-9E39-34F94A4CD837}">
          <x14:formula1>
            <xm:f>'Portfolio Metrics'!$L$2:$L$34</xm:f>
          </x14:formula1>
          <xm:sqref>K25:K26 Q25:Q26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A806F-2FF0-494A-91EE-19C7B2D57884}">
  <dimension ref="A1:AD83"/>
  <sheetViews>
    <sheetView workbookViewId="0">
      <selection activeCell="A29" sqref="A29"/>
    </sheetView>
  </sheetViews>
  <sheetFormatPr baseColWidth="10" defaultRowHeight="16" x14ac:dyDescent="0.2"/>
  <cols>
    <col min="1" max="1" width="21.5" bestFit="1" customWidth="1"/>
    <col min="2" max="2" width="14.1640625" customWidth="1"/>
    <col min="3" max="3" width="16.5" customWidth="1"/>
    <col min="4" max="4" width="18.6640625" customWidth="1"/>
    <col min="5" max="5" width="11.5" customWidth="1"/>
    <col min="12" max="12" width="20.6640625" hidden="1" customWidth="1"/>
    <col min="14" max="14" width="14.1640625" bestFit="1" customWidth="1"/>
    <col min="18" max="18" width="11.1640625" bestFit="1" customWidth="1"/>
    <col min="20" max="20" width="14" bestFit="1" customWidth="1"/>
    <col min="24" max="24" width="11.1640625" bestFit="1" customWidth="1"/>
    <col min="26" max="26" width="14.1640625" bestFit="1" customWidth="1"/>
    <col min="30" max="30" width="11.1640625" bestFit="1" customWidth="1"/>
  </cols>
  <sheetData>
    <row r="1" spans="1:30" x14ac:dyDescent="0.2">
      <c r="A1" t="s">
        <v>185</v>
      </c>
      <c r="K1" s="125"/>
      <c r="L1" s="125" t="s">
        <v>226</v>
      </c>
      <c r="M1" s="125"/>
      <c r="N1" s="125"/>
      <c r="T1" s="141"/>
      <c r="Z1" s="91"/>
      <c r="AA1" s="9"/>
      <c r="AB1" s="9"/>
      <c r="AC1" s="9"/>
      <c r="AD1" s="9"/>
    </row>
    <row r="2" spans="1:30" x14ac:dyDescent="0.2">
      <c r="A2" t="s">
        <v>180</v>
      </c>
      <c r="B2" t="s">
        <v>179</v>
      </c>
      <c r="C2" t="s">
        <v>183</v>
      </c>
      <c r="D2" t="s">
        <v>184</v>
      </c>
      <c r="L2">
        <v>-300</v>
      </c>
      <c r="N2" s="65"/>
      <c r="O2" s="98"/>
      <c r="Q2" s="64"/>
      <c r="R2" s="98"/>
      <c r="T2" s="64"/>
      <c r="U2" s="98"/>
      <c r="W2" s="64"/>
      <c r="X2" s="98"/>
      <c r="AA2" s="98"/>
      <c r="AC2" s="64"/>
      <c r="AD2" s="98"/>
    </row>
    <row r="3" spans="1:30" x14ac:dyDescent="0.2">
      <c r="A3" t="s">
        <v>122</v>
      </c>
      <c r="B3" s="65">
        <v>9.5000000000000001E-2</v>
      </c>
      <c r="C3" s="65">
        <v>0.1125</v>
      </c>
      <c r="D3" s="65">
        <v>0.13</v>
      </c>
      <c r="L3">
        <v>-290</v>
      </c>
      <c r="N3" s="65"/>
      <c r="O3" s="98"/>
      <c r="T3" s="81"/>
      <c r="U3" s="98"/>
      <c r="Z3" s="81"/>
    </row>
    <row r="4" spans="1:30" x14ac:dyDescent="0.2">
      <c r="A4" t="s">
        <v>181</v>
      </c>
      <c r="B4" s="64">
        <v>0.05</v>
      </c>
      <c r="C4" s="65">
        <v>4.7500000000000001E-2</v>
      </c>
      <c r="D4" s="65">
        <v>4.4999999999999998E-2</v>
      </c>
      <c r="L4">
        <v>-280</v>
      </c>
      <c r="N4" s="65"/>
      <c r="O4" s="98"/>
      <c r="T4" s="81"/>
      <c r="U4" s="98"/>
      <c r="Z4" s="81"/>
    </row>
    <row r="5" spans="1:30" x14ac:dyDescent="0.2">
      <c r="L5">
        <v>-270</v>
      </c>
      <c r="N5" s="65"/>
      <c r="O5" s="98"/>
      <c r="T5" s="81"/>
      <c r="U5" s="98"/>
      <c r="Z5" s="81"/>
    </row>
    <row r="6" spans="1:30" x14ac:dyDescent="0.2">
      <c r="A6" t="s">
        <v>186</v>
      </c>
      <c r="L6">
        <v>-260</v>
      </c>
      <c r="N6" s="65"/>
      <c r="O6" s="98"/>
      <c r="T6" s="81"/>
      <c r="U6" s="98"/>
      <c r="Z6" s="81"/>
    </row>
    <row r="7" spans="1:30" x14ac:dyDescent="0.2">
      <c r="A7" s="114" t="s">
        <v>180</v>
      </c>
      <c r="B7" t="s">
        <v>190</v>
      </c>
      <c r="C7" t="s">
        <v>191</v>
      </c>
      <c r="D7" t="s">
        <v>192</v>
      </c>
      <c r="E7" t="s">
        <v>193</v>
      </c>
      <c r="F7" t="s">
        <v>194</v>
      </c>
      <c r="G7" t="s">
        <v>195</v>
      </c>
      <c r="L7">
        <v>-250</v>
      </c>
      <c r="N7" s="65"/>
      <c r="O7" s="98"/>
      <c r="T7" s="81"/>
      <c r="U7" s="98"/>
      <c r="Z7" s="81"/>
    </row>
    <row r="8" spans="1:30" x14ac:dyDescent="0.2">
      <c r="A8" t="s">
        <v>58</v>
      </c>
      <c r="B8">
        <v>1</v>
      </c>
      <c r="C8">
        <v>1.45</v>
      </c>
      <c r="D8">
        <v>1.9</v>
      </c>
      <c r="E8">
        <v>1</v>
      </c>
      <c r="F8">
        <v>1.1499999999999999</v>
      </c>
      <c r="G8">
        <v>1.2</v>
      </c>
      <c r="L8">
        <v>-240</v>
      </c>
      <c r="N8" s="65"/>
      <c r="O8" s="98"/>
      <c r="T8" s="81"/>
      <c r="U8" s="98"/>
      <c r="Z8" s="81"/>
    </row>
    <row r="9" spans="1:30" x14ac:dyDescent="0.2">
      <c r="A9" t="s">
        <v>83</v>
      </c>
      <c r="B9">
        <v>1</v>
      </c>
      <c r="C9">
        <v>1.3</v>
      </c>
      <c r="D9">
        <v>1.65</v>
      </c>
      <c r="E9">
        <v>1</v>
      </c>
      <c r="F9">
        <v>1.1000000000000001</v>
      </c>
      <c r="G9">
        <v>1.17</v>
      </c>
      <c r="L9">
        <v>-230</v>
      </c>
      <c r="N9" s="65"/>
      <c r="O9" s="98"/>
      <c r="T9" s="81"/>
      <c r="U9" s="98"/>
      <c r="Z9" s="81"/>
    </row>
    <row r="10" spans="1:30" x14ac:dyDescent="0.2">
      <c r="A10" t="s">
        <v>60</v>
      </c>
      <c r="B10">
        <v>1</v>
      </c>
      <c r="C10">
        <v>1.18</v>
      </c>
      <c r="D10">
        <v>1.45</v>
      </c>
      <c r="E10">
        <v>1</v>
      </c>
      <c r="F10">
        <v>1.07</v>
      </c>
      <c r="G10">
        <v>1.1399999999999999</v>
      </c>
      <c r="L10">
        <v>-220</v>
      </c>
      <c r="N10" s="65"/>
      <c r="O10" s="98"/>
      <c r="T10" s="81"/>
      <c r="U10" s="98"/>
      <c r="Z10" s="81"/>
    </row>
    <row r="11" spans="1:30" x14ac:dyDescent="0.2">
      <c r="A11" t="s">
        <v>61</v>
      </c>
      <c r="B11">
        <v>1</v>
      </c>
      <c r="C11">
        <v>1.1000000000000001</v>
      </c>
      <c r="D11">
        <v>1.28</v>
      </c>
      <c r="E11">
        <v>1</v>
      </c>
      <c r="F11">
        <v>1.04</v>
      </c>
      <c r="G11">
        <v>1.1000000000000001</v>
      </c>
      <c r="L11">
        <v>-210</v>
      </c>
      <c r="N11" s="65"/>
      <c r="O11" s="98"/>
      <c r="T11" s="81"/>
      <c r="U11" s="98"/>
      <c r="Z11" s="81"/>
    </row>
    <row r="12" spans="1:30" x14ac:dyDescent="0.2">
      <c r="A12" t="s">
        <v>62</v>
      </c>
      <c r="B12">
        <v>1</v>
      </c>
      <c r="C12">
        <v>1.05</v>
      </c>
      <c r="D12">
        <v>1.1499999999999999</v>
      </c>
      <c r="E12">
        <v>1</v>
      </c>
      <c r="F12">
        <v>1.02</v>
      </c>
      <c r="G12">
        <v>1.05</v>
      </c>
      <c r="L12">
        <v>-200</v>
      </c>
      <c r="N12" s="65"/>
      <c r="O12" s="98"/>
      <c r="T12" s="81"/>
      <c r="U12" s="98"/>
      <c r="Z12" s="81"/>
    </row>
    <row r="13" spans="1:30" x14ac:dyDescent="0.2">
      <c r="L13">
        <v>-190</v>
      </c>
      <c r="N13" s="65"/>
      <c r="O13" s="98"/>
      <c r="T13" s="81"/>
      <c r="U13" s="98"/>
      <c r="Z13" s="81"/>
    </row>
    <row r="14" spans="1:30" x14ac:dyDescent="0.2">
      <c r="A14" t="s">
        <v>187</v>
      </c>
      <c r="L14">
        <v>-180</v>
      </c>
      <c r="N14" s="65"/>
      <c r="O14" s="98"/>
      <c r="T14" s="81"/>
      <c r="U14" s="98"/>
      <c r="Z14" s="81"/>
    </row>
    <row r="15" spans="1:30" x14ac:dyDescent="0.2">
      <c r="A15" s="114" t="s">
        <v>180</v>
      </c>
      <c r="B15" t="s">
        <v>190</v>
      </c>
      <c r="C15" t="s">
        <v>191</v>
      </c>
      <c r="D15" t="s">
        <v>192</v>
      </c>
      <c r="E15" t="s">
        <v>196</v>
      </c>
      <c r="F15" t="s">
        <v>197</v>
      </c>
      <c r="G15" t="s">
        <v>198</v>
      </c>
      <c r="H15" t="s">
        <v>199</v>
      </c>
      <c r="I15" t="s">
        <v>200</v>
      </c>
      <c r="J15" t="s">
        <v>201</v>
      </c>
      <c r="L15">
        <v>-170</v>
      </c>
      <c r="N15" s="65"/>
      <c r="O15" s="98"/>
      <c r="T15" s="81"/>
      <c r="U15" s="98"/>
      <c r="Z15" s="81"/>
    </row>
    <row r="16" spans="1:30" x14ac:dyDescent="0.2">
      <c r="A16" t="s">
        <v>29</v>
      </c>
      <c r="B16">
        <v>1</v>
      </c>
      <c r="C16">
        <v>1.08</v>
      </c>
      <c r="D16">
        <v>1.1200000000000001</v>
      </c>
      <c r="E16">
        <v>1</v>
      </c>
      <c r="F16">
        <v>0.93</v>
      </c>
      <c r="G16">
        <v>0.87</v>
      </c>
      <c r="H16">
        <v>1</v>
      </c>
      <c r="I16">
        <v>0.9</v>
      </c>
      <c r="J16">
        <v>0.85</v>
      </c>
      <c r="L16">
        <v>-160</v>
      </c>
      <c r="N16" s="65"/>
      <c r="O16" s="98"/>
      <c r="T16" s="81"/>
      <c r="U16" s="98"/>
      <c r="Z16" s="81"/>
    </row>
    <row r="17" spans="1:26" x14ac:dyDescent="0.2">
      <c r="A17" t="s">
        <v>30</v>
      </c>
      <c r="B17">
        <v>1</v>
      </c>
      <c r="C17">
        <v>1.04</v>
      </c>
      <c r="D17">
        <v>1.08</v>
      </c>
      <c r="E17">
        <v>1</v>
      </c>
      <c r="F17">
        <v>0.96</v>
      </c>
      <c r="G17">
        <v>0.92</v>
      </c>
      <c r="H17">
        <v>1</v>
      </c>
      <c r="I17">
        <v>0.94</v>
      </c>
      <c r="J17">
        <v>0.9</v>
      </c>
      <c r="L17">
        <v>-150</v>
      </c>
      <c r="N17" s="65"/>
      <c r="O17" s="98"/>
      <c r="T17" s="81"/>
      <c r="U17" s="98"/>
      <c r="Z17" s="81"/>
    </row>
    <row r="18" spans="1:26" x14ac:dyDescent="0.2">
      <c r="A18" t="s">
        <v>32</v>
      </c>
      <c r="B18">
        <v>1</v>
      </c>
      <c r="C18">
        <v>1.01</v>
      </c>
      <c r="D18">
        <v>1.04</v>
      </c>
      <c r="E18">
        <v>1</v>
      </c>
      <c r="F18">
        <v>0.95</v>
      </c>
      <c r="G18">
        <v>0.9</v>
      </c>
      <c r="H18">
        <v>1</v>
      </c>
      <c r="I18">
        <v>0.97</v>
      </c>
      <c r="J18">
        <v>0.92</v>
      </c>
      <c r="L18">
        <v>-140</v>
      </c>
      <c r="N18" s="65"/>
      <c r="O18" s="98"/>
      <c r="T18" s="81"/>
      <c r="U18" s="98"/>
      <c r="Z18" s="81"/>
    </row>
    <row r="19" spans="1:26" x14ac:dyDescent="0.2">
      <c r="A19" t="s">
        <v>51</v>
      </c>
      <c r="B19">
        <v>1</v>
      </c>
      <c r="C19">
        <v>1.01</v>
      </c>
      <c r="D19">
        <v>1.04</v>
      </c>
      <c r="E19">
        <v>1</v>
      </c>
      <c r="F19">
        <v>0.97</v>
      </c>
      <c r="G19">
        <v>0.95</v>
      </c>
      <c r="H19">
        <v>1</v>
      </c>
      <c r="I19">
        <v>0.9</v>
      </c>
      <c r="J19">
        <v>0.86</v>
      </c>
      <c r="L19">
        <v>-130</v>
      </c>
      <c r="N19" s="65"/>
      <c r="O19" s="98"/>
      <c r="T19" s="81"/>
      <c r="U19" s="98"/>
      <c r="Z19" s="81"/>
    </row>
    <row r="20" spans="1:26" x14ac:dyDescent="0.2">
      <c r="L20">
        <v>-120</v>
      </c>
      <c r="N20" s="65"/>
      <c r="O20" s="98"/>
      <c r="T20" s="81"/>
      <c r="U20" s="98"/>
      <c r="Z20" s="81"/>
    </row>
    <row r="21" spans="1:26" x14ac:dyDescent="0.2">
      <c r="A21" t="s">
        <v>188</v>
      </c>
      <c r="L21">
        <v>-110</v>
      </c>
      <c r="N21" s="65"/>
      <c r="O21" s="98"/>
      <c r="T21" s="81"/>
      <c r="U21" s="98"/>
      <c r="Z21" s="81"/>
    </row>
    <row r="22" spans="1:26" x14ac:dyDescent="0.2">
      <c r="A22" s="114" t="s">
        <v>180</v>
      </c>
      <c r="B22" t="s">
        <v>190</v>
      </c>
      <c r="C22" t="s">
        <v>191</v>
      </c>
      <c r="D22" t="s">
        <v>192</v>
      </c>
      <c r="E22" t="s">
        <v>196</v>
      </c>
      <c r="F22" t="s">
        <v>197</v>
      </c>
      <c r="G22" t="s">
        <v>198</v>
      </c>
      <c r="H22" t="s">
        <v>199</v>
      </c>
      <c r="I22" t="s">
        <v>200</v>
      </c>
      <c r="J22" t="s">
        <v>201</v>
      </c>
      <c r="L22">
        <v>-100</v>
      </c>
      <c r="N22" s="65"/>
      <c r="O22" s="98"/>
      <c r="T22" s="81"/>
      <c r="U22" s="98"/>
      <c r="Z22" s="81"/>
    </row>
    <row r="23" spans="1:26" x14ac:dyDescent="0.2">
      <c r="A23" t="s">
        <v>35</v>
      </c>
      <c r="B23">
        <v>1</v>
      </c>
      <c r="C23">
        <v>1.06</v>
      </c>
      <c r="D23">
        <v>1.1000000000000001</v>
      </c>
      <c r="E23">
        <v>1</v>
      </c>
      <c r="F23">
        <v>0.95</v>
      </c>
      <c r="G23">
        <v>0.9</v>
      </c>
      <c r="H23">
        <v>1</v>
      </c>
      <c r="I23">
        <v>0.88</v>
      </c>
      <c r="J23">
        <v>0.82</v>
      </c>
      <c r="L23">
        <v>-90</v>
      </c>
      <c r="N23" s="65"/>
      <c r="O23" s="98"/>
      <c r="T23" s="81"/>
      <c r="U23" s="98"/>
      <c r="Z23" s="81"/>
    </row>
    <row r="24" spans="1:26" x14ac:dyDescent="0.2">
      <c r="A24" t="s">
        <v>36</v>
      </c>
      <c r="B24">
        <v>1</v>
      </c>
      <c r="C24">
        <v>1.03</v>
      </c>
      <c r="D24">
        <v>1.08</v>
      </c>
      <c r="E24">
        <v>1</v>
      </c>
      <c r="F24">
        <v>0.93</v>
      </c>
      <c r="G24">
        <v>0.88</v>
      </c>
      <c r="H24">
        <v>1</v>
      </c>
      <c r="I24">
        <v>0.93</v>
      </c>
      <c r="J24">
        <v>0.85</v>
      </c>
      <c r="L24">
        <v>-80</v>
      </c>
      <c r="N24" s="65"/>
      <c r="O24" s="98"/>
      <c r="T24" s="81"/>
      <c r="U24" s="98"/>
      <c r="Z24" s="81"/>
    </row>
    <row r="25" spans="1:26" x14ac:dyDescent="0.2">
      <c r="A25" t="s">
        <v>37</v>
      </c>
      <c r="B25">
        <v>1</v>
      </c>
      <c r="C25">
        <v>1.01</v>
      </c>
      <c r="D25">
        <v>1.05</v>
      </c>
      <c r="E25">
        <v>1</v>
      </c>
      <c r="F25">
        <v>0.92</v>
      </c>
      <c r="G25">
        <v>0.86</v>
      </c>
      <c r="H25">
        <v>1</v>
      </c>
      <c r="I25">
        <v>0.98</v>
      </c>
      <c r="J25">
        <v>0.92</v>
      </c>
      <c r="L25">
        <v>-70</v>
      </c>
      <c r="N25" s="65"/>
      <c r="O25" s="98"/>
      <c r="T25" s="81"/>
      <c r="U25" s="98"/>
      <c r="Z25" s="81"/>
    </row>
    <row r="26" spans="1:26" x14ac:dyDescent="0.2">
      <c r="L26">
        <v>-60</v>
      </c>
      <c r="N26" s="65"/>
      <c r="O26" s="98"/>
      <c r="T26" s="81"/>
      <c r="U26" s="98"/>
      <c r="Z26" s="81"/>
    </row>
    <row r="27" spans="1:26" x14ac:dyDescent="0.2">
      <c r="A27" s="140" t="s">
        <v>180</v>
      </c>
      <c r="B27" s="140" t="s">
        <v>228</v>
      </c>
      <c r="C27" s="140" t="s">
        <v>227</v>
      </c>
      <c r="D27" s="140" t="s">
        <v>229</v>
      </c>
      <c r="L27">
        <v>-50</v>
      </c>
      <c r="N27" s="65"/>
      <c r="O27" s="98"/>
      <c r="T27" s="81"/>
      <c r="U27" s="98"/>
      <c r="Z27" s="81"/>
    </row>
    <row r="28" spans="1:26" x14ac:dyDescent="0.2">
      <c r="A28" s="140" t="s">
        <v>179</v>
      </c>
      <c r="B28" s="147">
        <v>0.05</v>
      </c>
      <c r="C28" s="147">
        <v>4.1399999999999999E-2</v>
      </c>
      <c r="D28" s="140" t="s">
        <v>230</v>
      </c>
      <c r="L28">
        <v>-40</v>
      </c>
      <c r="N28" s="65"/>
      <c r="O28" s="98"/>
      <c r="T28" s="81"/>
      <c r="U28" s="98"/>
      <c r="Z28" s="81"/>
    </row>
    <row r="29" spans="1:26" x14ac:dyDescent="0.2">
      <c r="A29" s="140" t="s">
        <v>183</v>
      </c>
      <c r="B29" s="147">
        <v>4.7500000000000001E-2</v>
      </c>
      <c r="C29" s="147">
        <v>4.6300000000000001E-2</v>
      </c>
      <c r="D29" s="140" t="s">
        <v>231</v>
      </c>
      <c r="L29">
        <v>-30</v>
      </c>
      <c r="N29" s="65"/>
      <c r="O29" s="98"/>
      <c r="T29" s="81"/>
      <c r="U29" s="98"/>
      <c r="Z29" s="81"/>
    </row>
    <row r="30" spans="1:26" x14ac:dyDescent="0.2">
      <c r="A30" s="140" t="s">
        <v>184</v>
      </c>
      <c r="B30" s="147">
        <v>4.4999999999999998E-2</v>
      </c>
      <c r="C30" s="147">
        <v>6.0999999999999999E-2</v>
      </c>
      <c r="D30" s="140" t="s">
        <v>232</v>
      </c>
      <c r="L30">
        <v>-20</v>
      </c>
      <c r="N30" s="65"/>
      <c r="O30" s="98"/>
      <c r="T30" s="81"/>
      <c r="U30" s="98"/>
      <c r="Z30" s="81"/>
    </row>
    <row r="31" spans="1:26" x14ac:dyDescent="0.2">
      <c r="L31">
        <v>-10</v>
      </c>
      <c r="N31" s="65"/>
      <c r="O31" s="98"/>
      <c r="T31" s="81"/>
      <c r="U31" s="98"/>
      <c r="Z31" s="81"/>
    </row>
    <row r="32" spans="1:26" x14ac:dyDescent="0.2">
      <c r="L32">
        <v>0</v>
      </c>
      <c r="N32" s="65"/>
      <c r="O32" s="98"/>
      <c r="T32" s="81"/>
      <c r="U32" s="98"/>
      <c r="Z32" s="81"/>
    </row>
    <row r="33" spans="12:26" x14ac:dyDescent="0.2">
      <c r="L33">
        <v>10</v>
      </c>
      <c r="N33" s="65"/>
      <c r="O33" s="98"/>
      <c r="T33" s="81"/>
      <c r="U33" s="98"/>
      <c r="Z33" s="81"/>
    </row>
    <row r="34" spans="12:26" x14ac:dyDescent="0.2">
      <c r="L34">
        <v>20</v>
      </c>
      <c r="N34" s="65"/>
      <c r="O34" s="98"/>
      <c r="T34" s="81"/>
      <c r="U34" s="98"/>
      <c r="Z34" s="81"/>
    </row>
    <row r="35" spans="12:26" x14ac:dyDescent="0.2">
      <c r="L35">
        <v>30</v>
      </c>
      <c r="N35" s="65"/>
      <c r="O35" s="98"/>
      <c r="T35" s="81"/>
      <c r="U35" s="98"/>
      <c r="Z35" s="81"/>
    </row>
    <row r="36" spans="12:26" x14ac:dyDescent="0.2">
      <c r="L36">
        <v>40</v>
      </c>
      <c r="N36" s="65"/>
      <c r="O36" s="98"/>
      <c r="T36" s="81"/>
      <c r="U36" s="98"/>
      <c r="Z36" s="81"/>
    </row>
    <row r="37" spans="12:26" x14ac:dyDescent="0.2">
      <c r="L37">
        <v>50</v>
      </c>
      <c r="N37" s="65"/>
      <c r="O37" s="98"/>
      <c r="T37" s="81"/>
      <c r="U37" s="98"/>
      <c r="Z37" s="81"/>
    </row>
    <row r="38" spans="12:26" x14ac:dyDescent="0.2">
      <c r="L38">
        <v>60</v>
      </c>
      <c r="N38" s="65"/>
      <c r="O38" s="98"/>
      <c r="T38" s="81"/>
      <c r="U38" s="98"/>
      <c r="Z38" s="81"/>
    </row>
    <row r="39" spans="12:26" x14ac:dyDescent="0.2">
      <c r="L39">
        <v>70</v>
      </c>
      <c r="N39" s="65"/>
      <c r="O39" s="98"/>
      <c r="T39" s="81"/>
      <c r="U39" s="98"/>
      <c r="Z39" s="81"/>
    </row>
    <row r="40" spans="12:26" x14ac:dyDescent="0.2">
      <c r="L40">
        <v>80</v>
      </c>
      <c r="N40" s="65"/>
      <c r="O40" s="98"/>
      <c r="T40" s="81"/>
      <c r="U40" s="98"/>
      <c r="Z40" s="81"/>
    </row>
    <row r="41" spans="12:26" x14ac:dyDescent="0.2">
      <c r="L41">
        <v>90</v>
      </c>
      <c r="N41" s="65"/>
      <c r="O41" s="98"/>
      <c r="T41" s="81"/>
      <c r="U41" s="98"/>
      <c r="Z41" s="81"/>
    </row>
    <row r="42" spans="12:26" x14ac:dyDescent="0.2">
      <c r="L42">
        <v>100</v>
      </c>
      <c r="N42" s="65"/>
      <c r="O42" s="98"/>
      <c r="T42" s="81"/>
      <c r="U42" s="98"/>
      <c r="Z42" s="81"/>
    </row>
    <row r="43" spans="12:26" x14ac:dyDescent="0.2">
      <c r="L43">
        <v>110</v>
      </c>
      <c r="N43" s="65"/>
      <c r="O43" s="98"/>
      <c r="T43" s="81"/>
      <c r="U43" s="98"/>
      <c r="Z43" s="81"/>
    </row>
    <row r="44" spans="12:26" x14ac:dyDescent="0.2">
      <c r="L44">
        <v>120</v>
      </c>
      <c r="N44" s="65"/>
      <c r="O44" s="98"/>
      <c r="T44" s="81"/>
      <c r="U44" s="98"/>
      <c r="Z44" s="81"/>
    </row>
    <row r="45" spans="12:26" x14ac:dyDescent="0.2">
      <c r="L45">
        <v>130</v>
      </c>
      <c r="N45" s="65"/>
      <c r="O45" s="98"/>
      <c r="T45" s="81"/>
      <c r="U45" s="98"/>
      <c r="Z45" s="81"/>
    </row>
    <row r="46" spans="12:26" x14ac:dyDescent="0.2">
      <c r="L46">
        <v>140</v>
      </c>
      <c r="N46" s="65"/>
      <c r="O46" s="98"/>
      <c r="T46" s="81"/>
      <c r="U46" s="98"/>
      <c r="Z46" s="81"/>
    </row>
    <row r="47" spans="12:26" x14ac:dyDescent="0.2">
      <c r="L47">
        <v>150</v>
      </c>
      <c r="N47" s="65"/>
      <c r="O47" s="98"/>
      <c r="T47" s="81"/>
      <c r="U47" s="98"/>
      <c r="Z47" s="81"/>
    </row>
    <row r="48" spans="12:26" x14ac:dyDescent="0.2">
      <c r="L48">
        <v>160</v>
      </c>
      <c r="N48" s="65"/>
      <c r="O48" s="98"/>
      <c r="T48" s="81"/>
      <c r="U48" s="98"/>
      <c r="Z48" s="81"/>
    </row>
    <row r="49" spans="12:26" x14ac:dyDescent="0.2">
      <c r="L49">
        <v>170</v>
      </c>
      <c r="N49" s="65"/>
      <c r="O49" s="98"/>
      <c r="T49" s="81"/>
      <c r="U49" s="98"/>
      <c r="Z49" s="81"/>
    </row>
    <row r="50" spans="12:26" x14ac:dyDescent="0.2">
      <c r="L50">
        <v>180</v>
      </c>
      <c r="N50" s="65"/>
      <c r="O50" s="98"/>
      <c r="T50" s="81"/>
      <c r="U50" s="98"/>
      <c r="Z50" s="81"/>
    </row>
    <row r="51" spans="12:26" x14ac:dyDescent="0.2">
      <c r="L51">
        <v>190</v>
      </c>
      <c r="N51" s="65"/>
      <c r="O51" s="98"/>
      <c r="T51" s="81"/>
      <c r="U51" s="98"/>
      <c r="Z51" s="81"/>
    </row>
    <row r="52" spans="12:26" x14ac:dyDescent="0.2">
      <c r="L52">
        <v>200</v>
      </c>
      <c r="N52" s="65"/>
      <c r="O52" s="98"/>
      <c r="T52" s="81"/>
      <c r="U52" s="98"/>
      <c r="Z52" s="81"/>
    </row>
    <row r="53" spans="12:26" x14ac:dyDescent="0.2">
      <c r="L53">
        <v>210</v>
      </c>
      <c r="N53" s="65"/>
      <c r="O53" s="98"/>
      <c r="T53" s="81"/>
      <c r="U53" s="98"/>
      <c r="Z53" s="81"/>
    </row>
    <row r="54" spans="12:26" x14ac:dyDescent="0.2">
      <c r="L54">
        <v>220</v>
      </c>
      <c r="N54" s="65"/>
      <c r="O54" s="98"/>
      <c r="T54" s="81"/>
      <c r="U54" s="98"/>
      <c r="Z54" s="81"/>
    </row>
    <row r="55" spans="12:26" x14ac:dyDescent="0.2">
      <c r="L55">
        <v>230</v>
      </c>
      <c r="N55" s="65"/>
      <c r="O55" s="98"/>
      <c r="T55" s="81"/>
      <c r="U55" s="98"/>
      <c r="Z55" s="81"/>
    </row>
    <row r="56" spans="12:26" x14ac:dyDescent="0.2">
      <c r="L56">
        <v>240</v>
      </c>
      <c r="N56" s="65"/>
      <c r="O56" s="98"/>
      <c r="T56" s="81"/>
      <c r="U56" s="98"/>
      <c r="Z56" s="81"/>
    </row>
    <row r="57" spans="12:26" x14ac:dyDescent="0.2">
      <c r="L57">
        <v>250</v>
      </c>
      <c r="N57" s="65"/>
      <c r="O57" s="98"/>
      <c r="T57" s="81"/>
      <c r="U57" s="98"/>
      <c r="Z57" s="81"/>
    </row>
    <row r="58" spans="12:26" x14ac:dyDescent="0.2">
      <c r="L58">
        <v>260</v>
      </c>
      <c r="N58" s="65"/>
      <c r="O58" s="98"/>
      <c r="T58" s="81"/>
      <c r="U58" s="98"/>
      <c r="Z58" s="81"/>
    </row>
    <row r="59" spans="12:26" x14ac:dyDescent="0.2">
      <c r="L59">
        <v>270</v>
      </c>
      <c r="N59" s="65"/>
      <c r="O59" s="98"/>
      <c r="T59" s="81"/>
      <c r="U59" s="98"/>
      <c r="Z59" s="81"/>
    </row>
    <row r="60" spans="12:26" x14ac:dyDescent="0.2">
      <c r="L60">
        <v>280</v>
      </c>
      <c r="N60" s="65"/>
      <c r="O60" s="98"/>
      <c r="T60" s="81"/>
      <c r="U60" s="98"/>
      <c r="Z60" s="81"/>
    </row>
    <row r="61" spans="12:26" x14ac:dyDescent="0.2">
      <c r="L61">
        <v>290</v>
      </c>
      <c r="N61" s="65"/>
      <c r="O61" s="98"/>
      <c r="T61" s="81"/>
      <c r="U61" s="98"/>
      <c r="Z61" s="81"/>
    </row>
    <row r="62" spans="12:26" x14ac:dyDescent="0.2">
      <c r="L62">
        <v>300</v>
      </c>
      <c r="N62" s="65"/>
      <c r="O62" s="98"/>
      <c r="T62" s="81"/>
      <c r="U62" s="98"/>
      <c r="Z62" s="81"/>
    </row>
    <row r="63" spans="12:26" x14ac:dyDescent="0.2">
      <c r="L63">
        <v>310</v>
      </c>
      <c r="N63" s="65"/>
      <c r="O63" s="98"/>
      <c r="T63" s="81"/>
      <c r="U63" s="98"/>
      <c r="Z63" s="81"/>
    </row>
    <row r="64" spans="12:26" x14ac:dyDescent="0.2">
      <c r="L64">
        <v>320</v>
      </c>
      <c r="N64" s="65"/>
      <c r="O64" s="98"/>
      <c r="T64" s="81"/>
      <c r="U64" s="98"/>
      <c r="Z64" s="81"/>
    </row>
    <row r="65" spans="12:26" x14ac:dyDescent="0.2">
      <c r="L65">
        <v>330</v>
      </c>
      <c r="N65" s="65"/>
      <c r="O65" s="98"/>
      <c r="T65" s="81"/>
      <c r="U65" s="98"/>
      <c r="Z65" s="81"/>
    </row>
    <row r="66" spans="12:26" x14ac:dyDescent="0.2">
      <c r="L66">
        <v>340</v>
      </c>
      <c r="N66" s="65"/>
      <c r="O66" s="98"/>
      <c r="T66" s="81"/>
      <c r="U66" s="98"/>
      <c r="Z66" s="81"/>
    </row>
    <row r="67" spans="12:26" x14ac:dyDescent="0.2">
      <c r="L67">
        <v>350</v>
      </c>
      <c r="N67" s="65"/>
      <c r="O67" s="98"/>
      <c r="T67" s="81"/>
      <c r="U67" s="98"/>
      <c r="Z67" s="81"/>
    </row>
    <row r="68" spans="12:26" x14ac:dyDescent="0.2">
      <c r="L68">
        <v>360</v>
      </c>
      <c r="N68" s="65"/>
      <c r="O68" s="98"/>
      <c r="T68" s="81"/>
      <c r="U68" s="98"/>
      <c r="Z68" s="81"/>
    </row>
    <row r="69" spans="12:26" x14ac:dyDescent="0.2">
      <c r="L69">
        <v>370</v>
      </c>
      <c r="N69" s="65"/>
      <c r="O69" s="98"/>
      <c r="T69" s="81"/>
      <c r="U69" s="98"/>
      <c r="Z69" s="81"/>
    </row>
    <row r="70" spans="12:26" x14ac:dyDescent="0.2">
      <c r="L70">
        <v>380</v>
      </c>
      <c r="N70" s="65"/>
      <c r="O70" s="98"/>
      <c r="T70" s="81"/>
      <c r="U70" s="98"/>
      <c r="Z70" s="81"/>
    </row>
    <row r="71" spans="12:26" x14ac:dyDescent="0.2">
      <c r="L71">
        <v>390</v>
      </c>
      <c r="N71" s="65"/>
      <c r="O71" s="98"/>
      <c r="T71" s="81"/>
      <c r="U71" s="98"/>
      <c r="Z71" s="81"/>
    </row>
    <row r="72" spans="12:26" x14ac:dyDescent="0.2">
      <c r="L72">
        <v>400</v>
      </c>
      <c r="N72" s="65"/>
      <c r="O72" s="98"/>
      <c r="T72" s="81"/>
      <c r="U72" s="98"/>
      <c r="Z72" s="81"/>
    </row>
    <row r="73" spans="12:26" x14ac:dyDescent="0.2">
      <c r="L73">
        <v>410</v>
      </c>
      <c r="N73" s="65"/>
      <c r="O73" s="98"/>
      <c r="T73" s="81"/>
      <c r="U73" s="98"/>
      <c r="Z73" s="81"/>
    </row>
    <row r="74" spans="12:26" x14ac:dyDescent="0.2">
      <c r="L74">
        <v>420</v>
      </c>
      <c r="N74" s="65"/>
      <c r="O74" s="98"/>
      <c r="T74" s="81"/>
      <c r="U74" s="98"/>
      <c r="Z74" s="81"/>
    </row>
    <row r="75" spans="12:26" x14ac:dyDescent="0.2">
      <c r="L75">
        <v>430</v>
      </c>
      <c r="N75" s="65"/>
      <c r="O75" s="98"/>
      <c r="T75" s="81"/>
      <c r="U75" s="98"/>
      <c r="Z75" s="81"/>
    </row>
    <row r="76" spans="12:26" x14ac:dyDescent="0.2">
      <c r="L76">
        <v>440</v>
      </c>
      <c r="N76" s="65"/>
      <c r="O76" s="98"/>
      <c r="T76" s="81"/>
      <c r="U76" s="98"/>
      <c r="Z76" s="81"/>
    </row>
    <row r="77" spans="12:26" x14ac:dyDescent="0.2">
      <c r="L77">
        <v>450</v>
      </c>
      <c r="N77" s="65"/>
      <c r="O77" s="98"/>
      <c r="T77" s="81"/>
      <c r="U77" s="98"/>
      <c r="Z77" s="81"/>
    </row>
    <row r="78" spans="12:26" x14ac:dyDescent="0.2">
      <c r="L78">
        <v>460</v>
      </c>
      <c r="N78" s="65"/>
      <c r="O78" s="98"/>
      <c r="T78" s="81"/>
      <c r="U78" s="98"/>
      <c r="Z78" s="81"/>
    </row>
    <row r="79" spans="12:26" x14ac:dyDescent="0.2">
      <c r="L79">
        <v>470</v>
      </c>
      <c r="N79" s="65"/>
      <c r="O79" s="98"/>
      <c r="T79" s="81"/>
      <c r="U79" s="98"/>
      <c r="Z79" s="81"/>
    </row>
    <row r="80" spans="12:26" x14ac:dyDescent="0.2">
      <c r="L80">
        <v>480</v>
      </c>
      <c r="N80" s="65"/>
      <c r="O80" s="98"/>
      <c r="T80" s="81"/>
      <c r="U80" s="98"/>
      <c r="Z80" s="81"/>
    </row>
    <row r="81" spans="12:26" x14ac:dyDescent="0.2">
      <c r="L81">
        <v>490</v>
      </c>
      <c r="N81" s="65"/>
      <c r="O81" s="98"/>
      <c r="T81" s="81"/>
      <c r="U81" s="98"/>
      <c r="Z81" s="81"/>
    </row>
    <row r="82" spans="12:26" x14ac:dyDescent="0.2">
      <c r="L82">
        <v>500</v>
      </c>
      <c r="N82" s="65"/>
      <c r="O82" s="98"/>
      <c r="T82" s="81"/>
      <c r="U82" s="98"/>
      <c r="Z82" s="81"/>
    </row>
    <row r="83" spans="12:26" x14ac:dyDescent="0.2">
      <c r="N83" s="65"/>
      <c r="T83" s="81"/>
      <c r="U83" s="98"/>
      <c r="Z83" s="81"/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76CC-3CB7-5F45-B5A1-16807348E46E}">
  <dimension ref="A1:BH70"/>
  <sheetViews>
    <sheetView zoomScale="75" workbookViewId="0">
      <selection activeCell="Q3" sqref="Q3"/>
    </sheetView>
  </sheetViews>
  <sheetFormatPr baseColWidth="10" defaultRowHeight="16" x14ac:dyDescent="0.2"/>
  <cols>
    <col min="1" max="1" width="15.5" bestFit="1" customWidth="1"/>
    <col min="2" max="2" width="17.6640625" customWidth="1"/>
    <col min="3" max="3" width="16" bestFit="1" customWidth="1"/>
    <col min="4" max="4" width="18.1640625" bestFit="1" customWidth="1"/>
    <col min="5" max="5" width="6.5" bestFit="1" customWidth="1"/>
    <col min="6" max="6" width="7.6640625" bestFit="1" customWidth="1"/>
    <col min="7" max="7" width="9.1640625" bestFit="1" customWidth="1"/>
    <col min="8" max="8" width="18.6640625" bestFit="1" customWidth="1"/>
    <col min="9" max="9" width="15" bestFit="1" customWidth="1"/>
    <col min="10" max="10" width="7.5" bestFit="1" customWidth="1"/>
    <col min="11" max="11" width="14" bestFit="1" customWidth="1"/>
    <col min="12" max="12" width="17.5" bestFit="1" customWidth="1"/>
    <col min="13" max="13" width="17.6640625" bestFit="1" customWidth="1"/>
    <col min="14" max="14" width="18.33203125" bestFit="1" customWidth="1"/>
    <col min="15" max="15" width="18.83203125" customWidth="1"/>
    <col min="16" max="16" width="13.83203125" bestFit="1" customWidth="1"/>
    <col min="17" max="18" width="19" bestFit="1" customWidth="1"/>
    <col min="19" max="19" width="12" bestFit="1" customWidth="1"/>
    <col min="20" max="20" width="18.5" bestFit="1" customWidth="1"/>
    <col min="21" max="21" width="12" bestFit="1" customWidth="1"/>
    <col min="22" max="22" width="19" bestFit="1" customWidth="1"/>
    <col min="23" max="23" width="17.6640625" customWidth="1"/>
    <col min="24" max="24" width="16.83203125" bestFit="1" customWidth="1"/>
    <col min="26" max="26" width="19.6640625" hidden="1" customWidth="1"/>
    <col min="27" max="27" width="14.5" hidden="1" customWidth="1"/>
    <col min="28" max="28" width="18.1640625" customWidth="1"/>
    <col min="29" max="29" width="14" hidden="1" customWidth="1"/>
    <col min="30" max="30" width="17.5" hidden="1" customWidth="1"/>
    <col min="31" max="32" width="18.33203125" bestFit="1" customWidth="1"/>
    <col min="34" max="34" width="13.83203125" bestFit="1" customWidth="1"/>
    <col min="36" max="36" width="18.33203125" bestFit="1" customWidth="1"/>
    <col min="37" max="37" width="17.33203125" bestFit="1" customWidth="1"/>
    <col min="38" max="38" width="17.1640625" hidden="1" customWidth="1"/>
    <col min="40" max="40" width="18.33203125" bestFit="1" customWidth="1"/>
    <col min="43" max="43" width="19" bestFit="1" customWidth="1"/>
    <col min="44" max="44" width="15" bestFit="1" customWidth="1"/>
    <col min="45" max="45" width="0" hidden="1" customWidth="1"/>
    <col min="46" max="46" width="14.33203125" hidden="1" customWidth="1"/>
    <col min="47" max="47" width="18.1640625" bestFit="1" customWidth="1"/>
    <col min="48" max="48" width="13.5" hidden="1" customWidth="1"/>
    <col min="49" max="49" width="18.83203125" hidden="1" customWidth="1"/>
    <col min="51" max="51" width="14.33203125" bestFit="1" customWidth="1"/>
    <col min="56" max="56" width="17.33203125" bestFit="1" customWidth="1"/>
    <col min="57" max="57" width="17.1640625" hidden="1" customWidth="1"/>
  </cols>
  <sheetData>
    <row r="1" spans="1:60" x14ac:dyDescent="0.2">
      <c r="A1" t="s">
        <v>202</v>
      </c>
      <c r="L1" s="9"/>
      <c r="N1" s="9"/>
      <c r="O1" s="9"/>
      <c r="P1" s="9"/>
      <c r="Q1" s="9"/>
      <c r="R1" s="9"/>
      <c r="U1" s="9" t="s">
        <v>204</v>
      </c>
      <c r="W1" s="9"/>
      <c r="X1" s="9"/>
      <c r="Y1" s="9"/>
      <c r="Z1" s="9"/>
      <c r="AA1" s="9"/>
      <c r="AN1" s="9" t="s">
        <v>247</v>
      </c>
    </row>
    <row r="2" spans="1:60" x14ac:dyDescent="0.2">
      <c r="A2" t="s">
        <v>203</v>
      </c>
      <c r="B2" t="s">
        <v>189</v>
      </c>
      <c r="C2" t="s">
        <v>115</v>
      </c>
      <c r="D2" t="s">
        <v>57</v>
      </c>
      <c r="E2" t="s">
        <v>182</v>
      </c>
      <c r="F2" t="s">
        <v>173</v>
      </c>
      <c r="G2" t="s">
        <v>119</v>
      </c>
      <c r="H2" t="s">
        <v>212</v>
      </c>
      <c r="I2" t="s">
        <v>205</v>
      </c>
      <c r="J2" t="s">
        <v>206</v>
      </c>
      <c r="K2" t="s">
        <v>207</v>
      </c>
      <c r="L2" t="s">
        <v>210</v>
      </c>
      <c r="M2" t="s">
        <v>211</v>
      </c>
      <c r="N2" t="s">
        <v>208</v>
      </c>
      <c r="O2" t="s">
        <v>138</v>
      </c>
      <c r="P2" t="s">
        <v>209</v>
      </c>
      <c r="Q2" s="71" t="s">
        <v>221</v>
      </c>
      <c r="R2" s="68" t="s">
        <v>222</v>
      </c>
      <c r="U2" s="75" t="s">
        <v>203</v>
      </c>
      <c r="V2" s="75" t="s">
        <v>189</v>
      </c>
      <c r="W2" s="75" t="s">
        <v>115</v>
      </c>
      <c r="X2" s="75" t="s">
        <v>57</v>
      </c>
      <c r="Y2" s="75" t="s">
        <v>182</v>
      </c>
      <c r="Z2" s="75" t="s">
        <v>173</v>
      </c>
      <c r="AA2" s="75" t="s">
        <v>119</v>
      </c>
      <c r="AB2" s="71" t="s">
        <v>212</v>
      </c>
      <c r="AC2" s="71" t="s">
        <v>205</v>
      </c>
      <c r="AD2" s="71" t="s">
        <v>206</v>
      </c>
      <c r="AE2" s="71" t="s">
        <v>207</v>
      </c>
      <c r="AF2" s="71" t="s">
        <v>210</v>
      </c>
      <c r="AG2" s="75" t="s">
        <v>211</v>
      </c>
      <c r="AH2" s="71" t="s">
        <v>208</v>
      </c>
      <c r="AI2" s="71" t="s">
        <v>138</v>
      </c>
      <c r="AJ2" s="68" t="s">
        <v>209</v>
      </c>
      <c r="AK2" s="75" t="s">
        <v>221</v>
      </c>
      <c r="AL2" s="75" t="s">
        <v>222</v>
      </c>
      <c r="AN2" s="75" t="s">
        <v>203</v>
      </c>
      <c r="AO2" s="75" t="s">
        <v>189</v>
      </c>
      <c r="AP2" s="75" t="s">
        <v>115</v>
      </c>
      <c r="AQ2" s="75" t="s">
        <v>57</v>
      </c>
      <c r="AR2" s="75" t="s">
        <v>182</v>
      </c>
      <c r="AS2" s="75" t="s">
        <v>173</v>
      </c>
      <c r="AT2" s="75" t="s">
        <v>119</v>
      </c>
      <c r="AU2" s="71" t="s">
        <v>212</v>
      </c>
      <c r="AV2" s="71" t="s">
        <v>205</v>
      </c>
      <c r="AW2" s="71" t="s">
        <v>206</v>
      </c>
      <c r="AX2" s="71" t="s">
        <v>207</v>
      </c>
      <c r="AY2" s="71" t="s">
        <v>210</v>
      </c>
      <c r="AZ2" s="75" t="s">
        <v>211</v>
      </c>
      <c r="BA2" s="71" t="s">
        <v>208</v>
      </c>
      <c r="BB2" s="71" t="s">
        <v>138</v>
      </c>
      <c r="BC2" s="68" t="s">
        <v>209</v>
      </c>
      <c r="BD2" s="71" t="s">
        <v>221</v>
      </c>
      <c r="BE2" s="68" t="s">
        <v>222</v>
      </c>
    </row>
    <row r="3" spans="1:60" x14ac:dyDescent="0.2">
      <c r="A3">
        <v>1</v>
      </c>
      <c r="B3" t="s">
        <v>29</v>
      </c>
      <c r="C3" t="s">
        <v>35</v>
      </c>
      <c r="D3" t="s">
        <v>58</v>
      </c>
      <c r="E3" s="65" cm="1">
        <f t="array" ref="E3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3.8500000000000006E-2</v>
      </c>
      <c r="F3" s="64">
        <f>VLOOKUP(Base_Stress[[#This Row],[Credit Category]],
  EAD_Table[#All],
  MATCH("EAD",EAD_Table[#Headers],0),
  FALSE)</f>
        <v>0.63750000000000007</v>
      </c>
      <c r="G3" s="98" cm="1">
        <f t="array" ref="G3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57.355555555555554</v>
      </c>
      <c r="H3" s="98">
        <f>Base_Stress[[#This Row],[ATS]]*INDEX(Portfolio_Stresser[[Base]:[Severely Adverse]],MATCH("MDR",Portfolio_Stresser[Scenario],0),MATCH("Base",Portfolio_Stresser[[#Headers],[Base]:[Severely Adverse]],0))</f>
        <v>2.867777777777778</v>
      </c>
      <c r="I3" s="98" cm="1">
        <f t="array" ref="I3">Base_Stress[[#This Row],[ATS]]*INDEX(Portfolio_Stresser[[Base]:[Severely Adverse]],MATCH("Funding Rate",Portfolio_Stresser[Scenario],0),MATCH("Base",Portfolio_Stresser[[#Headers],[Base]:[Severely Adverse]],0))*Dynamic_Row_Table[Tenure (in months)]/12</f>
        <v>0.68109722222222224</v>
      </c>
      <c r="J3" s="98">
        <f>Base_Stress[[#This Row],[PD]]*Base_Stress[[#This Row],[ATS]]*Base_Stress[[#This Row],[EAD]]</f>
        <v>1.4077204166666673</v>
      </c>
      <c r="K3" s="98" cm="1">
        <f t="array" ref="K3">Base_Stress[[#This Row],[Revenue Per Loan]]-Base_Stress[[#This Row],[Funding Cost]]-Base_Stress[[#This Row],[ECL]]-Fixed_Cost[Fixed Cost]</f>
        <v>-2.2210398611111115</v>
      </c>
      <c r="L3" s="10" cm="1">
        <f t="array" ref="L3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5.0557434508891186</v>
      </c>
      <c r="M3" s="10" cm="1">
        <f t="array" ref="M3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66.490434711700573</v>
      </c>
      <c r="N3" s="10">
        <f>Base_Stress[[#This Row],[Loan Count(in M)]]/Base_Stress[[#This Row],[User Count(in M)]]</f>
        <v>13.151465329991648</v>
      </c>
      <c r="O3" s="98">
        <f>Base_Stress[[#This Row],[Revenue Per Loan]]*Base_Stress[[#This Row],[Avg Loan Per User]]</f>
        <v>37.715480018564939</v>
      </c>
      <c r="P3" s="98">
        <f>Base_Stress[[#This Row],[CM Per Loan]]*Base_Stress[[#This Row],[Avg Loan Per User]]</f>
        <v>-29.209928729932248</v>
      </c>
      <c r="Q3" s="98">
        <f>Base_Stress[[#This Row],[CM Per User]]*Base_Stress[[#This Row],[User Count(in M)]]</f>
        <v>-147.67790587729286</v>
      </c>
      <c r="R3" s="124">
        <f>Base_Stress[[#This Row],[CM Per Segment]]/SUM(Base_Stress[CM Per Segment])</f>
        <v>-0.35649872373652181</v>
      </c>
      <c r="S3" s="10"/>
      <c r="U3" s="73">
        <v>1</v>
      </c>
      <c r="V3" s="73" t="s">
        <v>29</v>
      </c>
      <c r="W3" s="73" t="s">
        <v>35</v>
      </c>
      <c r="X3" s="73" t="s">
        <v>58</v>
      </c>
      <c r="Y3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6.3908460000000014E-2</v>
      </c>
      <c r="Z3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0.73312500000000003</v>
      </c>
      <c r="AA3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50.673633333333335</v>
      </c>
      <c r="AB3" s="101">
        <f>Adverse_Stress[[#This Row],[ATS]]*INDEX(Portfolio_Stresser[[Base]:[Severely Adverse]],MATCH("MDR",Portfolio_Stresser[Scenario],0),MATCH("Adverse",Portfolio_Stresser[[#Headers],[Base]:[Severely Adverse]],0))</f>
        <v>2.4069975833333332</v>
      </c>
      <c r="AC3" s="101" cm="1">
        <f t="array" ref="AC3">Adverse_Stress[[#This Row],[ATS]]*INDEX(Portfolio_Stresser[[Base]:[Severely Adverse]],MATCH("Funding Rate",Portfolio_Stresser[Scenario],0),MATCH("Adverse",Portfolio_Stresser[[#Headers],[Base]:[Severely Adverse]],0))*Dynamic_Row_Table[Tenure (in months)]/12</f>
        <v>0.71259796875000003</v>
      </c>
      <c r="AD3" s="101">
        <f>Adverse_Stress[[#This Row],[PD]]*Adverse_Stress[[#This Row],[ATS]]*Adverse_Stress[[#This Row],[EAD]]</f>
        <v>2.3742061551651719</v>
      </c>
      <c r="AE3" s="101" cm="1">
        <f t="array" ref="AE3">Adverse_Stress[[#This Row],[Revenue Per Loan]]-Adverse_Stress[[#This Row],[Funding Cost]]-Adverse_Stress[[#This Row],[ECL]]-Fixed_Cost[Fixed Cost]</f>
        <v>-3.6798065405818385</v>
      </c>
      <c r="AF3" s="72">
        <f>Base_Stress[[#This Row],[User Count(in M)]]</f>
        <v>5.0557434508891186</v>
      </c>
      <c r="AG3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52.660424291666857</v>
      </c>
      <c r="AH3" s="136">
        <f>Adverse_Stress[[#This Row],[Loan Count(in M)]]/Adverse_Stress[[#This Row],[User Count(in M)]]</f>
        <v>10.415960541353385</v>
      </c>
      <c r="AI3" s="137">
        <f>Adverse_Stress[[#This Row],[Revenue Per Loan]]*Adverse_Stress[[#This Row],[Avg Loan Per User]]</f>
        <v>25.071191851132955</v>
      </c>
      <c r="AJ3" s="137">
        <f>Adverse_Stress[[#This Row],[CM Per Loan]]*Adverse_Stress[[#This Row],[Avg Loan Per User]]</f>
        <v>-38.328719726514535</v>
      </c>
      <c r="AK3" s="137">
        <f>Adverse_Stress[[#This Row],[CM Per User]]*Adverse_Stress[[#This Row],[User Count(in M)]]</f>
        <v>-193.78017373829044</v>
      </c>
      <c r="AL3" s="144">
        <f>(Base_Stress[[#This Row],[CM Per Segment]]-Adverse_Stress[[#This Row],[CM Per Segment]])/($B$68-$B$69)</f>
        <v>8.7426733179507957E-2</v>
      </c>
      <c r="AN3" s="73">
        <v>1</v>
      </c>
      <c r="AO3" s="73" t="s">
        <v>29</v>
      </c>
      <c r="AP3" s="73" t="s">
        <v>35</v>
      </c>
      <c r="AQ3" s="73" t="s">
        <v>58</v>
      </c>
      <c r="AR3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9.0120800000000029E-2</v>
      </c>
      <c r="AS3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0.75</v>
      </c>
      <c r="AT3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44.909399999999998</v>
      </c>
      <c r="AU3" s="101">
        <f>Severely_Adverse_Stress[[#This Row],[ATS]]*INDEX(Portfolio_Stresser[[Base]:[Severely Adverse]],MATCH("MDR",Portfolio_Stresser[Scenario],0),MATCH("Severely Adverse",Portfolio_Stresser[[#Headers],[Base]:[Severely Adverse]],0))</f>
        <v>2.0209229999999998</v>
      </c>
      <c r="AV3" s="72" cm="1">
        <f t="array" ref="AV3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0.72977774999999989</v>
      </c>
      <c r="AW3" s="72">
        <f>Severely_Adverse_Stress[[#This Row],[PD]]*Severely_Adverse_Stress[[#This Row],[ATS]]*Severely_Adverse_Stress[[#This Row],[EAD]]</f>
        <v>3.035453291640001</v>
      </c>
      <c r="AX3" s="101" cm="1">
        <f t="array" ref="AX3">Severely_Adverse_Stress[[#This Row],[Revenue Per Loan]]-Severely_Adverse_Stress[[#This Row],[Funding Cost]]-Severely_Adverse_Stress[[#This Row],[ECL]]-Fixed_Cost[Fixed Cost]</f>
        <v>-4.744308041640001</v>
      </c>
      <c r="AY3" s="72">
        <f>Base_Stress[[#This Row],[User Count(in M)]]</f>
        <v>5.0557434508891186</v>
      </c>
      <c r="AZ3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46.34383299405529</v>
      </c>
      <c r="BA3" s="136">
        <f>Severely_Adverse_Stress[[#This Row],[Loan Count(in M)]]/Severely_Adverse_Stress[[#This Row],[User Count(in M)]]</f>
        <v>9.1665713350041766</v>
      </c>
      <c r="BB3" s="137">
        <f>Severely_Adverse_Stress[[#This Row],[Revenue Per Loan]]*Severely_Adverse_Stress[[#This Row],[Avg Loan Per User]]</f>
        <v>18.524934842050644</v>
      </c>
      <c r="BC3" s="137">
        <f>Severely_Adverse_Stress[[#This Row],[CM Per Loan]]*Severely_Adverse_Stress[[#This Row],[Avg Loan Per User]]</f>
        <v>-43.489038098927033</v>
      </c>
      <c r="BD3" s="137">
        <f>Severely_Adverse_Stress[[#This Row],[CM Per User]]*Severely_Adverse_Stress[[#This Row],[User Count(in M)]]</f>
        <v>-219.86941955411771</v>
      </c>
      <c r="BE3" s="137"/>
      <c r="BG3" s="10"/>
      <c r="BH3" s="96"/>
    </row>
    <row r="4" spans="1:60" x14ac:dyDescent="0.2">
      <c r="A4">
        <v>2</v>
      </c>
      <c r="B4" t="s">
        <v>29</v>
      </c>
      <c r="C4" t="s">
        <v>35</v>
      </c>
      <c r="D4" t="s">
        <v>83</v>
      </c>
      <c r="E4" s="65" cm="1">
        <f t="array" ref="E4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1.21E-2</v>
      </c>
      <c r="F4" s="64">
        <f>VLOOKUP(Base_Stress[[#This Row],[Credit Category]],
  EAD_Table[#All],
  MATCH("EAD",EAD_Table[#Headers],0),
  FALSE)</f>
        <v>0.5625</v>
      </c>
      <c r="G4" s="98" cm="1">
        <f t="array" ref="G4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67.793253968253964</v>
      </c>
      <c r="H4" s="98">
        <f>Base_Stress[[#This Row],[ATS]]*INDEX(Portfolio_Stresser[[Base]:[Severely Adverse]],MATCH("MDR",Portfolio_Stresser[Scenario],0),MATCH("Base",Portfolio_Stresser[[#Headers],[Base]:[Severely Adverse]],0))</f>
        <v>3.3896626984126983</v>
      </c>
      <c r="I4" s="98" cm="1">
        <f t="array" ref="I4">Base_Stress[[#This Row],[ATS]]*INDEX(Portfolio_Stresser[[Base]:[Severely Adverse]],MATCH("Funding Rate",Portfolio_Stresser[Scenario],0),MATCH("Base",Portfolio_Stresser[[#Headers],[Base]:[Severely Adverse]],0))*Dynamic_Row_Table[Tenure (in months)]/12</f>
        <v>0.80504489087301578</v>
      </c>
      <c r="J4" s="98">
        <f>Base_Stress[[#This Row],[PD]]*Base_Stress[[#This Row],[ATS]]*Base_Stress[[#This Row],[EAD]]</f>
        <v>0.46141783482142851</v>
      </c>
      <c r="K4" s="98" cm="1">
        <f t="array" ref="K4">Base_Stress[[#This Row],[Revenue Per Loan]]-Base_Stress[[#This Row],[Funding Cost]]-Base_Stress[[#This Row],[ECL]]-Fixed_Cost[Fixed Cost]</f>
        <v>-0.876800027281746</v>
      </c>
      <c r="L4" s="10" cm="1">
        <f t="array" ref="L4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4.1935572643304333</v>
      </c>
      <c r="M4" s="10" cm="1">
        <f t="array" ref="M4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19.726584995350581</v>
      </c>
      <c r="N4" s="10">
        <f>Base_Stress[[#This Row],[Loan Count(in M)]]/Base_Stress[[#This Row],[User Count(in M)]]</f>
        <v>4.7040218487394947</v>
      </c>
      <c r="O4" s="98">
        <f>Base_Stress[[#This Row],[Revenue Per Loan]]*Base_Stress[[#This Row],[Avg Loan Per User]]</f>
        <v>15.945047393190606</v>
      </c>
      <c r="P4" s="98">
        <f>Base_Stress[[#This Row],[CM Per Loan]]*Base_Stress[[#This Row],[Avg Loan Per User]]</f>
        <v>-4.1244864853087178</v>
      </c>
      <c r="Q4" s="98">
        <f>Base_Stress[[#This Row],[CM Per User]]*Base_Stress[[#This Row],[User Count(in M)]]</f>
        <v>-17.296270262099071</v>
      </c>
      <c r="R4" s="124">
        <f>Base_Stress[[#This Row],[CM Per Segment]]/SUM(Base_Stress[CM Per Segment])</f>
        <v>-4.175369522752951E-2</v>
      </c>
      <c r="S4" s="10"/>
      <c r="U4" s="74">
        <v>2</v>
      </c>
      <c r="V4" s="74" t="s">
        <v>29</v>
      </c>
      <c r="W4" s="74" t="s">
        <v>35</v>
      </c>
      <c r="X4" s="74" t="s">
        <v>83</v>
      </c>
      <c r="Y4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1.8007704000000003E-2</v>
      </c>
      <c r="Z4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0.61875000000000002</v>
      </c>
      <c r="AA4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59.895339880952378</v>
      </c>
      <c r="AB4" s="134">
        <f>Adverse_Stress[[#This Row],[ATS]]*INDEX(Portfolio_Stresser[[Base]:[Severely Adverse]],MATCH("MDR",Portfolio_Stresser[Scenario],0),MATCH("Adverse",Portfolio_Stresser[[#Headers],[Base]:[Severely Adverse]],0))</f>
        <v>2.8450286443452382</v>
      </c>
      <c r="AC4" s="134" cm="1">
        <f t="array" ref="AC4">Adverse_Stress[[#This Row],[ATS]]*INDEX(Portfolio_Stresser[[Base]:[Severely Adverse]],MATCH("Funding Rate",Portfolio_Stresser[Scenario],0),MATCH("Adverse",Portfolio_Stresser[[#Headers],[Base]:[Severely Adverse]],0))*Dynamic_Row_Table[Tenure (in months)]/12</f>
        <v>0.84227821707589279</v>
      </c>
      <c r="AD4" s="134">
        <f>Adverse_Stress[[#This Row],[PD]]*Adverse_Stress[[#This Row],[ATS]]*Adverse_Stress[[#This Row],[EAD]]</f>
        <v>0.66736986002501875</v>
      </c>
      <c r="AE4" s="134" cm="1">
        <f t="array" ref="AE4">Adverse_Stress[[#This Row],[Revenue Per Loan]]-Adverse_Stress[[#This Row],[Funding Cost]]-Adverse_Stress[[#This Row],[ECL]]-Fixed_Cost[Fixed Cost]</f>
        <v>-1.6646194327556731</v>
      </c>
      <c r="AF4" s="130">
        <f>Base_Stress[[#This Row],[User Count(in M)]]</f>
        <v>4.1935572643304333</v>
      </c>
      <c r="AG4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15.623455316317662</v>
      </c>
      <c r="AH4" s="130">
        <f>Adverse_Stress[[#This Row],[Loan Count(in M)]]/Adverse_Stress[[#This Row],[User Count(in M)]]</f>
        <v>3.72558530420168</v>
      </c>
      <c r="AI4" s="134">
        <f>Adverse_Stress[[#This Row],[Revenue Per Loan]]*Adverse_Stress[[#This Row],[Avg Loan Per User]]</f>
        <v>10.599396907405447</v>
      </c>
      <c r="AJ4" s="134">
        <f>Adverse_Stress[[#This Row],[CM Per Loan]]*Adverse_Stress[[#This Row],[Avg Loan Per User]]</f>
        <v>-6.2016816957630727</v>
      </c>
      <c r="AK4" s="134">
        <f>Adverse_Stress[[#This Row],[CM Per User]]*Adverse_Stress[[#This Row],[User Count(in M)]]</f>
        <v>-26.007107326332314</v>
      </c>
      <c r="AL4" s="144">
        <f>(Base_Stress[[#This Row],[CM Per Segment]]-Adverse_Stress[[#This Row],[CM Per Segment]])/($B$68-$B$69)</f>
        <v>1.6518927660588389E-2</v>
      </c>
      <c r="AN4" s="74">
        <v>2</v>
      </c>
      <c r="AO4" s="74" t="s">
        <v>29</v>
      </c>
      <c r="AP4" s="74" t="s">
        <v>35</v>
      </c>
      <c r="AQ4" s="74" t="s">
        <v>83</v>
      </c>
      <c r="AR4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2.4596879999999998E-2</v>
      </c>
      <c r="AS4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0.65812499999999996</v>
      </c>
      <c r="AT4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53.082117857142855</v>
      </c>
      <c r="AU4" s="134">
        <f>Severely_Adverse_Stress[[#This Row],[ATS]]*INDEX(Portfolio_Stresser[[Base]:[Severely Adverse]],MATCH("MDR",Portfolio_Stresser[Scenario],0),MATCH("Severely Adverse",Portfolio_Stresser[[#Headers],[Base]:[Severely Adverse]],0))</f>
        <v>2.3886953035714282</v>
      </c>
      <c r="AV4" s="130" cm="1">
        <f t="array" ref="AV4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0.86258441517857143</v>
      </c>
      <c r="AW4" s="130">
        <f>Severely_Adverse_Stress[[#This Row],[PD]]*Severely_Adverse_Stress[[#This Row],[ATS]]*Severely_Adverse_Stress[[#This Row],[EAD]]</f>
        <v>0.85928385667570861</v>
      </c>
      <c r="AX4" s="134" cm="1">
        <f t="array" ref="AX4">Severely_Adverse_Stress[[#This Row],[Revenue Per Loan]]-Severely_Adverse_Stress[[#This Row],[Funding Cost]]-Severely_Adverse_Stress[[#This Row],[ECL]]-Fixed_Cost[Fixed Cost]</f>
        <v>-2.3331729682828519</v>
      </c>
      <c r="AY4" s="130">
        <f>Base_Stress[[#This Row],[User Count(in M)]]</f>
        <v>4.1935572643304333</v>
      </c>
      <c r="AZ4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13.749429741759355</v>
      </c>
      <c r="BA4" s="130">
        <f>Severely_Adverse_Stress[[#This Row],[Loan Count(in M)]]/Severely_Adverse_Stress[[#This Row],[User Count(in M)]]</f>
        <v>3.2787032285714277</v>
      </c>
      <c r="BB4" s="134">
        <f>Severely_Adverse_Stress[[#This Row],[Revenue Per Loan]]*Severely_Adverse_Stress[[#This Row],[Avg Loan Per User]]</f>
        <v>7.8318230038930485</v>
      </c>
      <c r="BC4" s="134">
        <f>Severely_Adverse_Stress[[#This Row],[CM Per Loan]]*Severely_Adverse_Stress[[#This Row],[Avg Loan Per User]]</f>
        <v>-7.6497817439245681</v>
      </c>
      <c r="BD4" s="134">
        <f>Severely_Adverse_Stress[[#This Row],[CM Per User]]*Severely_Adverse_Stress[[#This Row],[User Count(in M)]]</f>
        <v>-32.0797978027772</v>
      </c>
      <c r="BE4" s="134"/>
    </row>
    <row r="5" spans="1:60" x14ac:dyDescent="0.2">
      <c r="A5">
        <v>3</v>
      </c>
      <c r="B5" t="s">
        <v>29</v>
      </c>
      <c r="C5" t="s">
        <v>35</v>
      </c>
      <c r="D5" t="s">
        <v>60</v>
      </c>
      <c r="E5" s="65" cm="1">
        <f t="array" ref="E5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8.8000000000000005E-3</v>
      </c>
      <c r="F5" s="64">
        <f>VLOOKUP(Base_Stress[[#This Row],[Credit Category]],
  EAD_Table[#All],
  MATCH("EAD",EAD_Table[#Headers],0),
  FALSE)</f>
        <v>0.51749999999999996</v>
      </c>
      <c r="G5" s="98" cm="1">
        <f t="array" ref="G5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88.645634920634919</v>
      </c>
      <c r="H5" s="98">
        <f>Base_Stress[[#This Row],[ATS]]*INDEX(Portfolio_Stresser[[Base]:[Severely Adverse]],MATCH("MDR",Portfolio_Stresser[Scenario],0),MATCH("Base",Portfolio_Stresser[[#Headers],[Base]:[Severely Adverse]],0))</f>
        <v>4.4322817460317463</v>
      </c>
      <c r="I5" s="98" cm="1">
        <f t="array" ref="I5">Base_Stress[[#This Row],[ATS]]*INDEX(Portfolio_Stresser[[Base]:[Severely Adverse]],MATCH("Funding Rate",Portfolio_Stresser[Scenario],0),MATCH("Base",Portfolio_Stresser[[#Headers],[Base]:[Severely Adverse]],0))*Dynamic_Row_Table[Tenure (in months)]/12</f>
        <v>1.0526669146825396</v>
      </c>
      <c r="J5" s="98">
        <f>Base_Stress[[#This Row],[PD]]*Base_Stress[[#This Row],[ATS]]*Base_Stress[[#This Row],[EAD]]</f>
        <v>0.40369222142857142</v>
      </c>
      <c r="K5" s="98" cm="1">
        <f t="array" ref="K5">Base_Stress[[#This Row],[Revenue Per Loan]]-Base_Stress[[#This Row],[Funding Cost]]-Base_Stress[[#This Row],[ECL]]-Fixed_Cost[Fixed Cost]</f>
        <v>-2.4077390079364935E-2</v>
      </c>
      <c r="L5" s="10" cm="1">
        <f t="array" ref="L5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1.903093914453746</v>
      </c>
      <c r="M5" s="10" cm="1">
        <f t="array" ref="M5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9.1999452987435308</v>
      </c>
      <c r="N5" s="10">
        <f>Base_Stress[[#This Row],[Loan Count(in M)]]/Base_Stress[[#This Row],[User Count(in M)]]</f>
        <v>4.8342045701849843</v>
      </c>
      <c r="O5" s="98">
        <f>Base_Stress[[#This Row],[Revenue Per Loan]]*Base_Stress[[#This Row],[Avg Loan Per User]]</f>
        <v>21.426556673014151</v>
      </c>
      <c r="P5" s="98">
        <f>Base_Stress[[#This Row],[CM Per Loan]]*Base_Stress[[#This Row],[Avg Loan Per User]]</f>
        <v>-0.11639502915979257</v>
      </c>
      <c r="Q5" s="98">
        <f>Base_Stress[[#This Row],[CM Per User]]*Base_Stress[[#This Row],[User Count(in M)]]</f>
        <v>-0.22151067166666755</v>
      </c>
      <c r="R5" s="124">
        <f>Base_Stress[[#This Row],[CM Per Segment]]/SUM(Base_Stress[CM Per Segment])</f>
        <v>-5.3473314964800679E-4</v>
      </c>
      <c r="S5" s="10"/>
      <c r="U5" s="73">
        <v>3</v>
      </c>
      <c r="V5" s="73" t="s">
        <v>29</v>
      </c>
      <c r="W5" s="73" t="s">
        <v>35</v>
      </c>
      <c r="X5" s="73" t="s">
        <v>60</v>
      </c>
      <c r="Y5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1.1887603200000001E-2</v>
      </c>
      <c r="Z5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0.55372500000000002</v>
      </c>
      <c r="AA5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78.318418452380953</v>
      </c>
      <c r="AB5" s="101">
        <f>Adverse_Stress[[#This Row],[ATS]]*INDEX(Portfolio_Stresser[[Base]:[Severely Adverse]],MATCH("MDR",Portfolio_Stresser[Scenario],0),MATCH("Adverse",Portfolio_Stresser[[#Headers],[Base]:[Severely Adverse]],0))</f>
        <v>3.7201248764880952</v>
      </c>
      <c r="AC5" s="101" cm="1">
        <f t="array" ref="AC5">Adverse_Stress[[#This Row],[ATS]]*INDEX(Portfolio_Stresser[[Base]:[Severely Adverse]],MATCH("Funding Rate",Portfolio_Stresser[Scenario],0),MATCH("Adverse",Portfolio_Stresser[[#Headers],[Base]:[Severely Adverse]],0))*Dynamic_Row_Table[Tenure (in months)]/12</f>
        <v>1.1013527594866073</v>
      </c>
      <c r="AD5" s="101">
        <f>Adverse_Stress[[#This Row],[PD]]*Adverse_Stress[[#This Row],[ATS]]*Adverse_Stress[[#This Row],[EAD]]</f>
        <v>0.51552809809715983</v>
      </c>
      <c r="AE5" s="101" cm="1">
        <f t="array" ref="AE5">Adverse_Stress[[#This Row],[Revenue Per Loan]]-Adverse_Stress[[#This Row],[Funding Cost]]-Adverse_Stress[[#This Row],[ECL]]-Fixed_Cost[Fixed Cost]</f>
        <v>-0.89675598109567201</v>
      </c>
      <c r="AF5" s="72">
        <f>Base_Stress[[#This Row],[User Count(in M)]]</f>
        <v>1.903093914453746</v>
      </c>
      <c r="AG5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7.2863566766048766</v>
      </c>
      <c r="AH5" s="72">
        <f>Adverse_Stress[[#This Row],[Loan Count(in M)]]/Adverse_Stress[[#This Row],[User Count(in M)]]</f>
        <v>3.8286900195865079</v>
      </c>
      <c r="AI5" s="101">
        <f>Adverse_Stress[[#This Row],[Revenue Per Loan]]*Adverse_Stress[[#This Row],[Avg Loan Per User]]</f>
        <v>14.243204986225461</v>
      </c>
      <c r="AJ5" s="101">
        <f>Adverse_Stress[[#This Row],[CM Per Loan]]*Adverse_Stress[[#This Row],[Avg Loan Per User]]</f>
        <v>-3.4334006748255064</v>
      </c>
      <c r="AK5" s="101">
        <f>Adverse_Stress[[#This Row],[CM Per User]]*Adverse_Stress[[#This Row],[User Count(in M)]]</f>
        <v>-6.5340839301418061</v>
      </c>
      <c r="AL5" s="145">
        <f>(Base_Stress[[#This Row],[CM Per Segment]]-Adverse_Stress[[#This Row],[CM Per Segment]])/($B$68-$B$69)</f>
        <v>1.1970943807120143E-2</v>
      </c>
      <c r="AN5" s="73">
        <v>3</v>
      </c>
      <c r="AO5" s="73" t="s">
        <v>29</v>
      </c>
      <c r="AP5" s="73" t="s">
        <v>35</v>
      </c>
      <c r="AQ5" s="73" t="s">
        <v>60</v>
      </c>
      <c r="AR5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1.5720320000000003E-2</v>
      </c>
      <c r="AS5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0.58994999999999986</v>
      </c>
      <c r="AT5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69.409532142857145</v>
      </c>
      <c r="AU5" s="101">
        <f>Severely_Adverse_Stress[[#This Row],[ATS]]*INDEX(Portfolio_Stresser[[Base]:[Severely Adverse]],MATCH("MDR",Portfolio_Stresser[Scenario],0),MATCH("Severely Adverse",Portfolio_Stresser[[#Headers],[Base]:[Severely Adverse]],0))</f>
        <v>3.1234289464285716</v>
      </c>
      <c r="AV5" s="72" cm="1">
        <f t="array" ref="AV5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1.1279048973214287</v>
      </c>
      <c r="AW5" s="72">
        <f>Severely_Adverse_Stress[[#This Row],[PD]]*Severely_Adverse_Stress[[#This Row],[ATS]]*Severely_Adverse_Stress[[#This Row],[EAD]]</f>
        <v>0.64371807623542321</v>
      </c>
      <c r="AX5" s="101" cm="1">
        <f t="array" ref="AX5">Severely_Adverse_Stress[[#This Row],[Revenue Per Loan]]-Severely_Adverse_Stress[[#This Row],[Funding Cost]]-Severely_Adverse_Stress[[#This Row],[ECL]]-Fixed_Cost[Fixed Cost]</f>
        <v>-1.6481940271282802</v>
      </c>
      <c r="AY5" s="72">
        <f>Base_Stress[[#This Row],[User Count(in M)]]</f>
        <v>1.903093914453746</v>
      </c>
      <c r="AZ5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6.4123618732242402</v>
      </c>
      <c r="BA5" s="72">
        <f>Severely_Adverse_Stress[[#This Row],[Loan Count(in M)]]/Severely_Adverse_Stress[[#This Row],[User Count(in M)]]</f>
        <v>3.3694405854189338</v>
      </c>
      <c r="BB5" s="101">
        <f>Severely_Adverse_Stress[[#This Row],[Revenue Per Loan]]*Severely_Adverse_Stress[[#This Row],[Avg Loan Per User]]</f>
        <v>10.524208257768731</v>
      </c>
      <c r="BC5" s="101">
        <f>Severely_Adverse_Stress[[#This Row],[CM Per Loan]]*Severely_Adverse_Stress[[#This Row],[Avg Loan Per User]]</f>
        <v>-5.5534918476511024</v>
      </c>
      <c r="BD5" s="101">
        <f>Severely_Adverse_Stress[[#This Row],[CM Per User]]*Severely_Adverse_Stress[[#This Row],[User Count(in M)]]</f>
        <v>-10.568816539233303</v>
      </c>
      <c r="BE5" s="101"/>
    </row>
    <row r="6" spans="1:60" x14ac:dyDescent="0.2">
      <c r="A6">
        <v>4</v>
      </c>
      <c r="B6" t="s">
        <v>29</v>
      </c>
      <c r="C6" t="s">
        <v>35</v>
      </c>
      <c r="D6" t="s">
        <v>61</v>
      </c>
      <c r="E6" s="65" cm="1">
        <f t="array" ref="E6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7.7000000000000011E-3</v>
      </c>
      <c r="F6" s="64">
        <f>VLOOKUP(Base_Stress[[#This Row],[Credit Category]],
  EAD_Table[#All],
  MATCH("EAD",EAD_Table[#Headers],0),
  FALSE)</f>
        <v>0.48749999999999999</v>
      </c>
      <c r="G6" s="98" cm="1">
        <f t="array" ref="G6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114.72261904761903</v>
      </c>
      <c r="H6" s="98">
        <f>Base_Stress[[#This Row],[ATS]]*INDEX(Portfolio_Stresser[[Base]:[Severely Adverse]],MATCH("MDR",Portfolio_Stresser[Scenario],0),MATCH("Base",Portfolio_Stresser[[#Headers],[Base]:[Severely Adverse]],0))</f>
        <v>5.7361309523809521</v>
      </c>
      <c r="I6" s="98" cm="1">
        <f t="array" ref="I6">Base_Stress[[#This Row],[ATS]]*INDEX(Portfolio_Stresser[[Base]:[Severely Adverse]],MATCH("Funding Rate",Portfolio_Stresser[Scenario],0),MATCH("Base",Portfolio_Stresser[[#Headers],[Base]:[Severely Adverse]],0))*Dynamic_Row_Table[Tenure (in months)]/12</f>
        <v>1.362331101190476</v>
      </c>
      <c r="J6" s="98">
        <f>Base_Stress[[#This Row],[PD]]*Base_Stress[[#This Row],[ATS]]*Base_Stress[[#This Row],[EAD]]</f>
        <v>0.43064003125</v>
      </c>
      <c r="K6" s="98" cm="1">
        <f t="array" ref="K6">Base_Stress[[#This Row],[Revenue Per Loan]]-Base_Stress[[#This Row],[Funding Cost]]-Base_Stress[[#This Row],[ECL]]-Fixed_Cost[Fixed Cost]</f>
        <v>0.94315981994047648</v>
      </c>
      <c r="L6" s="10" cm="1">
        <f t="array" ref="L6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1.3659058411910332</v>
      </c>
      <c r="M6" s="10" cm="1">
        <f t="array" ref="M6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6.1589147902727532</v>
      </c>
      <c r="N6" s="10">
        <f>Base_Stress[[#This Row],[Loan Count(in M)]]/Base_Stress[[#This Row],[User Count(in M)]]</f>
        <v>4.5090332031250009</v>
      </c>
      <c r="O6" s="98">
        <f>Base_Stress[[#This Row],[Revenue Per Loan]]*Base_Stress[[#This Row],[Avg Loan Per User]]</f>
        <v>25.864404921758748</v>
      </c>
      <c r="P6" s="98">
        <f>Base_Stress[[#This Row],[CM Per Loan]]*Base_Stress[[#This Row],[Avg Loan Per User]]</f>
        <v>4.2527389439650056</v>
      </c>
      <c r="Q6" s="98">
        <f>Base_Stress[[#This Row],[CM Per User]]*Base_Stress[[#This Row],[User Count(in M)]]</f>
        <v>5.8088409646223873</v>
      </c>
      <c r="R6" s="124">
        <f>Base_Stress[[#This Row],[CM Per Segment]]/SUM(Base_Stress[CM Per Segment])</f>
        <v>1.4022709612343731E-2</v>
      </c>
      <c r="S6" s="10"/>
      <c r="U6" s="74">
        <v>4</v>
      </c>
      <c r="V6" s="74" t="s">
        <v>29</v>
      </c>
      <c r="W6" s="74" t="s">
        <v>35</v>
      </c>
      <c r="X6" s="74" t="s">
        <v>61</v>
      </c>
      <c r="Y6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9.6964560000000026E-3</v>
      </c>
      <c r="Z6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0.50700000000000001</v>
      </c>
      <c r="AA6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101.35743392857142</v>
      </c>
      <c r="AB6" s="134">
        <f>Adverse_Stress[[#This Row],[ATS]]*INDEX(Portfolio_Stresser[[Base]:[Severely Adverse]],MATCH("MDR",Portfolio_Stresser[Scenario],0),MATCH("Adverse",Portfolio_Stresser[[#Headers],[Base]:[Severely Adverse]],0))</f>
        <v>4.8144781116071425</v>
      </c>
      <c r="AC6" s="134" cm="1">
        <f t="array" ref="AC6">Adverse_Stress[[#This Row],[ATS]]*INDEX(Portfolio_Stresser[[Base]:[Severely Adverse]],MATCH("Funding Rate",Portfolio_Stresser[Scenario],0),MATCH("Adverse",Portfolio_Stresser[[#Headers],[Base]:[Severely Adverse]],0))*Dynamic_Row_Table[Tenure (in months)]/12</f>
        <v>1.4253389146205357</v>
      </c>
      <c r="AD6" s="134">
        <f>Adverse_Stress[[#This Row],[PD]]*Adverse_Stress[[#This Row],[ATS]]*Adverse_Stress[[#This Row],[EAD]]</f>
        <v>0.49828360446917924</v>
      </c>
      <c r="AE6" s="134" cm="1">
        <f t="array" ref="AE6">Adverse_Stress[[#This Row],[Revenue Per Loan]]-Adverse_Stress[[#This Row],[Funding Cost]]-Adverse_Stress[[#This Row],[ECL]]-Fixed_Cost[Fixed Cost]</f>
        <v>-0.1091444074825727</v>
      </c>
      <c r="AF6" s="130">
        <f>Base_Stress[[#This Row],[User Count(in M)]]</f>
        <v>1.3659058411910332</v>
      </c>
      <c r="AG6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4.8778605138960209</v>
      </c>
      <c r="AH6" s="130">
        <f>Adverse_Stress[[#This Row],[Loan Count(in M)]]/Adverse_Stress[[#This Row],[User Count(in M)]]</f>
        <v>3.571154296875001</v>
      </c>
      <c r="AI6" s="134">
        <f>Adverse_Stress[[#This Row],[Revenue Per Loan]]*Adverse_Stress[[#This Row],[Avg Loan Per User]]</f>
        <v>17.193244195476488</v>
      </c>
      <c r="AJ6" s="134">
        <f>Adverse_Stress[[#This Row],[CM Per Loan]]*Adverse_Stress[[#This Row],[Avg Loan Per User]]</f>
        <v>-0.38977151976126551</v>
      </c>
      <c r="AK6" s="134">
        <f>Adverse_Stress[[#This Row],[CM Per User]]*Adverse_Stress[[#This Row],[User Count(in M)]]</f>
        <v>-0.5323911955718188</v>
      </c>
      <c r="AL6" s="144">
        <f>(Base_Stress[[#This Row],[CM Per Segment]]-Adverse_Stress[[#This Row],[CM Per Segment]])/($B$68-$B$69)</f>
        <v>1.2025291549000545E-2</v>
      </c>
      <c r="AN6" s="74">
        <v>4</v>
      </c>
      <c r="AO6" s="74" t="s">
        <v>29</v>
      </c>
      <c r="AP6" s="74" t="s">
        <v>35</v>
      </c>
      <c r="AQ6" s="74" t="s">
        <v>61</v>
      </c>
      <c r="AR6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1.2142592000000004E-2</v>
      </c>
      <c r="AS6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0.53625</v>
      </c>
      <c r="AT6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89.827810714285704</v>
      </c>
      <c r="AU6" s="134">
        <f>Severely_Adverse_Stress[[#This Row],[ATS]]*INDEX(Portfolio_Stresser[[Base]:[Severely Adverse]],MATCH("MDR",Portfolio_Stresser[Scenario],0),MATCH("Severely Adverse",Portfolio_Stresser[[#Headers],[Base]:[Severely Adverse]],0))</f>
        <v>4.0422514821428566</v>
      </c>
      <c r="AV6" s="130" cm="1">
        <f t="array" ref="AV6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1.4597019241071427</v>
      </c>
      <c r="AW6" s="130">
        <f>Severely_Adverse_Stress[[#This Row],[PD]]*Severely_Adverse_Stress[[#This Row],[ATS]]*Severely_Adverse_Stress[[#This Row],[EAD]]</f>
        <v>0.58491064189958408</v>
      </c>
      <c r="AX6" s="134" cm="1">
        <f t="array" ref="AX6">Severely_Adverse_Stress[[#This Row],[Revenue Per Loan]]-Severely_Adverse_Stress[[#This Row],[Funding Cost]]-Severely_Adverse_Stress[[#This Row],[ECL]]-Fixed_Cost[Fixed Cost]</f>
        <v>-1.0023610838638701</v>
      </c>
      <c r="AY6" s="130">
        <f>Base_Stress[[#This Row],[User Count(in M)]]</f>
        <v>1.3659058411910332</v>
      </c>
      <c r="AZ6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4.2927636088201089</v>
      </c>
      <c r="BA6" s="130">
        <f>Severely_Adverse_Stress[[#This Row],[Loan Count(in M)]]/Severely_Adverse_Stress[[#This Row],[User Count(in M)]]</f>
        <v>3.1427961425781255</v>
      </c>
      <c r="BB6" s="134">
        <f>Severely_Adverse_Stress[[#This Row],[Revenue Per Loan]]*Severely_Adverse_Stress[[#This Row],[Avg Loan Per User]]</f>
        <v>12.70397236540928</v>
      </c>
      <c r="BC6" s="134">
        <f>Severely_Adverse_Stress[[#This Row],[CM Per Loan]]*Severely_Adverse_Stress[[#This Row],[Avg Loan Per User]]</f>
        <v>-3.1502165478377999</v>
      </c>
      <c r="BD6" s="134">
        <f>Severely_Adverse_Stress[[#This Row],[CM Per User]]*Severely_Adverse_Stress[[#This Row],[User Count(in M)]]</f>
        <v>-4.3028991837083028</v>
      </c>
      <c r="BE6" s="134"/>
    </row>
    <row r="7" spans="1:60" x14ac:dyDescent="0.2">
      <c r="A7">
        <v>5</v>
      </c>
      <c r="B7" t="s">
        <v>29</v>
      </c>
      <c r="C7" t="s">
        <v>35</v>
      </c>
      <c r="D7" t="s">
        <v>62</v>
      </c>
      <c r="E7" s="65" cm="1">
        <f t="array" ref="E7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8.8000000000000005E-3</v>
      </c>
      <c r="F7" s="64">
        <f>VLOOKUP(Base_Stress[[#This Row],[Credit Category]],
  EAD_Table[#All],
  MATCH("EAD",EAD_Table[#Headers],0),
  FALSE)</f>
        <v>0.4425</v>
      </c>
      <c r="G7" s="98" cm="1">
        <f t="array" ref="G7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151.22579365079363</v>
      </c>
      <c r="H7" s="98">
        <f>Base_Stress[[#This Row],[ATS]]*INDEX(Portfolio_Stresser[[Base]:[Severely Adverse]],MATCH("MDR",Portfolio_Stresser[Scenario],0),MATCH("Base",Portfolio_Stresser[[#Headers],[Base]:[Severely Adverse]],0))</f>
        <v>7.561289682539682</v>
      </c>
      <c r="I7" s="98" cm="1">
        <f t="array" ref="I7">Base_Stress[[#This Row],[ATS]]*INDEX(Portfolio_Stresser[[Base]:[Severely Adverse]],MATCH("Funding Rate",Portfolio_Stresser[Scenario],0),MATCH("Base",Portfolio_Stresser[[#Headers],[Base]:[Severely Adverse]],0))*Dynamic_Row_Table[Tenure (in months)]/12</f>
        <v>1.7958062996031743</v>
      </c>
      <c r="J7" s="98">
        <f>Base_Stress[[#This Row],[PD]]*Base_Stress[[#This Row],[ATS]]*Base_Stress[[#This Row],[EAD]]</f>
        <v>0.5888732404761905</v>
      </c>
      <c r="K7" s="98" cm="1">
        <f t="array" ref="K7">Base_Stress[[#This Row],[Revenue Per Loan]]-Base_Stress[[#This Row],[Funding Cost]]-Base_Stress[[#This Row],[ECL]]-Fixed_Cost[Fixed Cost]</f>
        <v>2.1766101424603175</v>
      </c>
      <c r="L7" s="10" cm="1">
        <f t="array" ref="L7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0.48317726709030911</v>
      </c>
      <c r="M7" s="10" cm="1">
        <f t="array" ref="M7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1.8644106439018384</v>
      </c>
      <c r="N7" s="10">
        <f>Base_Stress[[#This Row],[Loan Count(in M)]]/Base_Stress[[#This Row],[User Count(in M)]]</f>
        <v>3.8586472727272731</v>
      </c>
      <c r="O7" s="98">
        <f>Base_Stress[[#This Row],[Revenue Per Loan]]*Base_Stress[[#This Row],[Avg Loan Per User]]</f>
        <v>29.176349811832612</v>
      </c>
      <c r="P7" s="98">
        <f>Base_Stress[[#This Row],[CM Per Loan]]*Base_Stress[[#This Row],[Avg Loan Per User]]</f>
        <v>8.3987707899950248</v>
      </c>
      <c r="Q7" s="98">
        <f>Base_Stress[[#This Row],[CM Per User]]*Base_Stress[[#This Row],[User Count(in M)]]</f>
        <v>4.0580951172277127</v>
      </c>
      <c r="R7" s="124">
        <f>Base_Stress[[#This Row],[CM Per Segment]]/SUM(Base_Stress[CM Per Segment])</f>
        <v>9.7963586461956853E-3</v>
      </c>
      <c r="S7" s="10"/>
      <c r="U7" s="73">
        <v>5</v>
      </c>
      <c r="V7" s="73" t="s">
        <v>29</v>
      </c>
      <c r="W7" s="73" t="s">
        <v>35</v>
      </c>
      <c r="X7" s="73" t="s">
        <v>62</v>
      </c>
      <c r="Y7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1.0577952000000003E-2</v>
      </c>
      <c r="Z7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0.45135000000000003</v>
      </c>
      <c r="AA7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133.60798869047619</v>
      </c>
      <c r="AB7" s="101">
        <f>Adverse_Stress[[#This Row],[ATS]]*INDEX(Portfolio_Stresser[[Base]:[Severely Adverse]],MATCH("MDR",Portfolio_Stresser[Scenario],0),MATCH("Adverse",Portfolio_Stresser[[#Headers],[Base]:[Severely Adverse]],0))</f>
        <v>6.3463794627976196</v>
      </c>
      <c r="AC7" s="101" cm="1">
        <f t="array" ref="AC7">Adverse_Stress[[#This Row],[ATS]]*INDEX(Portfolio_Stresser[[Base]:[Severely Adverse]],MATCH("Funding Rate",Portfolio_Stresser[Scenario],0),MATCH("Adverse",Portfolio_Stresser[[#Headers],[Base]:[Severely Adverse]],0))*Dynamic_Row_Table[Tenure (in months)]/12</f>
        <v>1.8788623409598213</v>
      </c>
      <c r="AD7" s="101">
        <f>Adverse_Stress[[#This Row],[PD]]*Adverse_Stress[[#This Row],[ATS]]*Adverse_Stress[[#This Row],[EAD]]</f>
        <v>0.63789245453607923</v>
      </c>
      <c r="AE7" s="101" cm="1">
        <f t="array" ref="AE7">Adverse_Stress[[#This Row],[Revenue Per Loan]]-Adverse_Stress[[#This Row],[Funding Cost]]-Adverse_Stress[[#This Row],[ECL]]-Fixed_Cost[Fixed Cost]</f>
        <v>0.82962466730171913</v>
      </c>
      <c r="AF7" s="72">
        <f>Base_Stress[[#This Row],[User Count(in M)]]</f>
        <v>0.48317726709030911</v>
      </c>
      <c r="AG7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1.4766132299702561</v>
      </c>
      <c r="AH7" s="72">
        <f>Adverse_Stress[[#This Row],[Loan Count(in M)]]/Adverse_Stress[[#This Row],[User Count(in M)]]</f>
        <v>3.0560486400000002</v>
      </c>
      <c r="AI7" s="101">
        <f>Adverse_Stress[[#This Row],[Revenue Per Loan]]*Adverse_Stress[[#This Row],[Avg Loan Per User]]</f>
        <v>19.394844326206599</v>
      </c>
      <c r="AJ7" s="101">
        <f>Adverse_Stress[[#This Row],[CM Per Loan]]*Adverse_Stress[[#This Row],[Avg Loan Per User]]</f>
        <v>2.5353733362178712</v>
      </c>
      <c r="AK7" s="101">
        <f>Adverse_Stress[[#This Row],[CM Per User]]*Adverse_Stress[[#This Row],[User Count(in M)]]</f>
        <v>1.2250347596473905</v>
      </c>
      <c r="AL7" s="145">
        <f>(Base_Stress[[#This Row],[CM Per Segment]]-Adverse_Stress[[#This Row],[CM Per Segment]])/($B$68-$B$69)</f>
        <v>5.3725168729314805E-3</v>
      </c>
      <c r="AN7" s="73">
        <v>5</v>
      </c>
      <c r="AO7" s="73" t="s">
        <v>29</v>
      </c>
      <c r="AP7" s="73" t="s">
        <v>35</v>
      </c>
      <c r="AQ7" s="73" t="s">
        <v>62</v>
      </c>
      <c r="AR7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1.2467840000000003E-2</v>
      </c>
      <c r="AS7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0.46462500000000001</v>
      </c>
      <c r="AT7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118.40979642857141</v>
      </c>
      <c r="AU7" s="101">
        <f>Severely_Adverse_Stress[[#This Row],[ATS]]*INDEX(Portfolio_Stresser[[Base]:[Severely Adverse]],MATCH("MDR",Portfolio_Stresser[Scenario],0),MATCH("Severely Adverse",Portfolio_Stresser[[#Headers],[Base]:[Severely Adverse]],0))</f>
        <v>5.3284408392857134</v>
      </c>
      <c r="AV7" s="72" cm="1">
        <f t="array" ref="AV7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1.9241591919642855</v>
      </c>
      <c r="AW7" s="72">
        <f>Severely_Adverse_Stress[[#This Row],[PD]]*Severely_Adverse_Stress[[#This Row],[ATS]]*Severely_Adverse_Stress[[#This Row],[EAD]]</f>
        <v>0.68593257638274607</v>
      </c>
      <c r="AX7" s="101" cm="1">
        <f t="array" ref="AX7">Severely_Adverse_Stress[[#This Row],[Revenue Per Loan]]-Severely_Adverse_Stress[[#This Row],[Funding Cost]]-Severely_Adverse_Stress[[#This Row],[ECL]]-Fixed_Cost[Fixed Cost]</f>
        <v>-0.2816509290613185</v>
      </c>
      <c r="AY7" s="72">
        <f>Base_Stress[[#This Row],[User Count(in M)]]</f>
        <v>0.48317726709030911</v>
      </c>
      <c r="AZ7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1.2994942187995813</v>
      </c>
      <c r="BA7" s="72">
        <f>Severely_Adverse_Stress[[#This Row],[Loan Count(in M)]]/Severely_Adverse_Stress[[#This Row],[User Count(in M)]]</f>
        <v>2.6894771490909091</v>
      </c>
      <c r="BB7" s="101">
        <f>Severely_Adverse_Stress[[#This Row],[Revenue Per Loan]]*Severely_Adverse_Stress[[#This Row],[Avg Loan Per User]]</f>
        <v>14.330719877541711</v>
      </c>
      <c r="BC7" s="101">
        <f>Severely_Adverse_Stress[[#This Row],[CM Per Loan]]*Severely_Adverse_Stress[[#This Row],[Avg Loan Per User]]</f>
        <v>-0.75749373773064077</v>
      </c>
      <c r="BD7" s="101">
        <f>Severely_Adverse_Stress[[#This Row],[CM Per User]]*Severely_Adverse_Stress[[#This Row],[User Count(in M)]]</f>
        <v>-0.36600375403471436</v>
      </c>
      <c r="BE7" s="101"/>
    </row>
    <row r="8" spans="1:60" x14ac:dyDescent="0.2">
      <c r="A8">
        <v>6</v>
      </c>
      <c r="B8" t="s">
        <v>29</v>
      </c>
      <c r="C8" t="s">
        <v>36</v>
      </c>
      <c r="D8" t="s">
        <v>58</v>
      </c>
      <c r="E8" s="65" cm="1">
        <f t="array" ref="E8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3.7800000000000007E-2</v>
      </c>
      <c r="F8" s="64">
        <f>VLOOKUP(Base_Stress[[#This Row],[Credit Category]],
  EAD_Table[#All],
  MATCH("EAD",EAD_Table[#Headers],0),
  FALSE)</f>
        <v>0.63750000000000007</v>
      </c>
      <c r="G8" s="98" cm="1">
        <f t="array" ref="G8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83.432539682539669</v>
      </c>
      <c r="H8" s="98">
        <f>Base_Stress[[#This Row],[ATS]]*INDEX(Portfolio_Stresser[[Base]:[Severely Adverse]],MATCH("MDR",Portfolio_Stresser[Scenario],0),MATCH("Base",Portfolio_Stresser[[#Headers],[Base]:[Severely Adverse]],0))</f>
        <v>4.1716269841269833</v>
      </c>
      <c r="I8" s="98" cm="1">
        <f t="array" ref="I8">Base_Stress[[#This Row],[ATS]]*INDEX(Portfolio_Stresser[[Base]:[Severely Adverse]],MATCH("Funding Rate",Portfolio_Stresser[Scenario],0),MATCH("Base",Portfolio_Stresser[[#Headers],[Base]:[Severely Adverse]],0))*Dynamic_Row_Table[Tenure (in months)]/12</f>
        <v>0.99076140873015861</v>
      </c>
      <c r="J8" s="98">
        <f>Base_Stress[[#This Row],[PD]]*Base_Stress[[#This Row],[ATS]]*Base_Stress[[#This Row],[EAD]]</f>
        <v>2.010515625</v>
      </c>
      <c r="K8" s="98" cm="1">
        <f t="array" ref="K8">Base_Stress[[#This Row],[Revenue Per Loan]]-Base_Stress[[#This Row],[Funding Cost]]-Base_Stress[[#This Row],[ECL]]-Fixed_Cost[Fixed Cost]</f>
        <v>-1.8296500496031753</v>
      </c>
      <c r="L8" s="10" cm="1">
        <f t="array" ref="L8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0.27868483279295159</v>
      </c>
      <c r="M8" s="10" cm="1">
        <f t="array" ref="M8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3.6651139164710225</v>
      </c>
      <c r="N8" s="10">
        <f>Base_Stress[[#This Row],[Loan Count(in M)]]/Base_Stress[[#This Row],[User Count(in M)]]</f>
        <v>13.151465329991648</v>
      </c>
      <c r="O8" s="98">
        <f>Base_Stress[[#This Row],[Revenue Per Loan]]*Base_Stress[[#This Row],[Avg Loan Per User]]</f>
        <v>54.863007651403642</v>
      </c>
      <c r="P8" s="98">
        <f>Base_Stress[[#This Row],[CM Per Loan]]*Base_Stress[[#This Row],[Avg Loan Per User]]</f>
        <v>-24.062579193373661</v>
      </c>
      <c r="Q8" s="98">
        <f>Base_Stress[[#This Row],[CM Per User]]*Base_Stress[[#This Row],[User Count(in M)]]</f>
        <v>-6.7058758590724947</v>
      </c>
      <c r="R8" s="124">
        <f>Base_Stress[[#This Row],[CM Per Segment]]/SUM(Base_Stress[CM Per Segment])</f>
        <v>-1.6188177717534141E-2</v>
      </c>
      <c r="S8" s="10"/>
      <c r="U8" s="74">
        <v>6</v>
      </c>
      <c r="V8" s="74" t="s">
        <v>29</v>
      </c>
      <c r="W8" s="74" t="s">
        <v>36</v>
      </c>
      <c r="X8" s="74" t="s">
        <v>58</v>
      </c>
      <c r="Y8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6.0970644000000025E-2</v>
      </c>
      <c r="Z8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0.73312500000000003</v>
      </c>
      <c r="AA8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72.160803571428573</v>
      </c>
      <c r="AB8" s="134">
        <f>Adverse_Stress[[#This Row],[ATS]]*INDEX(Portfolio_Stresser[[Base]:[Severely Adverse]],MATCH("MDR",Portfolio_Stresser[Scenario],0),MATCH("Adverse",Portfolio_Stresser[[#Headers],[Base]:[Severely Adverse]],0))</f>
        <v>3.4276381696428571</v>
      </c>
      <c r="AC8" s="134" cm="1">
        <f t="array" ref="AC8">Adverse_Stress[[#This Row],[ATS]]*INDEX(Portfolio_Stresser[[Base]:[Severely Adverse]],MATCH("Funding Rate",Portfolio_Stresser[Scenario],0),MATCH("Adverse",Portfolio_Stresser[[#Headers],[Base]:[Severely Adverse]],0))*Dynamic_Row_Table[Tenure (in months)]/12</f>
        <v>1.0147613002232143</v>
      </c>
      <c r="AD8" s="134">
        <f>Adverse_Stress[[#This Row],[PD]]*Adverse_Stress[[#This Row],[ATS]]*Adverse_Stress[[#This Row],[EAD]]</f>
        <v>3.2255232190035628</v>
      </c>
      <c r="AE8" s="134" cm="1">
        <f t="array" ref="AE8">Adverse_Stress[[#This Row],[Revenue Per Loan]]-Adverse_Stress[[#This Row],[Funding Cost]]-Adverse_Stress[[#This Row],[ECL]]-Fixed_Cost[Fixed Cost]</f>
        <v>-3.81264634958392</v>
      </c>
      <c r="AF8" s="130">
        <f>Base_Stress[[#This Row],[User Count(in M)]]</f>
        <v>0.27868483279295159</v>
      </c>
      <c r="AG8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3.0677003480862459</v>
      </c>
      <c r="AH8" s="130">
        <f>Adverse_Stress[[#This Row],[Loan Count(in M)]]/Adverse_Stress[[#This Row],[User Count(in M)]]</f>
        <v>11.00777648120301</v>
      </c>
      <c r="AI8" s="134">
        <f>Adverse_Stress[[#This Row],[Revenue Per Loan]]*Adverse_Stress[[#This Row],[Avg Loan Per User]]</f>
        <v>37.730674829868377</v>
      </c>
      <c r="AJ8" s="134">
        <f>Adverse_Stress[[#This Row],[CM Per Loan]]*Adverse_Stress[[#This Row],[Avg Loan Per User]]</f>
        <v>-41.968758818094386</v>
      </c>
      <c r="AK8" s="134">
        <f>Adverse_Stress[[#This Row],[CM Per User]]*Adverse_Stress[[#This Row],[User Count(in M)]]</f>
        <v>-11.696056533748347</v>
      </c>
      <c r="AL8" s="144">
        <f>(Base_Stress[[#This Row],[CM Per Segment]]-Adverse_Stress[[#This Row],[CM Per Segment]])/($B$68-$B$69)</f>
        <v>9.463204623204895E-3</v>
      </c>
      <c r="AN8" s="74">
        <v>6</v>
      </c>
      <c r="AO8" s="74" t="s">
        <v>29</v>
      </c>
      <c r="AP8" s="74" t="s">
        <v>36</v>
      </c>
      <c r="AQ8" s="74" t="s">
        <v>58</v>
      </c>
      <c r="AR8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8.6873472000000035E-2</v>
      </c>
      <c r="AS8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0.75</v>
      </c>
      <c r="AT8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63.875952380952377</v>
      </c>
      <c r="AU8" s="134">
        <f>Severely_Adverse_Stress[[#This Row],[ATS]]*INDEX(Portfolio_Stresser[[Base]:[Severely Adverse]],MATCH("MDR",Portfolio_Stresser[Scenario],0),MATCH("Severely Adverse",Portfolio_Stresser[[#Headers],[Base]:[Severely Adverse]],0))</f>
        <v>2.8744178571428569</v>
      </c>
      <c r="AV8" s="130" cm="1">
        <f t="array" ref="AV8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1.0379842261904761</v>
      </c>
      <c r="AW8" s="130">
        <f>Severely_Adverse_Stress[[#This Row],[PD]]*Severely_Adverse_Stress[[#This Row],[ATS]]*Severely_Adverse_Stress[[#This Row],[EAD]]</f>
        <v>4.1618443204800011</v>
      </c>
      <c r="AX8" s="134" cm="1">
        <f t="array" ref="AX8">Severely_Adverse_Stress[[#This Row],[Revenue Per Loan]]-Severely_Adverse_Stress[[#This Row],[Funding Cost]]-Severely_Adverse_Stress[[#This Row],[ECL]]-Fixed_Cost[Fixed Cost]</f>
        <v>-5.3254106895276205</v>
      </c>
      <c r="AY8" s="130">
        <f>Base_Stress[[#This Row],[User Count(in M)]]</f>
        <v>0.27868483279295159</v>
      </c>
      <c r="AZ8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2.6480448046503136</v>
      </c>
      <c r="BA8" s="130">
        <f>Severely_Adverse_Stress[[#This Row],[Loan Count(in M)]]/Severely_Adverse_Stress[[#This Row],[User Count(in M)]]</f>
        <v>9.5019337009189648</v>
      </c>
      <c r="BB8" s="134">
        <f>Severely_Adverse_Stress[[#This Row],[Revenue Per Loan]]*Severely_Adverse_Stress[[#This Row],[Avg Loan Per User]]</f>
        <v>27.312527907308986</v>
      </c>
      <c r="BC8" s="134">
        <f>Severely_Adverse_Stress[[#This Row],[CM Per Loan]]*Severely_Adverse_Stress[[#This Row],[Avg Loan Per User]]</f>
        <v>-50.601699302056602</v>
      </c>
      <c r="BD8" s="134">
        <f>Severely_Adverse_Stress[[#This Row],[CM Per User]]*Severely_Adverse_Stress[[#This Row],[User Count(in M)]]</f>
        <v>-14.10192610903286</v>
      </c>
      <c r="BE8" s="134"/>
    </row>
    <row r="9" spans="1:60" x14ac:dyDescent="0.2">
      <c r="A9">
        <v>7</v>
      </c>
      <c r="B9" t="s">
        <v>29</v>
      </c>
      <c r="C9" t="s">
        <v>36</v>
      </c>
      <c r="D9" t="s">
        <v>83</v>
      </c>
      <c r="E9" s="65" cm="1">
        <f t="array" ref="E9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1.188E-2</v>
      </c>
      <c r="F9" s="64">
        <f>VLOOKUP(Base_Stress[[#This Row],[Credit Category]],
  EAD_Table[#All],
  MATCH("EAD",EAD_Table[#Headers],0),
  FALSE)</f>
        <v>0.5625</v>
      </c>
      <c r="G9" s="98" cm="1">
        <f t="array" ref="G9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99.071825396825389</v>
      </c>
      <c r="H9" s="98">
        <f>Base_Stress[[#This Row],[ATS]]*INDEX(Portfolio_Stresser[[Base]:[Severely Adverse]],MATCH("MDR",Portfolio_Stresser[Scenario],0),MATCH("Base",Portfolio_Stresser[[#Headers],[Base]:[Severely Adverse]],0))</f>
        <v>4.9535912698412696</v>
      </c>
      <c r="I9" s="98" cm="1">
        <f t="array" ref="I9">Base_Stress[[#This Row],[ATS]]*INDEX(Portfolio_Stresser[[Base]:[Severely Adverse]],MATCH("Funding Rate",Portfolio_Stresser[Scenario],0),MATCH("Base",Portfolio_Stresser[[#Headers],[Base]:[Severely Adverse]],0))*Dynamic_Row_Table[Tenure (in months)]/12</f>
        <v>1.1764779265873015</v>
      </c>
      <c r="J9" s="98">
        <f>Base_Stress[[#This Row],[PD]]*Base_Stress[[#This Row],[ATS]]*Base_Stress[[#This Row],[EAD]]</f>
        <v>0.6620474732142857</v>
      </c>
      <c r="K9" s="98" cm="1">
        <f t="array" ref="K9">Base_Stress[[#This Row],[Revenue Per Loan]]-Base_Stress[[#This Row],[Funding Cost]]-Base_Stress[[#This Row],[ECL]]-Fixed_Cost[Fixed Cost]</f>
        <v>0.11506587003968249</v>
      </c>
      <c r="L9" s="10" cm="1">
        <f t="array" ref="L9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0.46665231296781062</v>
      </c>
      <c r="M9" s="10" cm="1">
        <f t="array" ref="M9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2.1951426759654016</v>
      </c>
      <c r="N9" s="10">
        <f>Base_Stress[[#This Row],[Loan Count(in M)]]/Base_Stress[[#This Row],[User Count(in M)]]</f>
        <v>4.7040218487394938</v>
      </c>
      <c r="O9" s="98">
        <f>Base_Stress[[#This Row],[Revenue Per Loan]]*Base_Stress[[#This Row],[Avg Loan Per User]]</f>
        <v>23.301801563058547</v>
      </c>
      <c r="P9" s="98">
        <f>Base_Stress[[#This Row],[CM Per Loan]]*Base_Stress[[#This Row],[Avg Loan Per User]]</f>
        <v>0.54127236671088552</v>
      </c>
      <c r="Q9" s="98">
        <f>Base_Stress[[#This Row],[CM Per User]]*Base_Stress[[#This Row],[User Count(in M)]]</f>
        <v>0.25258600187119573</v>
      </c>
      <c r="R9" s="124">
        <f>Base_Stress[[#This Row],[CM Per Segment]]/SUM(Base_Stress[CM Per Segment])</f>
        <v>6.0974989295699159E-4</v>
      </c>
      <c r="S9" s="10"/>
      <c r="U9" s="73">
        <v>7</v>
      </c>
      <c r="V9" s="73" t="s">
        <v>29</v>
      </c>
      <c r="W9" s="73" t="s">
        <v>36</v>
      </c>
      <c r="X9" s="73" t="s">
        <v>83</v>
      </c>
      <c r="Y9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1.7179905600000003E-2</v>
      </c>
      <c r="Z9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0.61875000000000002</v>
      </c>
      <c r="AA9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85.687221785714286</v>
      </c>
      <c r="AB9" s="101">
        <f>Adverse_Stress[[#This Row],[ATS]]*INDEX(Portfolio_Stresser[[Base]:[Severely Adverse]],MATCH("MDR",Portfolio_Stresser[Scenario],0),MATCH("Adverse",Portfolio_Stresser[[#Headers],[Base]:[Severely Adverse]],0))</f>
        <v>4.0701430348214283</v>
      </c>
      <c r="AC9" s="101" cm="1">
        <f t="array" ref="AC9">Adverse_Stress[[#This Row],[ATS]]*INDEX(Portfolio_Stresser[[Base]:[Severely Adverse]],MATCH("Funding Rate",Portfolio_Stresser[Scenario],0),MATCH("Adverse",Portfolio_Stresser[[#Headers],[Base]:[Severely Adverse]],0))*Dynamic_Row_Table[Tenure (in months)]/12</f>
        <v>1.2049765563616073</v>
      </c>
      <c r="AD9" s="101">
        <f>Adverse_Stress[[#This Row],[PD]]*Adverse_Stress[[#This Row],[ATS]]*Adverse_Stress[[#This Row],[EAD]]</f>
        <v>0.91086087349424183</v>
      </c>
      <c r="AE9" s="101" cm="1">
        <f t="array" ref="AE9">Adverse_Stress[[#This Row],[Revenue Per Loan]]-Adverse_Stress[[#This Row],[Funding Cost]]-Adverse_Stress[[#This Row],[ECL]]-Fixed_Cost[Fixed Cost]</f>
        <v>-1.0456943950344209</v>
      </c>
      <c r="AF9" s="72">
        <f>Base_Stress[[#This Row],[User Count(in M)]]</f>
        <v>0.46665231296781062</v>
      </c>
      <c r="AG9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1.8373344197830412</v>
      </c>
      <c r="AH9" s="72">
        <f>Adverse_Stress[[#This Row],[Loan Count(in M)]]/Adverse_Stress[[#This Row],[User Count(in M)]]</f>
        <v>3.9372662873949569</v>
      </c>
      <c r="AI9" s="101">
        <f>Adverse_Stress[[#This Row],[Revenue Per Loan]]*Adverse_Stress[[#This Row],[Avg Loan Per User]]</f>
        <v>16.025236955877808</v>
      </c>
      <c r="AJ9" s="101">
        <f>Adverse_Stress[[#This Row],[CM Per Loan]]*Adverse_Stress[[#This Row],[Avg Loan Per User]]</f>
        <v>-4.1171772884868894</v>
      </c>
      <c r="AK9" s="101">
        <f>Adverse_Stress[[#This Row],[CM Per User]]*Adverse_Stress[[#This Row],[User Count(in M)]]</f>
        <v>-1.9212903045709457</v>
      </c>
      <c r="AL9" s="145">
        <f>(Base_Stress[[#This Row],[CM Per Segment]]-Adverse_Stress[[#This Row],[CM Per Segment]])/($B$68-$B$69)</f>
        <v>4.1224632241867948E-3</v>
      </c>
      <c r="AN9" s="73">
        <v>7</v>
      </c>
      <c r="AO9" s="73" t="s">
        <v>29</v>
      </c>
      <c r="AP9" s="73" t="s">
        <v>36</v>
      </c>
      <c r="AQ9" s="73" t="s">
        <v>83</v>
      </c>
      <c r="AR9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2.3710579200000002E-2</v>
      </c>
      <c r="AS9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0.65812499999999996</v>
      </c>
      <c r="AT9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75.849389523809521</v>
      </c>
      <c r="AU9" s="101">
        <f>Severely_Adverse_Stress[[#This Row],[ATS]]*INDEX(Portfolio_Stresser[[Base]:[Severely Adverse]],MATCH("MDR",Portfolio_Stresser[Scenario],0),MATCH("Severely Adverse",Portfolio_Stresser[[#Headers],[Base]:[Severely Adverse]],0))</f>
        <v>3.4132225285714282</v>
      </c>
      <c r="AV9" s="72" cm="1">
        <f t="array" ref="AV9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1.2325525797619048</v>
      </c>
      <c r="AW9" s="72">
        <f>Severely_Adverse_Stress[[#This Row],[PD]]*Severely_Adverse_Stress[[#This Row],[ATS]]*Severely_Adverse_Stress[[#This Row],[EAD]]</f>
        <v>1.1835936902046629</v>
      </c>
      <c r="AX9" s="101" cm="1">
        <f t="array" ref="AX9">Severely_Adverse_Stress[[#This Row],[Revenue Per Loan]]-Severely_Adverse_Stress[[#This Row],[Funding Cost]]-Severely_Adverse_Stress[[#This Row],[ECL]]-Fixed_Cost[Fixed Cost]</f>
        <v>-2.0029237413951395</v>
      </c>
      <c r="AY9" s="72">
        <f>Base_Stress[[#This Row],[User Count(in M)]]</f>
        <v>0.46665231296781062</v>
      </c>
      <c r="AZ9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1.5859905833850025</v>
      </c>
      <c r="BA9" s="72">
        <f>Severely_Adverse_Stress[[#This Row],[Loan Count(in M)]]/Severely_Adverse_Stress[[#This Row],[User Count(in M)]]</f>
        <v>3.3986557857142845</v>
      </c>
      <c r="BB9" s="101">
        <f>Severely_Adverse_Stress[[#This Row],[Revenue Per Loan]]*Severely_Adverse_Stress[[#This Row],[Avg Loan Per User]]</f>
        <v>11.600368494659625</v>
      </c>
      <c r="BC9" s="101">
        <f>Severely_Adverse_Stress[[#This Row],[CM Per Loan]]*Severely_Adverse_Stress[[#This Row],[Avg Loan Per User]]</f>
        <v>-6.8072483620370923</v>
      </c>
      <c r="BD9" s="101">
        <f>Severely_Adverse_Stress[[#This Row],[CM Per User]]*Severely_Adverse_Stress[[#This Row],[User Count(in M)]]</f>
        <v>-3.1766181930909494</v>
      </c>
      <c r="BE9" s="101"/>
    </row>
    <row r="10" spans="1:60" x14ac:dyDescent="0.2">
      <c r="A10">
        <v>8</v>
      </c>
      <c r="B10" t="s">
        <v>29</v>
      </c>
      <c r="C10" t="s">
        <v>36</v>
      </c>
      <c r="D10" t="s">
        <v>60</v>
      </c>
      <c r="E10" s="65" cm="1">
        <f t="array" ref="E10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8.6400000000000001E-3</v>
      </c>
      <c r="F10" s="64">
        <f>VLOOKUP(Base_Stress[[#This Row],[Credit Category]],
  EAD_Table[#All],
  MATCH("EAD",EAD_Table[#Headers],0),
  FALSE)</f>
        <v>0.51749999999999996</v>
      </c>
      <c r="G10" s="98" cm="1">
        <f t="array" ref="G10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125.14880952380952</v>
      </c>
      <c r="H10" s="98">
        <f>Base_Stress[[#This Row],[ATS]]*INDEX(Portfolio_Stresser[[Base]:[Severely Adverse]],MATCH("MDR",Portfolio_Stresser[Scenario],0),MATCH("Base",Portfolio_Stresser[[#Headers],[Base]:[Severely Adverse]],0))</f>
        <v>6.2574404761904763</v>
      </c>
      <c r="I10" s="98" cm="1">
        <f t="array" ref="I10">Base_Stress[[#This Row],[ATS]]*INDEX(Portfolio_Stresser[[Base]:[Severely Adverse]],MATCH("Funding Rate",Portfolio_Stresser[Scenario],0),MATCH("Base",Portfolio_Stresser[[#Headers],[Base]:[Severely Adverse]],0))*Dynamic_Row_Table[Tenure (in months)]/12</f>
        <v>1.4861421130952381</v>
      </c>
      <c r="J10" s="98">
        <f>Base_Stress[[#This Row],[PD]]*Base_Stress[[#This Row],[ATS]]*Base_Stress[[#This Row],[EAD]]</f>
        <v>0.55956535714285704</v>
      </c>
      <c r="K10" s="98" cm="1">
        <f t="array" ref="K10">Base_Stress[[#This Row],[Revenue Per Loan]]-Base_Stress[[#This Row],[Funding Cost]]-Base_Stress[[#This Row],[ECL]]-Fixed_Cost[Fixed Cost]</f>
        <v>1.2117330059523814</v>
      </c>
      <c r="L10" s="10" cm="1">
        <f t="array" ref="L10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0.66438661134104404</v>
      </c>
      <c r="M10" s="10" cm="1">
        <f t="array" ref="M10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3.2117807929145901</v>
      </c>
      <c r="N10" s="10">
        <f>Base_Stress[[#This Row],[Loan Count(in M)]]/Base_Stress[[#This Row],[User Count(in M)]]</f>
        <v>4.8342045701849843</v>
      </c>
      <c r="O10" s="98">
        <f>Base_Stress[[#This Row],[Revenue Per Loan]]*Base_Stress[[#This Row],[Avg Loan Per User]]</f>
        <v>30.249747347660506</v>
      </c>
      <c r="P10" s="98">
        <f>Base_Stress[[#This Row],[CM Per Loan]]*Base_Stress[[#This Row],[Avg Loan Per User]]</f>
        <v>5.8577652352189906</v>
      </c>
      <c r="Q10" s="98">
        <f>Base_Stress[[#This Row],[CM Per User]]*Base_Stress[[#This Row],[User Count(in M)]]</f>
        <v>3.891820794658519</v>
      </c>
      <c r="R10" s="124">
        <f>Base_Stress[[#This Row],[CM Per Segment]]/SUM(Base_Stress[CM Per Segment])</f>
        <v>9.3949676362545913E-3</v>
      </c>
      <c r="S10" s="10"/>
      <c r="U10" s="74">
        <v>8</v>
      </c>
      <c r="V10" s="74" t="s">
        <v>29</v>
      </c>
      <c r="W10" s="74" t="s">
        <v>36</v>
      </c>
      <c r="X10" s="74" t="s">
        <v>60</v>
      </c>
      <c r="Y10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1.1341140479999999E-2</v>
      </c>
      <c r="Z10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0.55372500000000002</v>
      </c>
      <c r="AA10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108.24120535714286</v>
      </c>
      <c r="AB10" s="134">
        <f>Adverse_Stress[[#This Row],[ATS]]*INDEX(Portfolio_Stresser[[Base]:[Severely Adverse]],MATCH("MDR",Portfolio_Stresser[Scenario],0),MATCH("Adverse",Portfolio_Stresser[[#Headers],[Base]:[Severely Adverse]],0))</f>
        <v>5.141457254464286</v>
      </c>
      <c r="AC10" s="134" cm="1">
        <f t="array" ref="AC10">Adverse_Stress[[#This Row],[ATS]]*INDEX(Portfolio_Stresser[[Base]:[Severely Adverse]],MATCH("Funding Rate",Portfolio_Stresser[Scenario],0),MATCH("Adverse",Portfolio_Stresser[[#Headers],[Base]:[Severely Adverse]],0))*Dynamic_Row_Table[Tenure (in months)]/12</f>
        <v>1.5221419503348212</v>
      </c>
      <c r="AD10" s="134">
        <f>Adverse_Stress[[#This Row],[PD]]*Adverse_Stress[[#This Row],[ATS]]*Adverse_Stress[[#This Row],[EAD]]</f>
        <v>0.67974102433984473</v>
      </c>
      <c r="AE10" s="134" cm="1">
        <f t="array" ref="AE10">Adverse_Stress[[#This Row],[Revenue Per Loan]]-Adverse_Stress[[#This Row],[Funding Cost]]-Adverse_Stress[[#This Row],[ECL]]-Fixed_Cost[Fixed Cost]</f>
        <v>-6.042572021037973E-2</v>
      </c>
      <c r="AF10" s="130">
        <f>Base_Stress[[#This Row],[User Count(in M)]]</f>
        <v>0.66438661134104404</v>
      </c>
      <c r="AG10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2.6882605236695123</v>
      </c>
      <c r="AH10" s="130">
        <f>Adverse_Stress[[#This Row],[Loan Count(in M)]]/Adverse_Stress[[#This Row],[User Count(in M)]]</f>
        <v>4.0462292252448329</v>
      </c>
      <c r="AI10" s="134">
        <f>Adverse_Stress[[#This Row],[Revenue Per Loan]]*Adverse_Stress[[#This Row],[Avg Loan Per User]]</f>
        <v>20.803514603360455</v>
      </c>
      <c r="AJ10" s="134">
        <f>Adverse_Stress[[#This Row],[CM Per Loan]]*Adverse_Stress[[#This Row],[Avg Loan Per User]]</f>
        <v>-0.2444963150717058</v>
      </c>
      <c r="AK10" s="134">
        <f>Adverse_Stress[[#This Row],[CM Per User]]*Adverse_Stress[[#This Row],[User Count(in M)]]</f>
        <v>-0.16244007825586285</v>
      </c>
      <c r="AL10" s="144">
        <f>(Base_Stress[[#This Row],[CM Per Segment]]-Adverse_Stress[[#This Row],[CM Per Segment]])/($B$68-$B$69)</f>
        <v>7.688358946789888E-3</v>
      </c>
      <c r="AN10" s="74">
        <v>8</v>
      </c>
      <c r="AO10" s="74" t="s">
        <v>29</v>
      </c>
      <c r="AP10" s="74" t="s">
        <v>36</v>
      </c>
      <c r="AQ10" s="74" t="s">
        <v>60</v>
      </c>
      <c r="AR10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1.5153868800000001E-2</v>
      </c>
      <c r="AS10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0.58994999999999986</v>
      </c>
      <c r="AT10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95.813928571428562</v>
      </c>
      <c r="AU10" s="134">
        <f>Severely_Adverse_Stress[[#This Row],[ATS]]*INDEX(Portfolio_Stresser[[Base]:[Severely Adverse]],MATCH("MDR",Portfolio_Stresser[Scenario],0),MATCH("Severely Adverse",Portfolio_Stresser[[#Headers],[Base]:[Severely Adverse]],0))</f>
        <v>4.3116267857142851</v>
      </c>
      <c r="AV10" s="130" cm="1">
        <f t="array" ref="AV10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1.5569763392857141</v>
      </c>
      <c r="AW10" s="130">
        <f>Severely_Adverse_Stress[[#This Row],[PD]]*Severely_Adverse_Stress[[#This Row],[ATS]]*Severely_Adverse_Stress[[#This Row],[EAD]]</f>
        <v>0.85657890705742057</v>
      </c>
      <c r="AX10" s="134" cm="1">
        <f t="array" ref="AX10">Severely_Adverse_Stress[[#This Row],[Revenue Per Loan]]-Severely_Adverse_Stress[[#This Row],[Funding Cost]]-Severely_Adverse_Stress[[#This Row],[ECL]]-Fixed_Cost[Fixed Cost]</f>
        <v>-1.1019284606288493</v>
      </c>
      <c r="AY10" s="130">
        <f>Base_Stress[[#This Row],[User Count(in M)]]</f>
        <v>0.66438661134104404</v>
      </c>
      <c r="AZ10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2.3205116228807912</v>
      </c>
      <c r="BA10" s="130">
        <f>Severely_Adverse_Stress[[#This Row],[Loan Count(in M)]]/Severely_Adverse_Stress[[#This Row],[User Count(in M)]]</f>
        <v>3.4927128019586511</v>
      </c>
      <c r="BB10" s="134">
        <f>Severely_Adverse_Stress[[#This Row],[Revenue Per Loan]]*Severely_Adverse_Stress[[#This Row],[Avg Loan Per User]]</f>
        <v>15.059274071732114</v>
      </c>
      <c r="BC10" s="134">
        <f>Severely_Adverse_Stress[[#This Row],[CM Per Loan]]*Severely_Adverse_Stress[[#This Row],[Avg Loan Per User]]</f>
        <v>-3.8487196412809714</v>
      </c>
      <c r="BD10" s="134">
        <f>Severely_Adverse_Stress[[#This Row],[CM Per User]]*Severely_Adverse_Stress[[#This Row],[User Count(in M)]]</f>
        <v>-2.5570378004723833</v>
      </c>
      <c r="BE10" s="134"/>
    </row>
    <row r="11" spans="1:60" x14ac:dyDescent="0.2">
      <c r="A11">
        <v>9</v>
      </c>
      <c r="B11" t="s">
        <v>29</v>
      </c>
      <c r="C11" t="s">
        <v>36</v>
      </c>
      <c r="D11" t="s">
        <v>61</v>
      </c>
      <c r="E11" s="65" cm="1">
        <f t="array" ref="E11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7.5600000000000007E-3</v>
      </c>
      <c r="F11" s="64">
        <f>VLOOKUP(Base_Stress[[#This Row],[Credit Category]],
  EAD_Table[#All],
  MATCH("EAD",EAD_Table[#Headers],0),
  FALSE)</f>
        <v>0.48749999999999999</v>
      </c>
      <c r="G11" s="98" cm="1">
        <f t="array" ref="G11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166.86507936507934</v>
      </c>
      <c r="H11" s="98">
        <f>Base_Stress[[#This Row],[ATS]]*INDEX(Portfolio_Stresser[[Base]:[Severely Adverse]],MATCH("MDR",Portfolio_Stresser[Scenario],0),MATCH("Base",Portfolio_Stresser[[#Headers],[Base]:[Severely Adverse]],0))</f>
        <v>8.3432539682539666</v>
      </c>
      <c r="I11" s="98" cm="1">
        <f t="array" ref="I11">Base_Stress[[#This Row],[ATS]]*INDEX(Portfolio_Stresser[[Base]:[Severely Adverse]],MATCH("Funding Rate",Portfolio_Stresser[Scenario],0),MATCH("Base",Portfolio_Stresser[[#Headers],[Base]:[Severely Adverse]],0))*Dynamic_Row_Table[Tenure (in months)]/12</f>
        <v>1.9815228174603172</v>
      </c>
      <c r="J11" s="98">
        <f>Base_Stress[[#This Row],[PD]]*Base_Stress[[#This Row],[ATS]]*Base_Stress[[#This Row],[EAD]]</f>
        <v>0.61498124999999992</v>
      </c>
      <c r="K11" s="98" cm="1">
        <f t="array" ref="K11">Base_Stress[[#This Row],[Revenue Per Loan]]-Base_Stress[[#This Row],[Funding Cost]]-Base_Stress[[#This Row],[ECL]]-Fixed_Cost[Fixed Cost]</f>
        <v>2.7467499007936498</v>
      </c>
      <c r="L11" s="10" cm="1">
        <f t="array" ref="L11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0.75428935178792</v>
      </c>
      <c r="M11" s="10" cm="1">
        <f t="array" ref="M11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3.4011157319753655</v>
      </c>
      <c r="N11" s="10">
        <f>Base_Stress[[#This Row],[Loan Count(in M)]]/Base_Stress[[#This Row],[User Count(in M)]]</f>
        <v>4.5090332031250009</v>
      </c>
      <c r="O11" s="98">
        <f>Base_Stress[[#This Row],[Revenue Per Loan]]*Base_Stress[[#This Row],[Avg Loan Per User]]</f>
        <v>37.620009164961559</v>
      </c>
      <c r="P11" s="98">
        <f>Base_Stress[[#This Row],[CM Per Loan]]*Base_Stress[[#This Row],[Avg Loan Per User]]</f>
        <v>12.385186503358868</v>
      </c>
      <c r="Q11" s="98">
        <f>Base_Stress[[#This Row],[CM Per User]]*Base_Stress[[#This Row],[User Count(in M)]]</f>
        <v>9.3420142993910567</v>
      </c>
      <c r="R11" s="124">
        <f>Base_Stress[[#This Row],[CM Per Segment]]/SUM(Base_Stress[CM Per Segment])</f>
        <v>2.2551891937230794E-2</v>
      </c>
      <c r="S11" s="10"/>
      <c r="U11" s="73">
        <v>9</v>
      </c>
      <c r="V11" s="73" t="s">
        <v>29</v>
      </c>
      <c r="W11" s="73" t="s">
        <v>36</v>
      </c>
      <c r="X11" s="73" t="s">
        <v>61</v>
      </c>
      <c r="Y11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9.2507184000000034E-3</v>
      </c>
      <c r="Z11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0.50700000000000001</v>
      </c>
      <c r="AA11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144.32160714285715</v>
      </c>
      <c r="AB11" s="101">
        <f>Adverse_Stress[[#This Row],[ATS]]*INDEX(Portfolio_Stresser[[Base]:[Severely Adverse]],MATCH("MDR",Portfolio_Stresser[Scenario],0),MATCH("Adverse",Portfolio_Stresser[[#Headers],[Base]:[Severely Adverse]],0))</f>
        <v>6.8552763392857141</v>
      </c>
      <c r="AC11" s="101" cm="1">
        <f t="array" ref="AC11">Adverse_Stress[[#This Row],[ATS]]*INDEX(Portfolio_Stresser[[Base]:[Severely Adverse]],MATCH("Funding Rate",Portfolio_Stresser[Scenario],0),MATCH("Adverse",Portfolio_Stresser[[#Headers],[Base]:[Severely Adverse]],0))*Dynamic_Row_Table[Tenure (in months)]/12</f>
        <v>2.0295226004464286</v>
      </c>
      <c r="AD11" s="101">
        <f>Adverse_Stress[[#This Row],[PD]]*Adverse_Stress[[#This Row],[ATS]]*Adverse_Stress[[#This Row],[EAD]]</f>
        <v>0.67688482318399823</v>
      </c>
      <c r="AE11" s="101" cm="1">
        <f t="array" ref="AE11">Adverse_Stress[[#This Row],[Revenue Per Loan]]-Adverse_Stress[[#This Row],[Funding Cost]]-Adverse_Stress[[#This Row],[ECL]]-Fixed_Cost[Fixed Cost]</f>
        <v>1.1488689156552869</v>
      </c>
      <c r="AF11" s="72">
        <f>Base_Stress[[#This Row],[User Count(in M)]]</f>
        <v>0.75428935178792</v>
      </c>
      <c r="AG11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2.8467338676633811</v>
      </c>
      <c r="AH11" s="72">
        <f>Adverse_Stress[[#This Row],[Loan Count(in M)]]/Adverse_Stress[[#This Row],[User Count(in M)]]</f>
        <v>3.7740607910156259</v>
      </c>
      <c r="AI11" s="101">
        <f>Adverse_Stress[[#This Row],[Revenue Per Loan]]*Adverse_Stress[[#This Row],[Avg Loan Per User]]</f>
        <v>25.872229643675347</v>
      </c>
      <c r="AJ11" s="101">
        <f>Adverse_Stress[[#This Row],[CM Per Loan]]*Adverse_Stress[[#This Row],[Avg Loan Per User]]</f>
        <v>4.3359011285912565</v>
      </c>
      <c r="AK11" s="101">
        <f>Adverse_Stress[[#This Row],[CM Per User]]*Adverse_Stress[[#This Row],[User Count(in M)]]</f>
        <v>3.2705240517016096</v>
      </c>
      <c r="AL11" s="145">
        <f>(Base_Stress[[#This Row],[CM Per Segment]]-Adverse_Stress[[#This Row],[CM Per Segment]])/($B$68-$B$69)</f>
        <v>1.1513762392062159E-2</v>
      </c>
      <c r="AN11" s="73">
        <v>9</v>
      </c>
      <c r="AO11" s="73" t="s">
        <v>29</v>
      </c>
      <c r="AP11" s="73" t="s">
        <v>36</v>
      </c>
      <c r="AQ11" s="73" t="s">
        <v>61</v>
      </c>
      <c r="AR11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1.1705057280000004E-2</v>
      </c>
      <c r="AS11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0.53625</v>
      </c>
      <c r="AT11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127.75190476190475</v>
      </c>
      <c r="AU11" s="101">
        <f>Severely_Adverse_Stress[[#This Row],[ATS]]*INDEX(Portfolio_Stresser[[Base]:[Severely Adverse]],MATCH("MDR",Portfolio_Stresser[Scenario],0),MATCH("Severely Adverse",Portfolio_Stresser[[#Headers],[Base]:[Severely Adverse]],0))</f>
        <v>5.7488357142857138</v>
      </c>
      <c r="AV11" s="72" cm="1">
        <f t="array" ref="AV11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2.0759684523809523</v>
      </c>
      <c r="AW11" s="72">
        <f>Severely_Adverse_Stress[[#This Row],[PD]]*Severely_Adverse_Stress[[#This Row],[ATS]]*Severely_Adverse_Stress[[#This Row],[EAD]]</f>
        <v>0.80187787833753621</v>
      </c>
      <c r="AX11" s="101" cm="1">
        <f t="array" ref="AX11">Severely_Adverse_Stress[[#This Row],[Revenue Per Loan]]-Severely_Adverse_Stress[[#This Row],[Funding Cost]]-Severely_Adverse_Stress[[#This Row],[ECL]]-Fixed_Cost[Fixed Cost]</f>
        <v>-0.12901061643277467</v>
      </c>
      <c r="AY11" s="72">
        <f>Base_Stress[[#This Row],[User Count(in M)]]</f>
        <v>0.75428935178792</v>
      </c>
      <c r="AZ11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2.4573061163522016</v>
      </c>
      <c r="BA11" s="72">
        <f>Severely_Adverse_Stress[[#This Row],[Loan Count(in M)]]/Severely_Adverse_Stress[[#This Row],[User Count(in M)]]</f>
        <v>3.2577764892578132</v>
      </c>
      <c r="BB11" s="101">
        <f>Severely_Adverse_Stress[[#This Row],[Revenue Per Loan]]*Severely_Adverse_Stress[[#This Row],[Avg Loan Per User]]</f>
        <v>18.728421830605644</v>
      </c>
      <c r="BC11" s="101">
        <f>Severely_Adverse_Stress[[#This Row],[CM Per Loan]]*Severely_Adverse_Stress[[#This Row],[Avg Loan Per User]]</f>
        <v>-0.42028775307935101</v>
      </c>
      <c r="BD11" s="101">
        <f>Severely_Adverse_Stress[[#This Row],[CM Per User]]*Severely_Adverse_Stress[[#This Row],[User Count(in M)]]</f>
        <v>-0.31701857683462503</v>
      </c>
      <c r="BE11" s="101"/>
    </row>
    <row r="12" spans="1:60" x14ac:dyDescent="0.2">
      <c r="A12">
        <v>10</v>
      </c>
      <c r="B12" t="s">
        <v>29</v>
      </c>
      <c r="C12" t="s">
        <v>36</v>
      </c>
      <c r="D12" t="s">
        <v>62</v>
      </c>
      <c r="E12" s="65" cm="1">
        <f t="array" ref="E12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8.6400000000000001E-3</v>
      </c>
      <c r="F12" s="64">
        <f>VLOOKUP(Base_Stress[[#This Row],[Credit Category]],
  EAD_Table[#All],
  MATCH("EAD",EAD_Table[#Headers],0),
  FALSE)</f>
        <v>0.4425</v>
      </c>
      <c r="G12" s="98" cm="1">
        <f t="array" ref="G12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212.89682539682539</v>
      </c>
      <c r="H12" s="98">
        <f>Base_Stress[[#This Row],[ATS]]*INDEX(Portfolio_Stresser[[Base]:[Severely Adverse]],MATCH("MDR",Portfolio_Stresser[Scenario],0),MATCH("Base",Portfolio_Stresser[[#Headers],[Base]:[Severely Adverse]],0))</f>
        <v>10.644841269841271</v>
      </c>
      <c r="I12" s="98" cm="1">
        <f t="array" ref="I12">Base_Stress[[#This Row],[ATS]]*INDEX(Portfolio_Stresser[[Base]:[Severely Adverse]],MATCH("Funding Rate",Portfolio_Stresser[Scenario],0),MATCH("Base",Portfolio_Stresser[[#Headers],[Base]:[Severely Adverse]],0))*Dynamic_Row_Table[Tenure (in months)]/12</f>
        <v>2.5281498015873014</v>
      </c>
      <c r="J12" s="98">
        <f>Base_Stress[[#This Row],[PD]]*Base_Stress[[#This Row],[ATS]]*Base_Stress[[#This Row],[EAD]]</f>
        <v>0.81394714285714287</v>
      </c>
      <c r="K12" s="98" cm="1">
        <f t="array" ref="K12">Base_Stress[[#This Row],[Revenue Per Loan]]-Base_Stress[[#This Row],[Funding Cost]]-Base_Stress[[#This Row],[ECL]]-Fixed_Cost[Fixed Cost]</f>
        <v>4.3027443253968256</v>
      </c>
      <c r="L12" s="10" cm="1">
        <f t="array" ref="L12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0.48074193210071003</v>
      </c>
      <c r="M12" s="10" cm="1">
        <f t="array" ref="M12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1.8550135451860448</v>
      </c>
      <c r="N12" s="10">
        <f>Base_Stress[[#This Row],[Loan Count(in M)]]/Base_Stress[[#This Row],[User Count(in M)]]</f>
        <v>3.8586472727272731</v>
      </c>
      <c r="O12" s="98">
        <f>Base_Stress[[#This Row],[Revenue Per Loan]]*Base_Stress[[#This Row],[Avg Loan Per User]]</f>
        <v>41.074687734487739</v>
      </c>
      <c r="P12" s="98">
        <f>Base_Stress[[#This Row],[CM Per Loan]]*Base_Stress[[#This Row],[Avg Loan Per User]]</f>
        <v>16.602772656435214</v>
      </c>
      <c r="Q12" s="98">
        <f>Base_Stress[[#This Row],[CM Per User]]*Base_Stress[[#This Row],[User Count(in M)]]</f>
        <v>7.9816490050835025</v>
      </c>
      <c r="R12" s="124">
        <f>Base_Stress[[#This Row],[CM Per Segment]]/SUM(Base_Stress[CM Per Segment])</f>
        <v>1.9267930884593262E-2</v>
      </c>
      <c r="S12" s="10"/>
      <c r="U12" s="74">
        <v>10</v>
      </c>
      <c r="V12" s="74" t="s">
        <v>29</v>
      </c>
      <c r="W12" s="74" t="s">
        <v>36</v>
      </c>
      <c r="X12" s="74" t="s">
        <v>62</v>
      </c>
      <c r="Y12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1.0091692800000001E-2</v>
      </c>
      <c r="Z12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0.45135000000000003</v>
      </c>
      <c r="AA12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184.1344642857143</v>
      </c>
      <c r="AB12" s="134">
        <f>Adverse_Stress[[#This Row],[ATS]]*INDEX(Portfolio_Stresser[[Base]:[Severely Adverse]],MATCH("MDR",Portfolio_Stresser[Scenario],0),MATCH("Adverse",Portfolio_Stresser[[#Headers],[Base]:[Severely Adverse]],0))</f>
        <v>8.7463870535714285</v>
      </c>
      <c r="AC12" s="134" cm="1">
        <f t="array" ref="AC12">Adverse_Stress[[#This Row],[ATS]]*INDEX(Portfolio_Stresser[[Base]:[Severely Adverse]],MATCH("Funding Rate",Portfolio_Stresser[Scenario],0),MATCH("Adverse",Portfolio_Stresser[[#Headers],[Base]:[Severely Adverse]],0))*Dynamic_Row_Table[Tenure (in months)]/12</f>
        <v>2.5893909040178573</v>
      </c>
      <c r="AD12" s="134">
        <f>Adverse_Stress[[#This Row],[PD]]*Adverse_Stress[[#This Row],[ATS]]*Adverse_Stress[[#This Row],[EAD]]</f>
        <v>0.83871140976287673</v>
      </c>
      <c r="AE12" s="134" cm="1">
        <f t="array" ref="AE12">Adverse_Stress[[#This Row],[Revenue Per Loan]]-Adverse_Stress[[#This Row],[Funding Cost]]-Adverse_Stress[[#This Row],[ECL]]-Fixed_Cost[Fixed Cost]</f>
        <v>2.3182847397906938</v>
      </c>
      <c r="AF12" s="130">
        <f>Base_Stress[[#This Row],[User Count(in M)]]</f>
        <v>0.48074193210071003</v>
      </c>
      <c r="AG12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1.5526463373207195</v>
      </c>
      <c r="AH12" s="130">
        <f>Adverse_Stress[[#This Row],[Loan Count(in M)]]/Adverse_Stress[[#This Row],[User Count(in M)]]</f>
        <v>3.2296877672727278</v>
      </c>
      <c r="AI12" s="134">
        <f>Adverse_Stress[[#This Row],[Revenue Per Loan]]*Adverse_Stress[[#This Row],[Avg Loan Per User]]</f>
        <v>28.2480992747522</v>
      </c>
      <c r="AJ12" s="134">
        <f>Adverse_Stress[[#This Row],[CM Per Loan]]*Adverse_Stress[[#This Row],[Avg Loan Per User]]</f>
        <v>7.4873358651570427</v>
      </c>
      <c r="AK12" s="134">
        <f>Adverse_Stress[[#This Row],[CM Per User]]*Adverse_Stress[[#This Row],[User Count(in M)]]</f>
        <v>3.599476310102538</v>
      </c>
      <c r="AL12" s="144">
        <f>(Base_Stress[[#This Row],[CM Per Segment]]-Adverse_Stress[[#This Row],[CM Per Segment]])/($B$68-$B$69)</f>
        <v>8.3101994918289897E-3</v>
      </c>
      <c r="AN12" s="74">
        <v>10</v>
      </c>
      <c r="AO12" s="74" t="s">
        <v>29</v>
      </c>
      <c r="AP12" s="74" t="s">
        <v>36</v>
      </c>
      <c r="AQ12" s="74" t="s">
        <v>62</v>
      </c>
      <c r="AR12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1.2018585599999999E-2</v>
      </c>
      <c r="AS12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0.46462500000000001</v>
      </c>
      <c r="AT12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162.99380952380952</v>
      </c>
      <c r="AU12" s="134">
        <f>Severely_Adverse_Stress[[#This Row],[ATS]]*INDEX(Portfolio_Stresser[[Base]:[Severely Adverse]],MATCH("MDR",Portfolio_Stresser[Scenario],0),MATCH("Severely Adverse",Portfolio_Stresser[[#Headers],[Base]:[Severely Adverse]],0))</f>
        <v>7.3347214285714282</v>
      </c>
      <c r="AV12" s="130" cm="1">
        <f t="array" ref="AV12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2.6486494047619047</v>
      </c>
      <c r="AW12" s="130">
        <f>Severely_Adverse_Stress[[#This Row],[PD]]*Severely_Adverse_Stress[[#This Row],[ATS]]*Severely_Adverse_Stress[[#This Row],[EAD]]</f>
        <v>0.91017949105036788</v>
      </c>
      <c r="AX12" s="134" cm="1">
        <f t="array" ref="AX12">Severely_Adverse_Stress[[#This Row],[Revenue Per Loan]]-Severely_Adverse_Stress[[#This Row],[Funding Cost]]-Severely_Adverse_Stress[[#This Row],[ECL]]-Fixed_Cost[Fixed Cost]</f>
        <v>0.77589253275915571</v>
      </c>
      <c r="AY12" s="130">
        <f>Base_Stress[[#This Row],[User Count(in M)]]</f>
        <v>0.48074193210071003</v>
      </c>
      <c r="AZ12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1.3402472863969173</v>
      </c>
      <c r="BA12" s="130">
        <f>Severely_Adverse_Stress[[#This Row],[Loan Count(in M)]]/Severely_Adverse_Stress[[#This Row],[User Count(in M)]]</f>
        <v>2.7878726545454549</v>
      </c>
      <c r="BB12" s="134">
        <f>Severely_Adverse_Stress[[#This Row],[Revenue Per Loan]]*Severely_Adverse_Stress[[#This Row],[Avg Loan Per User]]</f>
        <v>20.448269299422858</v>
      </c>
      <c r="BC12" s="134">
        <f>Severely_Adverse_Stress[[#This Row],[CM Per Loan]]*Severely_Adverse_Stress[[#This Row],[Avg Loan Per User]]</f>
        <v>2.1630895749452637</v>
      </c>
      <c r="BD12" s="134">
        <f>Severely_Adverse_Stress[[#This Row],[CM Per User]]*Severely_Adverse_Stress[[#This Row],[User Count(in M)]]</f>
        <v>1.0398878615660896</v>
      </c>
      <c r="BE12" s="134"/>
    </row>
    <row r="13" spans="1:60" x14ac:dyDescent="0.2">
      <c r="A13">
        <v>11</v>
      </c>
      <c r="B13" t="s">
        <v>29</v>
      </c>
      <c r="C13" t="s">
        <v>37</v>
      </c>
      <c r="D13" t="s">
        <v>58</v>
      </c>
      <c r="E13" s="65" cm="1">
        <f t="array" ref="E13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3.5000000000000003E-2</v>
      </c>
      <c r="F13" s="64">
        <f>VLOOKUP(Base_Stress[[#This Row],[Credit Category]],
  EAD_Table[#All],
  MATCH("EAD",EAD_Table[#Headers],0),
  FALSE)</f>
        <v>0.63750000000000007</v>
      </c>
      <c r="G13" s="98" cm="1">
        <f t="array" ref="G13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109.32539682539682</v>
      </c>
      <c r="H13" s="98">
        <f>Base_Stress[[#This Row],[ATS]]*INDEX(Portfolio_Stresser[[Base]:[Severely Adverse]],MATCH("MDR",Portfolio_Stresser[Scenario],0),MATCH("Base",Portfolio_Stresser[[#Headers],[Base]:[Severely Adverse]],0))</f>
        <v>5.4662698412698418</v>
      </c>
      <c r="I13" s="98" cm="1">
        <f t="array" ref="I13">Base_Stress[[#This Row],[ATS]]*INDEX(Portfolio_Stresser[[Base]:[Severely Adverse]],MATCH("Funding Rate",Portfolio_Stresser[Scenario],0),MATCH("Base",Portfolio_Stresser[[#Headers],[Base]:[Severely Adverse]],0))*Dynamic_Row_Table[Tenure (in months)]/12</f>
        <v>1.2982390873015872</v>
      </c>
      <c r="J13" s="98">
        <f>Base_Stress[[#This Row],[PD]]*Base_Stress[[#This Row],[ATS]]*Base_Stress[[#This Row],[EAD]]</f>
        <v>2.4393229166666672</v>
      </c>
      <c r="K13" s="98" cm="1">
        <f t="array" ref="K13">Base_Stress[[#This Row],[Revenue Per Loan]]-Base_Stress[[#This Row],[Funding Cost]]-Base_Stress[[#This Row],[ECL]]-Fixed_Cost[Fixed Cost]</f>
        <v>-1.2712921626984124</v>
      </c>
      <c r="L13" s="10" cm="1">
        <f t="array" ref="L13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1.377406014507122E-2</v>
      </c>
      <c r="M13" s="10" cm="1">
        <f t="array" ref="M13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0.18114907445112388</v>
      </c>
      <c r="N13" s="10">
        <f>Base_Stress[[#This Row],[Loan Count(in M)]]/Base_Stress[[#This Row],[User Count(in M)]]</f>
        <v>13.151465329991648</v>
      </c>
      <c r="O13" s="98">
        <f>Base_Stress[[#This Row],[Revenue Per Loan]]*Base_Stress[[#This Row],[Avg Loan Per User]]</f>
        <v>71.889458301839269</v>
      </c>
      <c r="P13" s="98">
        <f>Base_Stress[[#This Row],[CM Per Loan]]*Base_Stress[[#This Row],[Avg Loan Per User]]</f>
        <v>-16.719354802018273</v>
      </c>
      <c r="Q13" s="98">
        <f>Base_Stress[[#This Row],[CM Per User]]*Base_Stress[[#This Row],[User Count(in M)]]</f>
        <v>-0.23029339862978501</v>
      </c>
      <c r="R13" s="124">
        <f>Base_Stress[[#This Row],[CM Per Segment]]/SUM(Base_Stress[CM Per Segment])</f>
        <v>-5.5593490582593716E-4</v>
      </c>
      <c r="S13" s="10"/>
      <c r="U13" s="73">
        <v>11</v>
      </c>
      <c r="V13" s="73" t="s">
        <v>29</v>
      </c>
      <c r="W13" s="73" t="s">
        <v>37</v>
      </c>
      <c r="X13" s="73" t="s">
        <v>58</v>
      </c>
      <c r="Y13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5.5358100000000007E-2</v>
      </c>
      <c r="Z13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0.73312500000000003</v>
      </c>
      <c r="AA13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93.538809523809533</v>
      </c>
      <c r="AB13" s="101">
        <f>Adverse_Stress[[#This Row],[ATS]]*INDEX(Portfolio_Stresser[[Base]:[Severely Adverse]],MATCH("MDR",Portfolio_Stresser[Scenario],0),MATCH("Adverse",Portfolio_Stresser[[#Headers],[Base]:[Severely Adverse]],0))</f>
        <v>4.4430934523809524</v>
      </c>
      <c r="AC13" s="101" cm="1">
        <f t="array" ref="AC13">Adverse_Stress[[#This Row],[ATS]]*INDEX(Portfolio_Stresser[[Base]:[Severely Adverse]],MATCH("Funding Rate",Portfolio_Stresser[Scenario],0),MATCH("Adverse",Portfolio_Stresser[[#Headers],[Base]:[Severely Adverse]],0))*Dynamic_Row_Table[Tenure (in months)]/12</f>
        <v>1.3153895089285716</v>
      </c>
      <c r="AD13" s="101">
        <f>Adverse_Stress[[#This Row],[PD]]*Adverse_Stress[[#This Row],[ATS]]*Adverse_Stress[[#This Row],[EAD]]</f>
        <v>3.7962171218559386</v>
      </c>
      <c r="AE13" s="101" cm="1">
        <f t="array" ref="AE13">Adverse_Stress[[#This Row],[Revenue Per Loan]]-Adverse_Stress[[#This Row],[Funding Cost]]-Adverse_Stress[[#This Row],[ECL]]-Fixed_Cost[Fixed Cost]</f>
        <v>-3.6685131784035581</v>
      </c>
      <c r="AF13" s="72">
        <f>Base_Stress[[#This Row],[User Count(in M)]]</f>
        <v>1.377406014507122E-2</v>
      </c>
      <c r="AG13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0.15977348366589128</v>
      </c>
      <c r="AH13" s="72">
        <f>Adverse_Stress[[#This Row],[Loan Count(in M)]]/Adverse_Stress[[#This Row],[User Count(in M)]]</f>
        <v>11.599592421052634</v>
      </c>
      <c r="AI13" s="101">
        <f>Adverse_Stress[[#This Row],[Revenue Per Loan]]*Adverse_Stress[[#This Row],[Avg Loan Per User]]</f>
        <v>51.538073136266675</v>
      </c>
      <c r="AJ13" s="101">
        <f>Adverse_Stress[[#This Row],[CM Per Loan]]*Adverse_Stress[[#This Row],[Avg Loan Per User]]</f>
        <v>-42.553257660741622</v>
      </c>
      <c r="AK13" s="101">
        <f>Adverse_Stress[[#This Row],[CM Per User]]*Adverse_Stress[[#This Row],[User Count(in M)]]</f>
        <v>-0.58613113038776776</v>
      </c>
      <c r="AL13" s="145">
        <f>(Base_Stress[[#This Row],[CM Per Segment]]-Adverse_Stress[[#This Row],[CM Per Segment]])/($B$68-$B$69)</f>
        <v>6.7479826639776311E-4</v>
      </c>
      <c r="AN13" s="73">
        <v>11</v>
      </c>
      <c r="AO13" s="73" t="s">
        <v>29</v>
      </c>
      <c r="AP13" s="73" t="s">
        <v>37</v>
      </c>
      <c r="AQ13" s="73" t="s">
        <v>58</v>
      </c>
      <c r="AR13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7.820400000000001E-2</v>
      </c>
      <c r="AS13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0.75</v>
      </c>
      <c r="AT13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81.797261904761911</v>
      </c>
      <c r="AU13" s="101">
        <f>Severely_Adverse_Stress[[#This Row],[ATS]]*INDEX(Portfolio_Stresser[[Base]:[Severely Adverse]],MATCH("MDR",Portfolio_Stresser[Scenario],0),MATCH("Severely Adverse",Portfolio_Stresser[[#Headers],[Base]:[Severely Adverse]],0))</f>
        <v>3.6808767857142857</v>
      </c>
      <c r="AV13" s="72" cm="1">
        <f t="array" ref="AV13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1.3292055059523811</v>
      </c>
      <c r="AW13" s="72">
        <f>Severely_Adverse_Stress[[#This Row],[PD]]*Severely_Adverse_Stress[[#This Row],[ATS]]*Severely_Adverse_Stress[[#This Row],[EAD]]</f>
        <v>4.7976548025000012</v>
      </c>
      <c r="AX13" s="101" cm="1">
        <f t="array" ref="AX13">Severely_Adverse_Stress[[#This Row],[Revenue Per Loan]]-Severely_Adverse_Stress[[#This Row],[Funding Cost]]-Severely_Adverse_Stress[[#This Row],[ECL]]-Fixed_Cost[Fixed Cost]</f>
        <v>-5.4459835227380964</v>
      </c>
      <c r="AY13" s="72">
        <f>Base_Stress[[#This Row],[User Count(in M)]]</f>
        <v>1.377406014507122E-2</v>
      </c>
      <c r="AZ13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0.14165857622077888</v>
      </c>
      <c r="BA13" s="72">
        <f>Severely_Adverse_Stress[[#This Row],[Loan Count(in M)]]/Severely_Adverse_Stress[[#This Row],[User Count(in M)]]</f>
        <v>10.284445888053469</v>
      </c>
      <c r="BB13" s="101">
        <f>Severely_Adverse_Stress[[#This Row],[Revenue Per Loan]]*Severely_Adverse_Stress[[#This Row],[Avg Loan Per User]]</f>
        <v>37.855778123270753</v>
      </c>
      <c r="BC13" s="101">
        <f>Severely_Adverse_Stress[[#This Row],[CM Per Loan]]*Severely_Adverse_Stress[[#This Row],[Avg Loan Per User]]</f>
        <v>-56.008922846830757</v>
      </c>
      <c r="BD13" s="101">
        <f>Severely_Adverse_Stress[[#This Row],[CM Per User]]*Severely_Adverse_Stress[[#This Row],[User Count(in M)]]</f>
        <v>-0.77147027195290041</v>
      </c>
      <c r="BE13" s="101"/>
    </row>
    <row r="14" spans="1:60" x14ac:dyDescent="0.2">
      <c r="A14">
        <v>12</v>
      </c>
      <c r="B14" t="s">
        <v>29</v>
      </c>
      <c r="C14" t="s">
        <v>37</v>
      </c>
      <c r="D14" t="s">
        <v>83</v>
      </c>
      <c r="E14" s="65" cm="1">
        <f t="array" ref="E14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1.0999999999999999E-2</v>
      </c>
      <c r="F14" s="64">
        <f>VLOOKUP(Base_Stress[[#This Row],[Credit Category]],
  EAD_Table[#All],
  MATCH("EAD",EAD_Table[#Headers],0),
  FALSE)</f>
        <v>0.5625</v>
      </c>
      <c r="G14" s="98" cm="1">
        <f t="array" ref="G14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135.79365079365078</v>
      </c>
      <c r="H14" s="98">
        <f>Base_Stress[[#This Row],[ATS]]*INDEX(Portfolio_Stresser[[Base]:[Severely Adverse]],MATCH("MDR",Portfolio_Stresser[Scenario],0),MATCH("Base",Portfolio_Stresser[[#Headers],[Base]:[Severely Adverse]],0))</f>
        <v>6.7896825396825395</v>
      </c>
      <c r="I14" s="98" cm="1">
        <f t="array" ref="I14">Base_Stress[[#This Row],[ATS]]*INDEX(Portfolio_Stresser[[Base]:[Severely Adverse]],MATCH("Funding Rate",Portfolio_Stresser[Scenario],0),MATCH("Base",Portfolio_Stresser[[#Headers],[Base]:[Severely Adverse]],0))*Dynamic_Row_Table[Tenure (in months)]/12</f>
        <v>1.6125496031746032</v>
      </c>
      <c r="J14" s="98">
        <f>Base_Stress[[#This Row],[PD]]*Base_Stress[[#This Row],[ATS]]*Base_Stress[[#This Row],[EAD]]</f>
        <v>0.84022321428571423</v>
      </c>
      <c r="K14" s="98" cm="1">
        <f t="array" ref="K14">Base_Stress[[#This Row],[Revenue Per Loan]]-Base_Stress[[#This Row],[Funding Cost]]-Base_Stress[[#This Row],[ECL]]-Fixed_Cost[Fixed Cost]</f>
        <v>1.3369097222222219</v>
      </c>
      <c r="L14" s="10" cm="1">
        <f t="array" ref="L14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4.7485518834032812E-2</v>
      </c>
      <c r="M14" s="10" cm="1">
        <f t="array" ref="M14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0.22337291809402113</v>
      </c>
      <c r="N14" s="10">
        <f>Base_Stress[[#This Row],[Loan Count(in M)]]/Base_Stress[[#This Row],[User Count(in M)]]</f>
        <v>4.7040218487394947</v>
      </c>
      <c r="O14" s="98">
        <f>Base_Stress[[#This Row],[Revenue Per Loan]]*Base_Stress[[#This Row],[Avg Loan Per User]]</f>
        <v>31.938815012671729</v>
      </c>
      <c r="P14" s="98">
        <f>Base_Stress[[#This Row],[CM Per Loan]]*Base_Stress[[#This Row],[Avg Loan Per User]]</f>
        <v>6.2888525431255804</v>
      </c>
      <c r="Q14" s="98">
        <f>Base_Stress[[#This Row],[CM Per User]]*Base_Stress[[#This Row],[User Count(in M)]]</f>
        <v>0.29862942588104491</v>
      </c>
      <c r="R14" s="124">
        <f>Base_Stress[[#This Row],[CM Per Segment]]/SUM(Base_Stress[CM Per Segment])</f>
        <v>7.2090004638352832E-4</v>
      </c>
      <c r="S14" s="10"/>
      <c r="U14" s="74">
        <v>12</v>
      </c>
      <c r="V14" s="74" t="s">
        <v>29</v>
      </c>
      <c r="W14" s="74" t="s">
        <v>37</v>
      </c>
      <c r="X14" s="74" t="s">
        <v>83</v>
      </c>
      <c r="Y14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1.5598440000000002E-2</v>
      </c>
      <c r="Z14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0.61875000000000002</v>
      </c>
      <c r="AA14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116.18504761904762</v>
      </c>
      <c r="AB14" s="134">
        <f>Adverse_Stress[[#This Row],[ATS]]*INDEX(Portfolio_Stresser[[Base]:[Severely Adverse]],MATCH("MDR",Portfolio_Stresser[Scenario],0),MATCH("Adverse",Portfolio_Stresser[[#Headers],[Base]:[Severely Adverse]],0))</f>
        <v>5.5187897619047623</v>
      </c>
      <c r="AC14" s="134" cm="1">
        <f t="array" ref="AC14">Adverse_Stress[[#This Row],[ATS]]*INDEX(Portfolio_Stresser[[Base]:[Severely Adverse]],MATCH("Funding Rate",Portfolio_Stresser[Scenario],0),MATCH("Adverse",Portfolio_Stresser[[#Headers],[Base]:[Severely Adverse]],0))*Dynamic_Row_Table[Tenure (in months)]/12</f>
        <v>1.6338522321428572</v>
      </c>
      <c r="AD14" s="134">
        <f>Adverse_Stress[[#This Row],[PD]]*Adverse_Stress[[#This Row],[ATS]]*Adverse_Stress[[#This Row],[EAD]]</f>
        <v>1.1213640245256431</v>
      </c>
      <c r="AE14" s="134" cm="1">
        <f t="array" ref="AE14">Adverse_Stress[[#This Row],[Revenue Per Loan]]-Adverse_Stress[[#This Row],[Funding Cost]]-Adverse_Stress[[#This Row],[ECL]]-Fixed_Cost[Fixed Cost]</f>
        <v>-0.23642649476373778</v>
      </c>
      <c r="AF14" s="130">
        <f>Base_Stress[[#This Row],[User Count(in M)]]</f>
        <v>4.7485518834032812E-2</v>
      </c>
      <c r="AG14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0.19701491375892663</v>
      </c>
      <c r="AH14" s="130">
        <f>Adverse_Stress[[#This Row],[Loan Count(in M)]]/Adverse_Stress[[#This Row],[User Count(in M)]]</f>
        <v>4.1489472705882342</v>
      </c>
      <c r="AI14" s="134">
        <f>Adverse_Stress[[#This Row],[Revenue Per Loan]]*Adverse_Stress[[#This Row],[Avg Loan Per User]]</f>
        <v>22.897167719605054</v>
      </c>
      <c r="AJ14" s="134">
        <f>Adverse_Stress[[#This Row],[CM Per Loan]]*Adverse_Stress[[#This Row],[Avg Loan Per User]]</f>
        <v>-0.98092106014475333</v>
      </c>
      <c r="AK14" s="134">
        <f>Adverse_Stress[[#This Row],[CM Per User]]*Adverse_Stress[[#This Row],[User Count(in M)]]</f>
        <v>-4.6579545476203119E-2</v>
      </c>
      <c r="AL14" s="144">
        <f>(Base_Stress[[#This Row],[CM Per Segment]]-Adverse_Stress[[#This Row],[CM Per Segment]])/($B$68-$B$69)</f>
        <v>6.5464225580007002E-4</v>
      </c>
      <c r="AN14" s="74">
        <v>12</v>
      </c>
      <c r="AO14" s="74" t="s">
        <v>29</v>
      </c>
      <c r="AP14" s="74" t="s">
        <v>37</v>
      </c>
      <c r="AQ14" s="74" t="s">
        <v>83</v>
      </c>
      <c r="AR14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2.1344400000000003E-2</v>
      </c>
      <c r="AS14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0.65812499999999996</v>
      </c>
      <c r="AT14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101.60080952380952</v>
      </c>
      <c r="AU14" s="134">
        <f>Severely_Adverse_Stress[[#This Row],[ATS]]*INDEX(Portfolio_Stresser[[Base]:[Severely Adverse]],MATCH("MDR",Portfolio_Stresser[Scenario],0),MATCH("Severely Adverse",Portfolio_Stresser[[#Headers],[Base]:[Severely Adverse]],0))</f>
        <v>4.5720364285714279</v>
      </c>
      <c r="AV14" s="130" cm="1">
        <f t="array" ref="AV14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1.6510131547619047</v>
      </c>
      <c r="AW14" s="130">
        <f>Severely_Adverse_Stress[[#This Row],[PD]]*Severely_Adverse_Stress[[#This Row],[ATS]]*Severely_Adverse_Stress[[#This Row],[EAD]]</f>
        <v>1.42721534981025</v>
      </c>
      <c r="AX14" s="134" cm="1">
        <f t="array" ref="AX14">Severely_Adverse_Stress[[#This Row],[Revenue Per Loan]]-Severely_Adverse_Stress[[#This Row],[Funding Cost]]-Severely_Adverse_Stress[[#This Row],[ECL]]-Fixed_Cost[Fixed Cost]</f>
        <v>-1.5061920760007266</v>
      </c>
      <c r="AY14" s="130">
        <f>Base_Stress[[#This Row],[User Count(in M)]]</f>
        <v>4.7485518834032812E-2</v>
      </c>
      <c r="AZ14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0.17467762194952452</v>
      </c>
      <c r="BA14" s="130">
        <f>Severely_Adverse_Stress[[#This Row],[Loan Count(in M)]]/Severely_Adverse_Stress[[#This Row],[User Count(in M)]]</f>
        <v>3.6785450857142847</v>
      </c>
      <c r="BB14" s="134">
        <f>Severely_Adverse_Stress[[#This Row],[Revenue Per Loan]]*Severely_Adverse_Stress[[#This Row],[Avg Loan Per User]]</f>
        <v>16.818442136028114</v>
      </c>
      <c r="BC14" s="134">
        <f>Severely_Adverse_Stress[[#This Row],[CM Per Loan]]*Severely_Adverse_Stress[[#This Row],[Avg Loan Per User]]</f>
        <v>-5.540595459314269</v>
      </c>
      <c r="BD14" s="134">
        <f>Severely_Adverse_Stress[[#This Row],[CM Per User]]*Severely_Adverse_Stress[[#This Row],[User Count(in M)]]</f>
        <v>-0.2630980500350244</v>
      </c>
      <c r="BE14" s="134"/>
    </row>
    <row r="15" spans="1:60" x14ac:dyDescent="0.2">
      <c r="A15">
        <v>13</v>
      </c>
      <c r="B15" t="s">
        <v>29</v>
      </c>
      <c r="C15" t="s">
        <v>37</v>
      </c>
      <c r="D15" t="s">
        <v>60</v>
      </c>
      <c r="E15" s="65" cm="1">
        <f t="array" ref="E15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15" s="64">
        <f>VLOOKUP(Base_Stress[[#This Row],[Credit Category]],
  EAD_Table[#All],
  MATCH("EAD",EAD_Table[#Headers],0),
  FALSE)</f>
        <v>0.51749999999999996</v>
      </c>
      <c r="G15" s="98" cm="1">
        <f t="array" ref="G15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181.82539682539681</v>
      </c>
      <c r="H15" s="98">
        <f>Base_Stress[[#This Row],[ATS]]*INDEX(Portfolio_Stresser[[Base]:[Severely Adverse]],MATCH("MDR",Portfolio_Stresser[Scenario],0),MATCH("Base",Portfolio_Stresser[[#Headers],[Base]:[Severely Adverse]],0))</f>
        <v>9.0912698412698401</v>
      </c>
      <c r="I15" s="98" cm="1">
        <f t="array" ref="I15">Base_Stress[[#This Row],[ATS]]*INDEX(Portfolio_Stresser[[Base]:[Severely Adverse]],MATCH("Funding Rate",Portfolio_Stresser[Scenario],0),MATCH("Base",Portfolio_Stresser[[#Headers],[Base]:[Severely Adverse]],0))*Dynamic_Row_Table[Tenure (in months)]/12</f>
        <v>2.1591765873015869</v>
      </c>
      <c r="J15" s="98">
        <f>Base_Stress[[#This Row],[PD]]*Base_Stress[[#This Row],[ATS]]*Base_Stress[[#This Row],[EAD]]</f>
        <v>0.75275714285714268</v>
      </c>
      <c r="K15" s="98" cm="1">
        <f t="array" ref="K15">Base_Stress[[#This Row],[Revenue Per Loan]]-Base_Stress[[#This Row],[Funding Cost]]-Base_Stress[[#This Row],[ECL]]-Fixed_Cost[Fixed Cost]</f>
        <v>3.1793361111111098</v>
      </c>
      <c r="L15" s="10" cm="1">
        <f t="array" ref="L15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9.1944878904742969E-2</v>
      </c>
      <c r="M15" s="10" cm="1">
        <f t="array" ref="M15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0.44448035380641343</v>
      </c>
      <c r="N15" s="10">
        <f>Base_Stress[[#This Row],[Loan Count(in M)]]/Base_Stress[[#This Row],[User Count(in M)]]</f>
        <v>4.8342045701849843</v>
      </c>
      <c r="O15" s="98">
        <f>Base_Stress[[#This Row],[Revenue Per Loan]]*Base_Stress[[#This Row],[Avg Loan Per User]]</f>
        <v>43.949058215451579</v>
      </c>
      <c r="P15" s="98">
        <f>Base_Stress[[#This Row],[CM Per Loan]]*Base_Stress[[#This Row],[Avg Loan Per User]]</f>
        <v>15.369561158487482</v>
      </c>
      <c r="Q15" s="98">
        <f>Base_Stress[[#This Row],[CM Per User]]*Base_Stress[[#This Row],[User Count(in M)]]</f>
        <v>1.4131524395361725</v>
      </c>
      <c r="R15" s="124">
        <f>Base_Stress[[#This Row],[CM Per Segment]]/SUM(Base_Stress[CM Per Segment])</f>
        <v>3.4113907435713493E-3</v>
      </c>
      <c r="S15" s="10"/>
      <c r="U15" s="73">
        <v>13</v>
      </c>
      <c r="V15" s="73" t="s">
        <v>29</v>
      </c>
      <c r="W15" s="73" t="s">
        <v>37</v>
      </c>
      <c r="X15" s="73" t="s">
        <v>60</v>
      </c>
      <c r="Y15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1.0297152000000002E-2</v>
      </c>
      <c r="Z15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0.55372500000000002</v>
      </c>
      <c r="AA15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155.56980952380954</v>
      </c>
      <c r="AB15" s="101">
        <f>Adverse_Stress[[#This Row],[ATS]]*INDEX(Portfolio_Stresser[[Base]:[Severely Adverse]],MATCH("MDR",Portfolio_Stresser[Scenario],0),MATCH("Adverse",Portfolio_Stresser[[#Headers],[Base]:[Severely Adverse]],0))</f>
        <v>7.3895659523809529</v>
      </c>
      <c r="AC15" s="101" cm="1">
        <f t="array" ref="AC15">Adverse_Stress[[#This Row],[ATS]]*INDEX(Portfolio_Stresser[[Base]:[Severely Adverse]],MATCH("Funding Rate",Portfolio_Stresser[Scenario],0),MATCH("Adverse",Portfolio_Stresser[[#Headers],[Base]:[Severely Adverse]],0))*Dynamic_Row_Table[Tenure (in months)]/12</f>
        <v>2.1877004464285719</v>
      </c>
      <c r="AD15" s="101">
        <f>Adverse_Stress[[#This Row],[PD]]*Adverse_Stress[[#This Row],[ATS]]*Adverse_Stress[[#This Row],[EAD]]</f>
        <v>0.88702646066065272</v>
      </c>
      <c r="AE15" s="101" cm="1">
        <f t="array" ref="AE15">Adverse_Stress[[#This Row],[Revenue Per Loan]]-Adverse_Stress[[#This Row],[Funding Cost]]-Adverse_Stress[[#This Row],[ECL]]-Fixed_Cost[Fixed Cost]</f>
        <v>1.3148390452917287</v>
      </c>
      <c r="AF15" s="72">
        <f>Base_Stress[[#This Row],[User Count(in M)]]</f>
        <v>9.1944878904742969E-2</v>
      </c>
      <c r="AG15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0.39203167205725664</v>
      </c>
      <c r="AH15" s="72">
        <f>Adverse_Stress[[#This Row],[Loan Count(in M)]]/Adverse_Stress[[#This Row],[User Count(in M)]]</f>
        <v>4.2637684309031565</v>
      </c>
      <c r="AI15" s="101">
        <f>Adverse_Stress[[#This Row],[Revenue Per Loan]]*Adverse_Stress[[#This Row],[Avg Loan Per User]]</f>
        <v>31.507398025838725</v>
      </c>
      <c r="AJ15" s="101">
        <f>Adverse_Stress[[#This Row],[CM Per Loan]]*Adverse_Stress[[#This Row],[Avg Loan Per User]]</f>
        <v>5.6061692130337182</v>
      </c>
      <c r="AK15" s="101">
        <f>Adverse_Stress[[#This Row],[CM Per User]]*Adverse_Stress[[#This Row],[User Count(in M)]]</f>
        <v>0.5154585494118834</v>
      </c>
      <c r="AL15" s="145">
        <f>(Base_Stress[[#This Row],[CM Per Segment]]-Adverse_Stress[[#This Row],[CM Per Segment]])/($B$68-$B$69)</f>
        <v>1.7023553905287756E-3</v>
      </c>
      <c r="AN15" s="73">
        <v>13</v>
      </c>
      <c r="AO15" s="73" t="s">
        <v>29</v>
      </c>
      <c r="AP15" s="73" t="s">
        <v>37</v>
      </c>
      <c r="AQ15" s="73" t="s">
        <v>60</v>
      </c>
      <c r="AR15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1.36416E-2</v>
      </c>
      <c r="AS15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0.58994999999999986</v>
      </c>
      <c r="AT15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136.0417619047619</v>
      </c>
      <c r="AU15" s="101">
        <f>Severely_Adverse_Stress[[#This Row],[ATS]]*INDEX(Portfolio_Stresser[[Base]:[Severely Adverse]],MATCH("MDR",Portfolio_Stresser[Scenario],0),MATCH("Severely Adverse",Portfolio_Stresser[[#Headers],[Base]:[Severely Adverse]],0))</f>
        <v>6.121879285714285</v>
      </c>
      <c r="AV15" s="72" cm="1">
        <f t="array" ref="AV15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2.2106786309523807</v>
      </c>
      <c r="AW15" s="72">
        <f>Severely_Adverse_Stress[[#This Row],[PD]]*Severely_Adverse_Stress[[#This Row],[ATS]]*Severely_Adverse_Stress[[#This Row],[EAD]]</f>
        <v>1.0948453151630397</v>
      </c>
      <c r="AX15" s="101" cm="1">
        <f t="array" ref="AX15">Severely_Adverse_Stress[[#This Row],[Revenue Per Loan]]-Severely_Adverse_Stress[[#This Row],[Funding Cost]]-Severely_Adverse_Stress[[#This Row],[ECL]]-Fixed_Cost[Fixed Cost]</f>
        <v>-0.1836446604011357</v>
      </c>
      <c r="AY15" s="72">
        <f>Base_Stress[[#This Row],[User Count(in M)]]</f>
        <v>9.1944878904742969E-2</v>
      </c>
      <c r="AZ15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0.34758363667661529</v>
      </c>
      <c r="BA15" s="72">
        <f>Severely_Adverse_Stress[[#This Row],[Loan Count(in M)]]/Severely_Adverse_Stress[[#This Row],[User Count(in M)]]</f>
        <v>3.7803479738846577</v>
      </c>
      <c r="BB15" s="101">
        <f>Severely_Adverse_Stress[[#This Row],[Revenue Per Loan]]*Severely_Adverse_Stress[[#This Row],[Avg Loan Per User]]</f>
        <v>23.142833954116451</v>
      </c>
      <c r="BC15" s="101">
        <f>Severely_Adverse_Stress[[#This Row],[CM Per Loan]]*Severely_Adverse_Stress[[#This Row],[Avg Loan Per User]]</f>
        <v>-0.6942407198621694</v>
      </c>
      <c r="BD15" s="101">
        <f>Severely_Adverse_Stress[[#This Row],[CM Per User]]*Severely_Adverse_Stress[[#This Row],[User Count(in M)]]</f>
        <v>-6.3831878918468754E-2</v>
      </c>
      <c r="BE15" s="101"/>
    </row>
    <row r="16" spans="1:60" x14ac:dyDescent="0.2">
      <c r="A16">
        <v>14</v>
      </c>
      <c r="B16" t="s">
        <v>29</v>
      </c>
      <c r="C16" t="s">
        <v>37</v>
      </c>
      <c r="D16" t="s">
        <v>61</v>
      </c>
      <c r="E16" s="65" cm="1">
        <f t="array" ref="E16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7.0000000000000001E-3</v>
      </c>
      <c r="F16" s="64">
        <f>VLOOKUP(Base_Stress[[#This Row],[Credit Category]],
  EAD_Table[#All],
  MATCH("EAD",EAD_Table[#Headers],0),
  FALSE)</f>
        <v>0.48749999999999999</v>
      </c>
      <c r="G16" s="98" cm="1">
        <f t="array" ref="G16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253.17460317460316</v>
      </c>
      <c r="H16" s="98">
        <f>Base_Stress[[#This Row],[ATS]]*INDEX(Portfolio_Stresser[[Base]:[Severely Adverse]],MATCH("MDR",Portfolio_Stresser[Scenario],0),MATCH("Base",Portfolio_Stresser[[#Headers],[Base]:[Severely Adverse]],0))</f>
        <v>12.658730158730158</v>
      </c>
      <c r="I16" s="98" cm="1">
        <f t="array" ref="I16">Base_Stress[[#This Row],[ATS]]*INDEX(Portfolio_Stresser[[Base]:[Severely Adverse]],MATCH("Funding Rate",Portfolio_Stresser[Scenario],0),MATCH("Base",Portfolio_Stresser[[#Headers],[Base]:[Severely Adverse]],0))*Dynamic_Row_Table[Tenure (in months)]/12</f>
        <v>3.0064484126984126</v>
      </c>
      <c r="J16" s="98">
        <f>Base_Stress[[#This Row],[PD]]*Base_Stress[[#This Row],[ATS]]*Base_Stress[[#This Row],[EAD]]</f>
        <v>0.86395833333333327</v>
      </c>
      <c r="K16" s="98" cm="1">
        <f t="array" ref="K16">Base_Stress[[#This Row],[Revenue Per Loan]]-Base_Stress[[#This Row],[Funding Cost]]-Base_Stress[[#This Row],[ECL]]-Fixed_Cost[Fixed Cost]</f>
        <v>5.7883234126984124</v>
      </c>
      <c r="L16" s="10" cm="1">
        <f t="array" ref="L16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0.19283234374639066</v>
      </c>
      <c r="M16" s="10" cm="1">
        <f t="array" ref="M16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0.86948744058888916</v>
      </c>
      <c r="N16" s="10">
        <f>Base_Stress[[#This Row],[Loan Count(in M)]]/Base_Stress[[#This Row],[User Count(in M)]]</f>
        <v>4.5090332031250009</v>
      </c>
      <c r="O16" s="98">
        <f>Base_Stress[[#This Row],[Revenue Per Loan]]*Base_Stress[[#This Row],[Avg Loan Per User]]</f>
        <v>57.078634595114096</v>
      </c>
      <c r="P16" s="98">
        <f>Base_Stress[[#This Row],[CM Per Loan]]*Base_Stress[[#This Row],[Avg Loan Per User]]</f>
        <v>26.099742458282957</v>
      </c>
      <c r="Q16" s="98">
        <f>Base_Stress[[#This Row],[CM Per User]]*Base_Stress[[#This Row],[User Count(in M)]]</f>
        <v>5.0328745094078862</v>
      </c>
      <c r="R16" s="124">
        <f>Base_Stress[[#This Row],[CM Per Segment]]/SUM(Base_Stress[CM Per Segment])</f>
        <v>1.2149504211014583E-2</v>
      </c>
      <c r="S16" s="10"/>
      <c r="U16" s="74">
        <v>14</v>
      </c>
      <c r="V16" s="74" t="s">
        <v>29</v>
      </c>
      <c r="W16" s="74" t="s">
        <v>37</v>
      </c>
      <c r="X16" s="74" t="s">
        <v>61</v>
      </c>
      <c r="Y16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8.3991600000000027E-3</v>
      </c>
      <c r="Z16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0.50700000000000001</v>
      </c>
      <c r="AA16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216.6161904761905</v>
      </c>
      <c r="AB16" s="134">
        <f>Adverse_Stress[[#This Row],[ATS]]*INDEX(Portfolio_Stresser[[Base]:[Severely Adverse]],MATCH("MDR",Portfolio_Stresser[Scenario],0),MATCH("Adverse",Portfolio_Stresser[[#Headers],[Base]:[Severely Adverse]],0))</f>
        <v>10.289269047619049</v>
      </c>
      <c r="AC16" s="134" cm="1">
        <f t="array" ref="AC16">Adverse_Stress[[#This Row],[ATS]]*INDEX(Portfolio_Stresser[[Base]:[Severely Adverse]],MATCH("Funding Rate",Portfolio_Stresser[Scenario],0),MATCH("Adverse",Portfolio_Stresser[[#Headers],[Base]:[Severely Adverse]],0))*Dynamic_Row_Table[Tenure (in months)]/12</f>
        <v>3.0461651785714294</v>
      </c>
      <c r="AD16" s="134">
        <f>Adverse_Stress[[#This Row],[PD]]*Adverse_Stress[[#This Row],[ATS]]*Adverse_Stress[[#This Row],[EAD]]</f>
        <v>0.92243277949680047</v>
      </c>
      <c r="AE16" s="134" cm="1">
        <f t="array" ref="AE16">Adverse_Stress[[#This Row],[Revenue Per Loan]]-Adverse_Stress[[#This Row],[Funding Cost]]-Adverse_Stress[[#This Row],[ECL]]-Fixed_Cost[Fixed Cost]</f>
        <v>3.3206710895508191</v>
      </c>
      <c r="AF16" s="130">
        <f>Base_Stress[[#This Row],[User Count(in M)]]</f>
        <v>0.19283234374639066</v>
      </c>
      <c r="AG16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0.76688792259940031</v>
      </c>
      <c r="AH16" s="130">
        <f>Adverse_Stress[[#This Row],[Loan Count(in M)]]/Adverse_Stress[[#This Row],[User Count(in M)]]</f>
        <v>3.9769672851562512</v>
      </c>
      <c r="AI16" s="134">
        <f>Adverse_Stress[[#This Row],[Revenue Per Loan]]*Adverse_Stress[[#This Row],[Avg Loan Per User]]</f>
        <v>40.920086390551774</v>
      </c>
      <c r="AJ16" s="134">
        <f>Adverse_Stress[[#This Row],[CM Per Loan]]*Adverse_Stress[[#This Row],[Avg Loan Per User]]</f>
        <v>13.206200287907771</v>
      </c>
      <c r="AK16" s="134">
        <f>Adverse_Stress[[#This Row],[CM Per User]]*Adverse_Stress[[#This Row],[User Count(in M)]]</f>
        <v>2.5465825535015147</v>
      </c>
      <c r="AL16" s="144">
        <f>(Base_Stress[[#This Row],[CM Per Segment]]-Adverse_Stress[[#This Row],[CM Per Segment]])/($B$68-$B$69)</f>
        <v>4.7149173678563538E-3</v>
      </c>
      <c r="AN16" s="74">
        <v>14</v>
      </c>
      <c r="AO16" s="74" t="s">
        <v>29</v>
      </c>
      <c r="AP16" s="74" t="s">
        <v>37</v>
      </c>
      <c r="AQ16" s="74" t="s">
        <v>61</v>
      </c>
      <c r="AR16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1.0536960000000003E-2</v>
      </c>
      <c r="AS16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0.53625</v>
      </c>
      <c r="AT16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189.42523809523809</v>
      </c>
      <c r="AU16" s="134">
        <f>Severely_Adverse_Stress[[#This Row],[ATS]]*INDEX(Portfolio_Stresser[[Base]:[Severely Adverse]],MATCH("MDR",Portfolio_Stresser[Scenario],0),MATCH("Severely Adverse",Portfolio_Stresser[[#Headers],[Base]:[Severely Adverse]],0))</f>
        <v>8.5241357142857144</v>
      </c>
      <c r="AV16" s="130" cm="1">
        <f t="array" ref="AV16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3.0781601190476189</v>
      </c>
      <c r="AW16" s="130">
        <f>Severely_Adverse_Stress[[#This Row],[PD]]*Severely_Adverse_Stress[[#This Row],[ATS]]*Severely_Adverse_Stress[[#This Row],[EAD]]</f>
        <v>1.0703368515840002</v>
      </c>
      <c r="AX16" s="134" cm="1">
        <f t="array" ref="AX16">Severely_Adverse_Stress[[#This Row],[Revenue Per Loan]]-Severely_Adverse_Stress[[#This Row],[Funding Cost]]-Severely_Adverse_Stress[[#This Row],[ECL]]-Fixed_Cost[Fixed Cost]</f>
        <v>1.375638743654096</v>
      </c>
      <c r="AY16" s="130">
        <f>Base_Stress[[#This Row],[User Count(in M)]]</f>
        <v>0.19283234374639066</v>
      </c>
      <c r="AZ16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0.67993917854051134</v>
      </c>
      <c r="BA16" s="130">
        <f>Severely_Adverse_Stress[[#This Row],[Loan Count(in M)]]/Severely_Adverse_Stress[[#This Row],[User Count(in M)]]</f>
        <v>3.5260639648437508</v>
      </c>
      <c r="BB16" s="134">
        <f>Severely_Adverse_Stress[[#This Row],[Revenue Per Loan]]*Severely_Adverse_Stress[[#This Row],[Avg Loan Per User]]</f>
        <v>30.056647773580504</v>
      </c>
      <c r="BC16" s="134">
        <f>Severely_Adverse_Stress[[#This Row],[CM Per Loan]]*Severely_Adverse_Stress[[#This Row],[Avg Loan Per User]]</f>
        <v>4.8505902026416381</v>
      </c>
      <c r="BD16" s="134">
        <f>Severely_Adverse_Stress[[#This Row],[CM Per User]]*Severely_Adverse_Stress[[#This Row],[User Count(in M)]]</f>
        <v>0.93535067732866706</v>
      </c>
      <c r="BE16" s="134"/>
    </row>
    <row r="17" spans="1:57" x14ac:dyDescent="0.2">
      <c r="A17">
        <v>15</v>
      </c>
      <c r="B17" t="s">
        <v>29</v>
      </c>
      <c r="C17" t="s">
        <v>37</v>
      </c>
      <c r="D17" t="s">
        <v>62</v>
      </c>
      <c r="E17" s="65" cm="1">
        <f t="array" ref="E17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17" s="64">
        <f>VLOOKUP(Base_Stress[[#This Row],[Credit Category]],
  EAD_Table[#All],
  MATCH("EAD",EAD_Table[#Headers],0),
  FALSE)</f>
        <v>0.4425</v>
      </c>
      <c r="G17" s="98" cm="1">
        <f t="array" ref="G17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333.73015873015868</v>
      </c>
      <c r="H17" s="98">
        <f>Base_Stress[[#This Row],[ATS]]*INDEX(Portfolio_Stresser[[Base]:[Severely Adverse]],MATCH("MDR",Portfolio_Stresser[Scenario],0),MATCH("Base",Portfolio_Stresser[[#Headers],[Base]:[Severely Adverse]],0))</f>
        <v>16.686507936507933</v>
      </c>
      <c r="I17" s="98" cm="1">
        <f t="array" ref="I17">Base_Stress[[#This Row],[ATS]]*INDEX(Portfolio_Stresser[[Base]:[Severely Adverse]],MATCH("Funding Rate",Portfolio_Stresser[Scenario],0),MATCH("Base",Portfolio_Stresser[[#Headers],[Base]:[Severely Adverse]],0))*Dynamic_Row_Table[Tenure (in months)]/12</f>
        <v>3.9630456349206344</v>
      </c>
      <c r="J17" s="98">
        <f>Base_Stress[[#This Row],[PD]]*Base_Stress[[#This Row],[ATS]]*Base_Stress[[#This Row],[EAD]]</f>
        <v>1.1814047619047618</v>
      </c>
      <c r="K17" s="98" cm="1">
        <f t="array" ref="K17">Base_Stress[[#This Row],[Revenue Per Loan]]-Base_Stress[[#This Row],[Funding Cost]]-Base_Stress[[#This Row],[ECL]]-Fixed_Cost[Fixed Cost]</f>
        <v>8.5420575396825367</v>
      </c>
      <c r="L17" s="10" cm="1">
        <f t="array" ref="L17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0.28137762754138329</v>
      </c>
      <c r="M17" s="10" cm="1">
        <f t="array" ref="M17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1.0857370151190291</v>
      </c>
      <c r="N17" s="10">
        <f>Base_Stress[[#This Row],[Loan Count(in M)]]/Base_Stress[[#This Row],[User Count(in M)]]</f>
        <v>3.8586472727272731</v>
      </c>
      <c r="O17" s="98">
        <f>Base_Stress[[#This Row],[Revenue Per Loan]]*Base_Stress[[#This Row],[Avg Loan Per User]]</f>
        <v>64.387348340548328</v>
      </c>
      <c r="P17" s="98">
        <f>Base_Stress[[#This Row],[CM Per Loan]]*Base_Stress[[#This Row],[Avg Loan Per User]]</f>
        <v>32.96078702897546</v>
      </c>
      <c r="Q17" s="98">
        <f>Base_Stress[[#This Row],[CM Per User]]*Base_Stress[[#This Row],[User Count(in M)]]</f>
        <v>9.2744280561099153</v>
      </c>
      <c r="R17" s="124">
        <f>Base_Stress[[#This Row],[CM Per Segment]]/SUM(Base_Stress[CM Per Segment])</f>
        <v>2.238873679680042E-2</v>
      </c>
      <c r="S17" s="10"/>
      <c r="U17" s="73">
        <v>15</v>
      </c>
      <c r="V17" s="73" t="s">
        <v>29</v>
      </c>
      <c r="W17" s="73" t="s">
        <v>37</v>
      </c>
      <c r="X17" s="73" t="s">
        <v>62</v>
      </c>
      <c r="Y17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9.1627200000000027E-3</v>
      </c>
      <c r="Z17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0.45135000000000003</v>
      </c>
      <c r="AA17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285.53952380952381</v>
      </c>
      <c r="AB17" s="101">
        <f>Adverse_Stress[[#This Row],[ATS]]*INDEX(Portfolio_Stresser[[Base]:[Severely Adverse]],MATCH("MDR",Portfolio_Stresser[Scenario],0),MATCH("Adverse",Portfolio_Stresser[[#Headers],[Base]:[Severely Adverse]],0))</f>
        <v>13.56312738095238</v>
      </c>
      <c r="AC17" s="101" cm="1">
        <f t="array" ref="AC17">Adverse_Stress[[#This Row],[ATS]]*INDEX(Portfolio_Stresser[[Base]:[Severely Adverse]],MATCH("Funding Rate",Portfolio_Stresser[Scenario],0),MATCH("Adverse",Portfolio_Stresser[[#Headers],[Base]:[Severely Adverse]],0))*Dynamic_Row_Table[Tenure (in months)]/12</f>
        <v>4.0153995535714291</v>
      </c>
      <c r="AD17" s="101">
        <f>Adverse_Stress[[#This Row],[PD]]*Adverse_Stress[[#This Row],[ATS]]*Adverse_Stress[[#This Row],[EAD]]</f>
        <v>1.1808754477725605</v>
      </c>
      <c r="AE17" s="101" cm="1">
        <f t="array" ref="AE17">Adverse_Stress[[#This Row],[Revenue Per Loan]]-Adverse_Stress[[#This Row],[Funding Cost]]-Adverse_Stress[[#This Row],[ECL]]-Fixed_Cost[Fixed Cost]</f>
        <v>5.3668523796083907</v>
      </c>
      <c r="AF17" s="72">
        <f>Base_Stress[[#This Row],[User Count(in M)]]</f>
        <v>0.28137762754138329</v>
      </c>
      <c r="AG17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0.95762004733498363</v>
      </c>
      <c r="AH17" s="72">
        <f>Adverse_Stress[[#This Row],[Loan Count(in M)]]/Adverse_Stress[[#This Row],[User Count(in M)]]</f>
        <v>3.4033268945454549</v>
      </c>
      <c r="AI17" s="101">
        <f>Adverse_Stress[[#This Row],[Revenue Per Loan]]*Adverse_Stress[[#This Row],[Avg Loan Per User]]</f>
        <v>46.159756189741096</v>
      </c>
      <c r="AJ17" s="101">
        <f>Adverse_Stress[[#This Row],[CM Per Loan]]*Adverse_Stress[[#This Row],[Avg Loan Per User]]</f>
        <v>18.265153042576507</v>
      </c>
      <c r="AK17" s="101">
        <f>Adverse_Stress[[#This Row],[CM Per User]]*Adverse_Stress[[#This Row],[User Count(in M)]]</f>
        <v>5.1394054298004566</v>
      </c>
      <c r="AL17" s="145">
        <f>(Base_Stress[[#This Row],[CM Per Segment]]-Adverse_Stress[[#This Row],[CM Per Segment]])/($B$68-$B$69)</f>
        <v>7.8415127197554464E-3</v>
      </c>
      <c r="AN17" s="73">
        <v>15</v>
      </c>
      <c r="AO17" s="73" t="s">
        <v>29</v>
      </c>
      <c r="AP17" s="73" t="s">
        <v>37</v>
      </c>
      <c r="AQ17" s="73" t="s">
        <v>62</v>
      </c>
      <c r="AR17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1.0819200000000001E-2</v>
      </c>
      <c r="AS17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0.46462500000000001</v>
      </c>
      <c r="AT17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249.69690476190473</v>
      </c>
      <c r="AU17" s="101">
        <f>Severely_Adverse_Stress[[#This Row],[ATS]]*INDEX(Portfolio_Stresser[[Base]:[Severely Adverse]],MATCH("MDR",Portfolio_Stresser[Scenario],0),MATCH("Severely Adverse",Portfolio_Stresser[[#Headers],[Base]:[Severely Adverse]],0))</f>
        <v>11.236360714285713</v>
      </c>
      <c r="AV17" s="72" cm="1">
        <f t="array" ref="AV17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4.0575747023809523</v>
      </c>
      <c r="AW17" s="72">
        <f>Severely_Adverse_Stress[[#This Row],[PD]]*Severely_Adverse_Stress[[#This Row],[ATS]]*Severely_Adverse_Stress[[#This Row],[EAD]]</f>
        <v>1.2551940793980001</v>
      </c>
      <c r="AX17" s="101" cm="1">
        <f t="array" ref="AX17">Severely_Adverse_Stress[[#This Row],[Revenue Per Loan]]-Severely_Adverse_Stress[[#This Row],[Funding Cost]]-Severely_Adverse_Stress[[#This Row],[ECL]]-Fixed_Cost[Fixed Cost]</f>
        <v>2.9235919325067599</v>
      </c>
      <c r="AY17" s="72">
        <f>Base_Stress[[#This Row],[User Count(in M)]]</f>
        <v>0.28137762754138329</v>
      </c>
      <c r="AZ17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0.84904634582308081</v>
      </c>
      <c r="BA17" s="72">
        <f>Severely_Adverse_Stress[[#This Row],[Loan Count(in M)]]/Severely_Adverse_Stress[[#This Row],[User Count(in M)]]</f>
        <v>3.0174621672727278</v>
      </c>
      <c r="BB17" s="101">
        <f>Severely_Adverse_Stress[[#This Row],[Revenue Per Loan]]*Severely_Adverse_Stress[[#This Row],[Avg Loan Per User]]</f>
        <v>33.9052933531867</v>
      </c>
      <c r="BC17" s="101">
        <f>Severely_Adverse_Stress[[#This Row],[CM Per Loan]]*Severely_Adverse_Stress[[#This Row],[Avg Loan Per User]]</f>
        <v>8.8218280488829102</v>
      </c>
      <c r="BD17" s="101">
        <f>Severely_Adverse_Stress[[#This Row],[CM Per User]]*Severely_Adverse_Stress[[#This Row],[User Count(in M)]]</f>
        <v>2.4822650469727034</v>
      </c>
      <c r="BE17" s="101"/>
    </row>
    <row r="18" spans="1:57" x14ac:dyDescent="0.2">
      <c r="A18">
        <v>16</v>
      </c>
      <c r="B18" t="s">
        <v>30</v>
      </c>
      <c r="C18" s="9" t="s">
        <v>35</v>
      </c>
      <c r="D18" t="s">
        <v>58</v>
      </c>
      <c r="E18" s="65" cm="1">
        <f t="array" ref="E18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3.8500000000000006E-2</v>
      </c>
      <c r="F18" s="64">
        <f>VLOOKUP(Base_Stress[[#This Row],[Credit Category]],
  EAD_Table[#All],
  MATCH("EAD",EAD_Table[#Headers],0),
  FALSE)</f>
        <v>0.63750000000000007</v>
      </c>
      <c r="G18" s="98" cm="1">
        <f t="array" ref="G18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73.006349206349199</v>
      </c>
      <c r="H18" s="98">
        <f>Base_Stress[[#This Row],[ATS]]*INDEX(Portfolio_Stresser[[Base]:[Severely Adverse]],MATCH("MDR",Portfolio_Stresser[Scenario],0),MATCH("Base",Portfolio_Stresser[[#Headers],[Base]:[Severely Adverse]],0))</f>
        <v>3.65031746031746</v>
      </c>
      <c r="I18" s="98" cm="1">
        <f t="array" ref="I18">Base_Stress[[#This Row],[ATS]]*INDEX(Portfolio_Stresser[[Base]:[Severely Adverse]],MATCH("Funding Rate",Portfolio_Stresser[Scenario],0),MATCH("Base",Portfolio_Stresser[[#Headers],[Base]:[Severely Adverse]],0))*Dynamic_Row_Table[Tenure (in months)]/12</f>
        <v>0.86695039682539676</v>
      </c>
      <c r="J18" s="98">
        <f>Base_Stress[[#This Row],[PD]]*Base_Stress[[#This Row],[ATS]]*Base_Stress[[#This Row],[EAD]]</f>
        <v>1.7918495833333334</v>
      </c>
      <c r="K18" s="98" cm="1">
        <f t="array" ref="K18">Base_Stress[[#This Row],[Revenue Per Loan]]-Base_Stress[[#This Row],[Funding Cost]]-Base_Stress[[#This Row],[ECL]]-Fixed_Cost[Fixed Cost]</f>
        <v>-2.0084825198412704</v>
      </c>
      <c r="L18" s="10" cm="1">
        <f t="array" ref="L18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2.9315722745322801</v>
      </c>
      <c r="M18" s="10" cm="1">
        <f t="array" ref="M18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38.554471130876038</v>
      </c>
      <c r="N18" s="10">
        <f>Base_Stress[[#This Row],[Loan Count(in M)]]/Base_Stress[[#This Row],[User Count(in M)]]</f>
        <v>13.151465329991648</v>
      </c>
      <c r="O18" s="98">
        <f>Base_Stress[[#This Row],[Revenue Per Loan]]*Base_Stress[[#This Row],[Avg Loan Per User]]</f>
        <v>48.007023522828241</v>
      </c>
      <c r="P18" s="98">
        <f>Base_Stress[[#This Row],[CM Per Loan]]*Base_Stress[[#This Row],[Avg Loan Per User]]</f>
        <v>-26.41448822558673</v>
      </c>
      <c r="Q18" s="98">
        <f>Base_Stress[[#This Row],[CM Per User]]*Base_Stress[[#This Row],[User Count(in M)]]</f>
        <v>-77.435981328089426</v>
      </c>
      <c r="R18" s="124">
        <f>Base_Stress[[#This Row],[CM Per Segment]]/SUM(Base_Stress[CM Per Segment])</f>
        <v>-0.1869326921366761</v>
      </c>
      <c r="S18" s="10"/>
      <c r="U18" s="74">
        <v>16</v>
      </c>
      <c r="V18" s="74" t="s">
        <v>30</v>
      </c>
      <c r="W18" s="74" t="s">
        <v>35</v>
      </c>
      <c r="X18" s="74" t="s">
        <v>58</v>
      </c>
      <c r="Y18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6.154148000000001E-2</v>
      </c>
      <c r="Z18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0.73312500000000003</v>
      </c>
      <c r="AA18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66.581790476190463</v>
      </c>
      <c r="AB18" s="134">
        <f>Adverse_Stress[[#This Row],[ATS]]*INDEX(Portfolio_Stresser[[Base]:[Severely Adverse]],MATCH("MDR",Portfolio_Stresser[Scenario],0),MATCH("Adverse",Portfolio_Stresser[[#Headers],[Base]:[Severely Adverse]],0))</f>
        <v>3.1626350476190472</v>
      </c>
      <c r="AC18" s="134" cm="1">
        <f t="array" ref="AC18">Adverse_Stress[[#This Row],[ATS]]*INDEX(Portfolio_Stresser[[Base]:[Severely Adverse]],MATCH("Funding Rate",Portfolio_Stresser[Scenario],0),MATCH("Adverse",Portfolio_Stresser[[#Headers],[Base]:[Severely Adverse]],0))*Dynamic_Row_Table[Tenure (in months)]/12</f>
        <v>0.93630642857142854</v>
      </c>
      <c r="AD18" s="134">
        <f>Adverse_Stress[[#This Row],[PD]]*Adverse_Stress[[#This Row],[ATS]]*Adverse_Stress[[#This Row],[EAD]]</f>
        <v>3.0040104251986399</v>
      </c>
      <c r="AE18" s="134" cm="1">
        <f t="array" ref="AE18">Adverse_Stress[[#This Row],[Revenue Per Loan]]-Adverse_Stress[[#This Row],[Funding Cost]]-Adverse_Stress[[#This Row],[ECL]]-Fixed_Cost[Fixed Cost]</f>
        <v>-3.7776818061510213</v>
      </c>
      <c r="AF18" s="130">
        <f>Base_Stress[[#This Row],[User Count(in M)]]</f>
        <v>2.9315722745322801</v>
      </c>
      <c r="AG18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31.892258519460658</v>
      </c>
      <c r="AH18" s="130">
        <f>Adverse_Stress[[#This Row],[Loan Count(in M)]]/Adverse_Stress[[#This Row],[User Count(in M)]]</f>
        <v>10.878892120969091</v>
      </c>
      <c r="AI18" s="134">
        <f>Adverse_Stress[[#This Row],[Revenue Per Loan]]*Adverse_Stress[[#This Row],[Avg Loan Per User]]</f>
        <v>34.405965501043561</v>
      </c>
      <c r="AJ18" s="134">
        <f>Adverse_Stress[[#This Row],[CM Per Loan]]*Adverse_Stress[[#This Row],[Avg Loan Per User]]</f>
        <v>-41.096992836464629</v>
      </c>
      <c r="AK18" s="134">
        <f>Adverse_Stress[[#This Row],[CM Per User]]*Adverse_Stress[[#This Row],[User Count(in M)]]</f>
        <v>-120.47880476603143</v>
      </c>
      <c r="AL18" s="144">
        <f>(Base_Stress[[#This Row],[CM Per Segment]]-Adverse_Stress[[#This Row],[CM Per Segment]])/($B$68-$B$69)</f>
        <v>8.1624909458851064E-2</v>
      </c>
      <c r="AN18" s="74">
        <v>16</v>
      </c>
      <c r="AO18" s="74" t="s">
        <v>30</v>
      </c>
      <c r="AP18" s="74" t="s">
        <v>35</v>
      </c>
      <c r="AQ18" s="74" t="s">
        <v>58</v>
      </c>
      <c r="AR18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8.6902200000000027E-2</v>
      </c>
      <c r="AS18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0.75</v>
      </c>
      <c r="AT18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60.449257142857142</v>
      </c>
      <c r="AU18" s="134">
        <f>Severely_Adverse_Stress[[#This Row],[ATS]]*INDEX(Portfolio_Stresser[[Base]:[Severely Adverse]],MATCH("MDR",Portfolio_Stresser[Scenario],0),MATCH("Severely Adverse",Portfolio_Stresser[[#Headers],[Base]:[Severely Adverse]],0))</f>
        <v>2.7202165714285713</v>
      </c>
      <c r="AV18" s="130" cm="1">
        <f t="array" ref="AV18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0.98230042857142863</v>
      </c>
      <c r="AW18" s="130">
        <f>Severely_Adverse_Stress[[#This Row],[PD]]*Severely_Adverse_Stress[[#This Row],[ATS]]*Severely_Adverse_Stress[[#This Row],[EAD]]</f>
        <v>3.9398800755600014</v>
      </c>
      <c r="AX18" s="134" cm="1">
        <f t="array" ref="AX18">Severely_Adverse_Stress[[#This Row],[Revenue Per Loan]]-Severely_Adverse_Stress[[#This Row],[Funding Cost]]-Severely_Adverse_Stress[[#This Row],[ECL]]-Fixed_Cost[Fixed Cost]</f>
        <v>-5.2019639327028582</v>
      </c>
      <c r="AY18" s="130">
        <f>Base_Stress[[#This Row],[User Count(in M)]]</f>
        <v>2.9315722745322801</v>
      </c>
      <c r="AZ18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28.45319969458652</v>
      </c>
      <c r="BA18" s="130">
        <f>Severely_Adverse_Stress[[#This Row],[Loan Count(in M)]]/Severely_Adverse_Stress[[#This Row],[User Count(in M)]]</f>
        <v>9.7057814135338365</v>
      </c>
      <c r="BB18" s="134">
        <f>Severely_Adverse_Stress[[#This Row],[Revenue Per Loan]]*Severely_Adverse_Stress[[#This Row],[Avg Loan Per User]]</f>
        <v>26.401827439758165</v>
      </c>
      <c r="BC18" s="134">
        <f>Severely_Adverse_Stress[[#This Row],[CM Per Loan]]*Severely_Adverse_Stress[[#This Row],[Avg Loan Per User]]</f>
        <v>-50.489124851900783</v>
      </c>
      <c r="BD18" s="134">
        <f>Severely_Adverse_Stress[[#This Row],[CM Per User]]*Severely_Adverse_Stress[[#This Row],[User Count(in M)]]</f>
        <v>-148.01251858123103</v>
      </c>
      <c r="BE18" s="134"/>
    </row>
    <row r="19" spans="1:57" x14ac:dyDescent="0.2">
      <c r="A19">
        <v>17</v>
      </c>
      <c r="B19" t="s">
        <v>30</v>
      </c>
      <c r="C19" s="9" t="s">
        <v>35</v>
      </c>
      <c r="D19" t="s">
        <v>83</v>
      </c>
      <c r="E19" s="65" cm="1">
        <f t="array" ref="E19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1.21E-2</v>
      </c>
      <c r="F19" s="64">
        <f>VLOOKUP(Base_Stress[[#This Row],[Credit Category]],
  EAD_Table[#All],
  MATCH("EAD",EAD_Table[#Headers],0),
  FALSE)</f>
        <v>0.5625</v>
      </c>
      <c r="G19" s="98" cm="1">
        <f t="array" ref="G19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88.645634920634919</v>
      </c>
      <c r="H19" s="98">
        <f>Base_Stress[[#This Row],[ATS]]*INDEX(Portfolio_Stresser[[Base]:[Severely Adverse]],MATCH("MDR",Portfolio_Stresser[Scenario],0),MATCH("Base",Portfolio_Stresser[[#Headers],[Base]:[Severely Adverse]],0))</f>
        <v>4.4322817460317463</v>
      </c>
      <c r="I19" s="98" cm="1">
        <f t="array" ref="I19">Base_Stress[[#This Row],[ATS]]*INDEX(Portfolio_Stresser[[Base]:[Severely Adverse]],MATCH("Funding Rate",Portfolio_Stresser[Scenario],0),MATCH("Base",Portfolio_Stresser[[#Headers],[Base]:[Severely Adverse]],0))*Dynamic_Row_Table[Tenure (in months)]/12</f>
        <v>1.0526669146825396</v>
      </c>
      <c r="J19" s="98">
        <f>Base_Stress[[#This Row],[PD]]*Base_Stress[[#This Row],[ATS]]*Base_Stress[[#This Row],[EAD]]</f>
        <v>0.60334435267857134</v>
      </c>
      <c r="K19" s="98" cm="1">
        <f t="array" ref="K19">Base_Stress[[#This Row],[Revenue Per Loan]]-Base_Stress[[#This Row],[Funding Cost]]-Base_Stress[[#This Row],[ECL]]-Fixed_Cost[Fixed Cost]</f>
        <v>-0.22372952132936508</v>
      </c>
      <c r="L19" s="10" cm="1">
        <f t="array" ref="L19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2.4316337106884891</v>
      </c>
      <c r="M19" s="10" cm="1">
        <f t="array" ref="M19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11.438458103210143</v>
      </c>
      <c r="N19" s="10">
        <f>Base_Stress[[#This Row],[Loan Count(in M)]]/Base_Stress[[#This Row],[User Count(in M)]]</f>
        <v>4.7040218487394947</v>
      </c>
      <c r="O19" s="98">
        <f>Base_Stress[[#This Row],[Revenue Per Loan]]*Base_Stress[[#This Row],[Avg Loan Per User]]</f>
        <v>20.849550173102571</v>
      </c>
      <c r="P19" s="98">
        <f>Base_Stress[[#This Row],[CM Per Loan]]*Base_Stress[[#This Row],[Avg Loan Per User]]</f>
        <v>-1.052428556541362</v>
      </c>
      <c r="Q19" s="98">
        <f>Base_Stress[[#This Row],[CM Per User]]*Base_Stress[[#This Row],[User Count(in M)]]</f>
        <v>-2.5591207561772027</v>
      </c>
      <c r="R19" s="124">
        <f>Base_Stress[[#This Row],[CM Per Segment]]/SUM(Base_Stress[CM Per Segment])</f>
        <v>-6.1777913090322019E-3</v>
      </c>
      <c r="S19" s="10"/>
      <c r="U19" s="73">
        <v>17</v>
      </c>
      <c r="V19" s="73" t="s">
        <v>30</v>
      </c>
      <c r="W19" s="73" t="s">
        <v>35</v>
      </c>
      <c r="X19" s="73" t="s">
        <v>83</v>
      </c>
      <c r="Y19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1.7340752000000001E-2</v>
      </c>
      <c r="Z19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0.61875000000000002</v>
      </c>
      <c r="AA19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80.844819047619026</v>
      </c>
      <c r="AB19" s="101">
        <f>Adverse_Stress[[#This Row],[ATS]]*INDEX(Portfolio_Stresser[[Base]:[Severely Adverse]],MATCH("MDR",Portfolio_Stresser[Scenario],0),MATCH("Adverse",Portfolio_Stresser[[#Headers],[Base]:[Severely Adverse]],0))</f>
        <v>3.8401289047619036</v>
      </c>
      <c r="AC19" s="101" cm="1">
        <f t="array" ref="AC19">Adverse_Stress[[#This Row],[ATS]]*INDEX(Portfolio_Stresser[[Base]:[Severely Adverse]],MATCH("Funding Rate",Portfolio_Stresser[Scenario],0),MATCH("Adverse",Portfolio_Stresser[[#Headers],[Base]:[Severely Adverse]],0))*Dynamic_Row_Table[Tenure (in months)]/12</f>
        <v>1.1368802678571426</v>
      </c>
      <c r="AD19" s="101">
        <f>Adverse_Stress[[#This Row],[PD]]*Adverse_Stress[[#This Row],[ATS]]*Adverse_Stress[[#This Row],[EAD]]</f>
        <v>0.86743178625858852</v>
      </c>
      <c r="AE19" s="101" cm="1">
        <f t="array" ref="AE19">Adverse_Stress[[#This Row],[Revenue Per Loan]]-Adverse_Stress[[#This Row],[Funding Cost]]-Adverse_Stress[[#This Row],[ECL]]-Fixed_Cost[Fixed Cost]</f>
        <v>-1.1641831493538273</v>
      </c>
      <c r="AF19" s="72">
        <f>Base_Stress[[#This Row],[User Count(in M)]]</f>
        <v>2.4316337106884891</v>
      </c>
      <c r="AG19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9.4618925429754306</v>
      </c>
      <c r="AH19" s="72">
        <f>Adverse_Stress[[#This Row],[Loan Count(in M)]]/Adverse_Stress[[#This Row],[User Count(in M)]]</f>
        <v>3.8911668732773097</v>
      </c>
      <c r="AI19" s="101">
        <f>Adverse_Stress[[#This Row],[Revenue Per Loan]]*Adverse_Stress[[#This Row],[Avg Loan Per User]]</f>
        <v>14.942582383324197</v>
      </c>
      <c r="AJ19" s="101">
        <f>Adverse_Stress[[#This Row],[CM Per Loan]]*Adverse_Stress[[#This Row],[Avg Loan Per User]]</f>
        <v>-4.5300309051932635</v>
      </c>
      <c r="AK19" s="101">
        <f>Adverse_Stress[[#This Row],[CM Per User]]*Adverse_Stress[[#This Row],[User Count(in M)]]</f>
        <v>-11.01537585952863</v>
      </c>
      <c r="AL19" s="145">
        <f>(Base_Stress[[#This Row],[CM Per Segment]]-Adverse_Stress[[#This Row],[CM Per Segment]])/($B$68-$B$69)</f>
        <v>1.6036147307278266E-2</v>
      </c>
      <c r="AN19" s="73">
        <v>17</v>
      </c>
      <c r="AO19" s="73" t="s">
        <v>30</v>
      </c>
      <c r="AP19" s="73" t="s">
        <v>35</v>
      </c>
      <c r="AQ19" s="73" t="s">
        <v>83</v>
      </c>
      <c r="AR19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2.3718419999999997E-2</v>
      </c>
      <c r="AS19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0.65812499999999996</v>
      </c>
      <c r="AT19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73.398585714285716</v>
      </c>
      <c r="AU19" s="101">
        <f>Severely_Adverse_Stress[[#This Row],[ATS]]*INDEX(Portfolio_Stresser[[Base]:[Severely Adverse]],MATCH("MDR",Portfolio_Stresser[Scenario],0),MATCH("Severely Adverse",Portfolio_Stresser[[#Headers],[Base]:[Severely Adverse]],0))</f>
        <v>3.3029363571428569</v>
      </c>
      <c r="AV19" s="72" cm="1">
        <f t="array" ref="AV19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1.192727017857143</v>
      </c>
      <c r="AW19" s="72">
        <f>Severely_Adverse_Stress[[#This Row],[PD]]*Severely_Adverse_Stress[[#This Row],[ATS]]*Severely_Adverse_Stress[[#This Row],[EAD]]</f>
        <v>1.14572881437277</v>
      </c>
      <c r="AX19" s="101" cm="1">
        <f t="array" ref="AX19">Severely_Adverse_Stress[[#This Row],[Revenue Per Loan]]-Severely_Adverse_Stress[[#This Row],[Funding Cost]]-Severely_Adverse_Stress[[#This Row],[ECL]]-Fixed_Cost[Fixed Cost]</f>
        <v>-2.0355194750870558</v>
      </c>
      <c r="AY19" s="72">
        <f>Base_Stress[[#This Row],[User Count(in M)]]</f>
        <v>2.4316337106884891</v>
      </c>
      <c r="AZ19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8.441582080169086</v>
      </c>
      <c r="BA19" s="72">
        <f>Severely_Adverse_Stress[[#This Row],[Loan Count(in M)]]/Severely_Adverse_Stress[[#This Row],[User Count(in M)]]</f>
        <v>3.4715681243697469</v>
      </c>
      <c r="BB19" s="101">
        <f>Severely_Adverse_Stress[[#This Row],[Revenue Per Loan]]*Severely_Adverse_Stress[[#This Row],[Avg Loan Per User]]</f>
        <v>11.466368574279073</v>
      </c>
      <c r="BC19" s="101">
        <f>Severely_Adverse_Stress[[#This Row],[CM Per Loan]]*Severely_Adverse_Stress[[#This Row],[Avg Loan Per User]]</f>
        <v>-7.0664445262460625</v>
      </c>
      <c r="BD19" s="101">
        <f>Severely_Adverse_Stress[[#This Row],[CM Per User]]*Severely_Adverse_Stress[[#This Row],[User Count(in M)]]</f>
        <v>-17.183004724730075</v>
      </c>
      <c r="BE19" s="101"/>
    </row>
    <row r="20" spans="1:57" x14ac:dyDescent="0.2">
      <c r="A20">
        <v>18</v>
      </c>
      <c r="B20" t="s">
        <v>30</v>
      </c>
      <c r="C20" s="9" t="s">
        <v>35</v>
      </c>
      <c r="D20" t="s">
        <v>60</v>
      </c>
      <c r="E20" s="65" cm="1">
        <f t="array" ref="E20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8.8000000000000005E-3</v>
      </c>
      <c r="F20" s="64">
        <f>VLOOKUP(Base_Stress[[#This Row],[Credit Category]],
  EAD_Table[#All],
  MATCH("EAD",EAD_Table[#Headers],0),
  FALSE)</f>
        <v>0.51749999999999996</v>
      </c>
      <c r="G20" s="98" cm="1">
        <f t="array" ref="G20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119.93571428571427</v>
      </c>
      <c r="H20" s="98">
        <f>Base_Stress[[#This Row],[ATS]]*INDEX(Portfolio_Stresser[[Base]:[Severely Adverse]],MATCH("MDR",Portfolio_Stresser[Scenario],0),MATCH("Base",Portfolio_Stresser[[#Headers],[Base]:[Severely Adverse]],0))</f>
        <v>5.9967857142857142</v>
      </c>
      <c r="I20" s="98" cm="1">
        <f t="array" ref="I20">Base_Stress[[#This Row],[ATS]]*INDEX(Portfolio_Stresser[[Base]:[Severely Adverse]],MATCH("Funding Rate",Portfolio_Stresser[Scenario],0),MATCH("Base",Portfolio_Stresser[[#Headers],[Base]:[Severely Adverse]],0))*Dynamic_Row_Table[Tenure (in months)]/12</f>
        <v>1.4242366071428567</v>
      </c>
      <c r="J20" s="98">
        <f>Base_Stress[[#This Row],[PD]]*Base_Stress[[#This Row],[ATS]]*Base_Stress[[#This Row],[EAD]]</f>
        <v>0.54618724285714271</v>
      </c>
      <c r="K20" s="98" cm="1">
        <f t="array" ref="K20">Base_Stress[[#This Row],[Revenue Per Loan]]-Base_Stress[[#This Row],[Funding Cost]]-Base_Stress[[#This Row],[ECL]]-Fixed_Cost[Fixed Cost]</f>
        <v>1.0263618642857146</v>
      </c>
      <c r="L20" s="10" cm="1">
        <f t="array" ref="L20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1.1035087934421515</v>
      </c>
      <c r="M20" s="10" cm="1">
        <f t="array" ref="M20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5.3345872524973661</v>
      </c>
      <c r="N20" s="10">
        <f>Base_Stress[[#This Row],[Loan Count(in M)]]/Base_Stress[[#This Row],[User Count(in M)]]</f>
        <v>4.8342045701849843</v>
      </c>
      <c r="O20" s="98">
        <f>Base_Stress[[#This Row],[Revenue Per Loan]]*Base_Stress[[#This Row],[Avg Loan Per User]]</f>
        <v>28.989688906420024</v>
      </c>
      <c r="P20" s="98">
        <f>Base_Stress[[#This Row],[CM Per Loan]]*Base_Stress[[#This Row],[Avg Loan Per User]]</f>
        <v>4.9616432149935825</v>
      </c>
      <c r="Q20" s="98">
        <f>Base_Stress[[#This Row],[CM Per User]]*Base_Stress[[#This Row],[User Count(in M)]]</f>
        <v>5.4752169176680052</v>
      </c>
      <c r="R20" s="124">
        <f>Base_Stress[[#This Row],[CM Per Segment]]/SUM(Base_Stress[CM Per Segment])</f>
        <v>1.3217331541463742E-2</v>
      </c>
      <c r="S20" s="10"/>
      <c r="U20" s="74">
        <v>18</v>
      </c>
      <c r="V20" s="74" t="s">
        <v>30</v>
      </c>
      <c r="W20" s="74" t="s">
        <v>35</v>
      </c>
      <c r="X20" s="74" t="s">
        <v>60</v>
      </c>
      <c r="Y20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1.1447321600000001E-2</v>
      </c>
      <c r="Z20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0.55372500000000002</v>
      </c>
      <c r="AA20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109.38137142857141</v>
      </c>
      <c r="AB20" s="134">
        <f>Adverse_Stress[[#This Row],[ATS]]*INDEX(Portfolio_Stresser[[Base]:[Severely Adverse]],MATCH("MDR",Portfolio_Stresser[Scenario],0),MATCH("Adverse",Portfolio_Stresser[[#Headers],[Base]:[Severely Adverse]],0))</f>
        <v>5.1956151428571422</v>
      </c>
      <c r="AC20" s="134" cm="1">
        <f t="array" ref="AC20">Adverse_Stress[[#This Row],[ATS]]*INDEX(Portfolio_Stresser[[Base]:[Severely Adverse]],MATCH("Funding Rate",Portfolio_Stresser[Scenario],0),MATCH("Adverse",Portfolio_Stresser[[#Headers],[Base]:[Severely Adverse]],0))*Dynamic_Row_Table[Tenure (in months)]/12</f>
        <v>1.5381755357142854</v>
      </c>
      <c r="AD20" s="134">
        <f>Adverse_Stress[[#This Row],[PD]]*Adverse_Stress[[#This Row],[ATS]]*Adverse_Stress[[#This Row],[EAD]]</f>
        <v>0.69333221560137448</v>
      </c>
      <c r="AE20" s="134" cm="1">
        <f t="array" ref="AE20">Adverse_Stress[[#This Row],[Revenue Per Loan]]-Adverse_Stress[[#This Row],[Funding Cost]]-Adverse_Stress[[#This Row],[ECL]]-Fixed_Cost[Fixed Cost]</f>
        <v>-3.5892608458517383E-2</v>
      </c>
      <c r="AF20" s="130">
        <f>Base_Stress[[#This Row],[User Count(in M)]]</f>
        <v>1.1035087934421515</v>
      </c>
      <c r="AG20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4.4127705752658217</v>
      </c>
      <c r="AH20" s="130">
        <f>Adverse_Stress[[#This Row],[Loan Count(in M)]]/Adverse_Stress[[#This Row],[User Count(in M)]]</f>
        <v>3.9988540204570193</v>
      </c>
      <c r="AI20" s="134">
        <f>Adverse_Stress[[#This Row],[Revenue Per Loan]]*Adverse_Stress[[#This Row],[Avg Loan Per User]]</f>
        <v>20.776506502761652</v>
      </c>
      <c r="AJ20" s="134">
        <f>Adverse_Stress[[#This Row],[CM Per Loan]]*Adverse_Stress[[#This Row],[Avg Loan Per User]]</f>
        <v>-0.14352930163903185</v>
      </c>
      <c r="AK20" s="134">
        <f>Adverse_Stress[[#This Row],[CM Per User]]*Adverse_Stress[[#This Row],[User Count(in M)]]</f>
        <v>-0.15838584647528264</v>
      </c>
      <c r="AL20" s="144">
        <f>(Base_Stress[[#This Row],[CM Per Segment]]-Adverse_Stress[[#This Row],[CM Per Segment]])/($B$68-$B$69)</f>
        <v>1.0683367837458836E-2</v>
      </c>
      <c r="AN20" s="74">
        <v>18</v>
      </c>
      <c r="AO20" s="74" t="s">
        <v>30</v>
      </c>
      <c r="AP20" s="74" t="s">
        <v>35</v>
      </c>
      <c r="AQ20" s="74" t="s">
        <v>60</v>
      </c>
      <c r="AR20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1.5158880000000003E-2</v>
      </c>
      <c r="AS20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0.58994999999999986</v>
      </c>
      <c r="AT20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99.306771428571423</v>
      </c>
      <c r="AU20" s="134">
        <f>Severely_Adverse_Stress[[#This Row],[ATS]]*INDEX(Portfolio_Stresser[[Base]:[Severely Adverse]],MATCH("MDR",Portfolio_Stresser[Scenario],0),MATCH("Severely Adverse",Portfolio_Stresser[[#Headers],[Base]:[Severely Adverse]],0))</f>
        <v>4.4688047142857137</v>
      </c>
      <c r="AV20" s="130" cm="1">
        <f t="array" ref="AV20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1.6137350357142857</v>
      </c>
      <c r="AW20" s="130">
        <f>Severely_Adverse_Stress[[#This Row],[PD]]*Severely_Adverse_Stress[[#This Row],[ATS]]*Severely_Adverse_Stress[[#This Row],[EAD]]</f>
        <v>0.88809859547959047</v>
      </c>
      <c r="AX20" s="134" cm="1">
        <f t="array" ref="AX20">Severely_Adverse_Stress[[#This Row],[Revenue Per Loan]]-Severely_Adverse_Stress[[#This Row],[Funding Cost]]-Severely_Adverse_Stress[[#This Row],[ECL]]-Fixed_Cost[Fixed Cost]</f>
        <v>-1.0330289169081626</v>
      </c>
      <c r="AY20" s="130">
        <f>Base_Stress[[#This Row],[User Count(in M)]]</f>
        <v>1.1035087934421515</v>
      </c>
      <c r="AZ20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3.9369253923430563</v>
      </c>
      <c r="BA20" s="130">
        <f>Severely_Adverse_Stress[[#This Row],[Loan Count(in M)]]/Severely_Adverse_Stress[[#This Row],[User Count(in M)]]</f>
        <v>3.5676429727965182</v>
      </c>
      <c r="BB20" s="134">
        <f>Severely_Adverse_Stress[[#This Row],[Revenue Per Loan]]*Severely_Adverse_Stress[[#This Row],[Avg Loan Per User]]</f>
        <v>15.943099735721379</v>
      </c>
      <c r="BC20" s="134">
        <f>Severely_Adverse_Stress[[#This Row],[CM Per Loan]]*Severely_Adverse_Stress[[#This Row],[Avg Loan Per User]]</f>
        <v>-3.6854783561030047</v>
      </c>
      <c r="BD20" s="134">
        <f>Severely_Adverse_Stress[[#This Row],[CM Per User]]*Severely_Adverse_Stress[[#This Row],[User Count(in M)]]</f>
        <v>-4.0669577740003904</v>
      </c>
      <c r="BE20" s="134"/>
    </row>
    <row r="21" spans="1:57" x14ac:dyDescent="0.2">
      <c r="A21">
        <v>19</v>
      </c>
      <c r="B21" t="s">
        <v>30</v>
      </c>
      <c r="C21" s="9" t="s">
        <v>35</v>
      </c>
      <c r="D21" t="s">
        <v>61</v>
      </c>
      <c r="E21" s="65" cm="1">
        <f t="array" ref="E21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7.7000000000000011E-3</v>
      </c>
      <c r="F21" s="64">
        <f>VLOOKUP(Base_Stress[[#This Row],[Credit Category]],
  EAD_Table[#All],
  MATCH("EAD",EAD_Table[#Headers],0),
  FALSE)</f>
        <v>0.48749999999999999</v>
      </c>
      <c r="G21" s="98" cm="1">
        <f t="array" ref="G21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156.43888888888887</v>
      </c>
      <c r="H21" s="98">
        <f>Base_Stress[[#This Row],[ATS]]*INDEX(Portfolio_Stresser[[Base]:[Severely Adverse]],MATCH("MDR",Portfolio_Stresser[Scenario],0),MATCH("Base",Portfolio_Stresser[[#Headers],[Base]:[Severely Adverse]],0))</f>
        <v>7.8219444444444441</v>
      </c>
      <c r="I21" s="98" cm="1">
        <f t="array" ref="I21">Base_Stress[[#This Row],[ATS]]*INDEX(Portfolio_Stresser[[Base]:[Severely Adverse]],MATCH("Funding Rate",Portfolio_Stresser[Scenario],0),MATCH("Base",Portfolio_Stresser[[#Headers],[Base]:[Severely Adverse]],0))*Dynamic_Row_Table[Tenure (in months)]/12</f>
        <v>1.8577118055555555</v>
      </c>
      <c r="J21" s="98">
        <f>Base_Stress[[#This Row],[PD]]*Base_Stress[[#This Row],[ATS]]*Base_Stress[[#This Row],[EAD]]</f>
        <v>0.58723247916666665</v>
      </c>
      <c r="K21" s="98" cm="1">
        <f t="array" ref="K21">Base_Stress[[#This Row],[Revenue Per Loan]]-Base_Stress[[#This Row],[Funding Cost]]-Base_Stress[[#This Row],[ECL]]-Fixed_Cost[Fixed Cost]</f>
        <v>2.3770001597222219</v>
      </c>
      <c r="L21" s="10" cm="1">
        <f t="array" ref="L21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0.79202034924322051</v>
      </c>
      <c r="M21" s="10" cm="1">
        <f t="array" ref="M21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3.5712460522883402</v>
      </c>
      <c r="N21" s="10">
        <f>Base_Stress[[#This Row],[Loan Count(in M)]]/Base_Stress[[#This Row],[User Count(in M)]]</f>
        <v>4.5090332031250009</v>
      </c>
      <c r="O21" s="98">
        <f>Base_Stress[[#This Row],[Revenue Per Loan]]*Base_Stress[[#This Row],[Avg Loan Per User]]</f>
        <v>35.269407212999134</v>
      </c>
      <c r="P21" s="98">
        <f>Base_Stress[[#This Row],[CM Per Loan]]*Base_Stress[[#This Row],[Avg Loan Per User]]</f>
        <v>10.717972644020929</v>
      </c>
      <c r="Q21" s="98">
        <f>Base_Stress[[#This Row],[CM Per User]]*Base_Stress[[#This Row],[User Count(in M)]]</f>
        <v>8.4888524366967388</v>
      </c>
      <c r="R21" s="124">
        <f>Base_Stress[[#This Row],[CM Per Segment]]/SUM(Base_Stress[CM Per Segment])</f>
        <v>2.0492334595972717E-2</v>
      </c>
      <c r="S21" s="10"/>
      <c r="U21" s="73">
        <v>19</v>
      </c>
      <c r="V21" s="73" t="s">
        <v>30</v>
      </c>
      <c r="W21" s="73" t="s">
        <v>35</v>
      </c>
      <c r="X21" s="73" t="s">
        <v>61</v>
      </c>
      <c r="Y21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9.3373280000000024E-3</v>
      </c>
      <c r="Z21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0.50700000000000001</v>
      </c>
      <c r="AA21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142.67226666666662</v>
      </c>
      <c r="AB21" s="101">
        <f>Adverse_Stress[[#This Row],[ATS]]*INDEX(Portfolio_Stresser[[Base]:[Severely Adverse]],MATCH("MDR",Portfolio_Stresser[Scenario],0),MATCH("Adverse",Portfolio_Stresser[[#Headers],[Base]:[Severely Adverse]],0))</f>
        <v>6.7769326666666645</v>
      </c>
      <c r="AC21" s="101" cm="1">
        <f t="array" ref="AC21">Adverse_Stress[[#This Row],[ATS]]*INDEX(Portfolio_Stresser[[Base]:[Severely Adverse]],MATCH("Funding Rate",Portfolio_Stresser[Scenario],0),MATCH("Adverse",Portfolio_Stresser[[#Headers],[Base]:[Severely Adverse]],0))*Dynamic_Row_Table[Tenure (in months)]/12</f>
        <v>2.0063287499999993</v>
      </c>
      <c r="AD21" s="101">
        <f>Adverse_Stress[[#This Row],[PD]]*Adverse_Stress[[#This Row],[ATS]]*Adverse_Stress[[#This Row],[EAD]]</f>
        <v>0.67541411943765761</v>
      </c>
      <c r="AE21" s="101" cm="1">
        <f t="array" ref="AE21">Adverse_Stress[[#This Row],[Revenue Per Loan]]-Adverse_Stress[[#This Row],[Funding Cost]]-Adverse_Stress[[#This Row],[ECL]]-Fixed_Cost[Fixed Cost]</f>
        <v>1.0951897972290077</v>
      </c>
      <c r="AF21" s="72">
        <f>Base_Stress[[#This Row],[User Count(in M)]]</f>
        <v>0.79202034924322051</v>
      </c>
      <c r="AG21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2.9541347344529147</v>
      </c>
      <c r="AH21" s="72">
        <f>Adverse_Stress[[#This Row],[Loan Count(in M)]]/Adverse_Stress[[#This Row],[User Count(in M)]]</f>
        <v>3.7298722656250001</v>
      </c>
      <c r="AI21" s="101">
        <f>Adverse_Stress[[#This Row],[Revenue Per Loan]]*Adverse_Stress[[#This Row],[Avg Loan Per User]]</f>
        <v>25.277093199408064</v>
      </c>
      <c r="AJ21" s="101">
        <f>Adverse_Stress[[#This Row],[CM Per Loan]]*Adverse_Stress[[#This Row],[Avg Loan Per User]]</f>
        <v>4.0849180502799429</v>
      </c>
      <c r="AK21" s="101">
        <f>Adverse_Stress[[#This Row],[CM Per User]]*Adverse_Stress[[#This Row],[User Count(in M)]]</f>
        <v>3.2353382208126558</v>
      </c>
      <c r="AL21" s="145">
        <f>(Base_Stress[[#This Row],[CM Per Segment]]-Adverse_Stress[[#This Row],[CM Per Segment]])/($B$68-$B$69)</f>
        <v>9.9625811682772861E-3</v>
      </c>
      <c r="AN21" s="73">
        <v>19</v>
      </c>
      <c r="AO21" s="73" t="s">
        <v>30</v>
      </c>
      <c r="AP21" s="73" t="s">
        <v>35</v>
      </c>
      <c r="AQ21" s="73" t="s">
        <v>61</v>
      </c>
      <c r="AR21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1.1708928000000004E-2</v>
      </c>
      <c r="AS21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0.53625</v>
      </c>
      <c r="AT21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129.53139999999999</v>
      </c>
      <c r="AU21" s="101">
        <f>Severely_Adverse_Stress[[#This Row],[ATS]]*INDEX(Portfolio_Stresser[[Base]:[Severely Adverse]],MATCH("MDR",Portfolio_Stresser[Scenario],0),MATCH("Severely Adverse",Portfolio_Stresser[[#Headers],[Base]:[Severely Adverse]],0))</f>
        <v>5.8289129999999991</v>
      </c>
      <c r="AV21" s="72" cm="1">
        <f t="array" ref="AV21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2.1048852499999997</v>
      </c>
      <c r="AW21" s="72">
        <f>Severely_Adverse_Stress[[#This Row],[PD]]*Severely_Adverse_Stress[[#This Row],[ATS]]*Severely_Adverse_Stress[[#This Row],[EAD]]</f>
        <v>0.81331634473689629</v>
      </c>
      <c r="AX21" s="101" cm="1">
        <f t="array" ref="AX21">Severely_Adverse_Stress[[#This Row],[Revenue Per Loan]]-Severely_Adverse_Stress[[#This Row],[Funding Cost]]-Severely_Adverse_Stress[[#This Row],[ECL]]-Fixed_Cost[Fixed Cost]</f>
        <v>-8.9288594736896876E-2</v>
      </c>
      <c r="AY21" s="72">
        <f>Base_Stress[[#This Row],[User Count(in M)]]</f>
        <v>0.79202034924322051</v>
      </c>
      <c r="AZ21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2.6355795865887952</v>
      </c>
      <c r="BA21" s="72">
        <f>Severely_Adverse_Stress[[#This Row],[Loan Count(in M)]]/Severely_Adverse_Stress[[#This Row],[User Count(in M)]]</f>
        <v>3.3276665039062507</v>
      </c>
      <c r="BB21" s="101">
        <f>Severely_Adverse_Stress[[#This Row],[Revenue Per Loan]]*Severely_Adverse_Stress[[#This Row],[Avg Loan Per User]]</f>
        <v>19.396678544283692</v>
      </c>
      <c r="BC21" s="101">
        <f>Severely_Adverse_Stress[[#This Row],[CM Per Loan]]*Severely_Adverse_Stress[[#This Row],[Avg Loan Per User]]</f>
        <v>-0.29712266588683167</v>
      </c>
      <c r="BD21" s="101">
        <f>Severely_Adverse_Stress[[#This Row],[CM Per User]]*Severely_Adverse_Stress[[#This Row],[User Count(in M)]]</f>
        <v>-0.23532719760376514</v>
      </c>
      <c r="BE21" s="101"/>
    </row>
    <row r="22" spans="1:57" x14ac:dyDescent="0.2">
      <c r="A22">
        <v>20</v>
      </c>
      <c r="B22" t="s">
        <v>30</v>
      </c>
      <c r="C22" s="9" t="s">
        <v>35</v>
      </c>
      <c r="D22" t="s">
        <v>62</v>
      </c>
      <c r="E22" s="65" cm="1">
        <f t="array" ref="E22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8.8000000000000005E-3</v>
      </c>
      <c r="F22" s="64">
        <f>VLOOKUP(Base_Stress[[#This Row],[Credit Category]],
  EAD_Table[#All],
  MATCH("EAD",EAD_Table[#Headers],0),
  FALSE)</f>
        <v>0.4425</v>
      </c>
      <c r="G22" s="98" cm="1">
        <f t="array" ref="G22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193.33333333333331</v>
      </c>
      <c r="H22" s="98">
        <f>Base_Stress[[#This Row],[ATS]]*INDEX(Portfolio_Stresser[[Base]:[Severely Adverse]],MATCH("MDR",Portfolio_Stresser[Scenario],0),MATCH("Base",Portfolio_Stresser[[#Headers],[Base]:[Severely Adverse]],0))</f>
        <v>9.6666666666666661</v>
      </c>
      <c r="I22" s="98" cm="1">
        <f t="array" ref="I22">Base_Stress[[#This Row],[ATS]]*INDEX(Portfolio_Stresser[[Base]:[Severely Adverse]],MATCH("Funding Rate",Portfolio_Stresser[Scenario],0),MATCH("Base",Portfolio_Stresser[[#Headers],[Base]:[Severely Adverse]],0))*Dynamic_Row_Table[Tenure (in months)]/12</f>
        <v>2.2958333333333329</v>
      </c>
      <c r="J22" s="98">
        <f>Base_Stress[[#This Row],[PD]]*Base_Stress[[#This Row],[ATS]]*Base_Stress[[#This Row],[EAD]]</f>
        <v>0.75284000000000006</v>
      </c>
      <c r="K22" s="98" cm="1">
        <f t="array" ref="K22">Base_Stress[[#This Row],[Revenue Per Loan]]-Base_Stress[[#This Row],[Funding Cost]]-Base_Stress[[#This Row],[ECL]]-Fixed_Cost[Fixed Cost]</f>
        <v>3.6179933333333336</v>
      </c>
      <c r="L22" s="10" cm="1">
        <f t="array" ref="L22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0.28017028428076668</v>
      </c>
      <c r="M22" s="10" cm="1">
        <f t="array" ref="M22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1.0810783033392051</v>
      </c>
      <c r="N22" s="10">
        <f>Base_Stress[[#This Row],[Loan Count(in M)]]/Base_Stress[[#This Row],[User Count(in M)]]</f>
        <v>3.8586472727272727</v>
      </c>
      <c r="O22" s="98">
        <f>Base_Stress[[#This Row],[Revenue Per Loan]]*Base_Stress[[#This Row],[Avg Loan Per User]]</f>
        <v>37.300256969696967</v>
      </c>
      <c r="P22" s="98">
        <f>Base_Stress[[#This Row],[CM Per Loan]]*Base_Stress[[#This Row],[Avg Loan Per User]]</f>
        <v>13.960560108412123</v>
      </c>
      <c r="Q22" s="98">
        <f>Base_Stress[[#This Row],[CM Per User]]*Base_Stress[[#This Row],[User Count(in M)]]</f>
        <v>3.9113340942925552</v>
      </c>
      <c r="R22" s="124">
        <f>Base_Stress[[#This Row],[CM Per Segment]]/SUM(Base_Stress[CM Per Segment])</f>
        <v>9.4420733043238721E-3</v>
      </c>
      <c r="S22" s="10"/>
      <c r="U22" s="74">
        <v>20</v>
      </c>
      <c r="V22" s="74" t="s">
        <v>30</v>
      </c>
      <c r="W22" s="74" t="s">
        <v>35</v>
      </c>
      <c r="X22" s="74" t="s">
        <v>62</v>
      </c>
      <c r="Y22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1.0186176000000003E-2</v>
      </c>
      <c r="Z22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0.45135000000000003</v>
      </c>
      <c r="AA22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176.31999999999996</v>
      </c>
      <c r="AB22" s="134">
        <f>Adverse_Stress[[#This Row],[ATS]]*INDEX(Portfolio_Stresser[[Base]:[Severely Adverse]],MATCH("MDR",Portfolio_Stresser[Scenario],0),MATCH("Adverse",Portfolio_Stresser[[#Headers],[Base]:[Severely Adverse]],0))</f>
        <v>8.3751999999999978</v>
      </c>
      <c r="AC22" s="134" cm="1">
        <f t="array" ref="AC22">Adverse_Stress[[#This Row],[ATS]]*INDEX(Portfolio_Stresser[[Base]:[Severely Adverse]],MATCH("Funding Rate",Portfolio_Stresser[Scenario],0),MATCH("Adverse",Portfolio_Stresser[[#Headers],[Base]:[Severely Adverse]],0))*Dynamic_Row_Table[Tenure (in months)]/12</f>
        <v>2.4794999999999994</v>
      </c>
      <c r="AD22" s="134">
        <f>Adverse_Stress[[#This Row],[PD]]*Adverse_Stress[[#This Row],[ATS]]*Adverse_Stress[[#This Row],[EAD]]</f>
        <v>0.81063658438963215</v>
      </c>
      <c r="AE22" s="134" cm="1">
        <f t="array" ref="AE22">Adverse_Stress[[#This Row],[Revenue Per Loan]]-Adverse_Stress[[#This Row],[Funding Cost]]-Adverse_Stress[[#This Row],[ECL]]-Fixed_Cost[Fixed Cost]</f>
        <v>2.0850634156103656</v>
      </c>
      <c r="AF22" s="130">
        <f>Base_Stress[[#This Row],[User Count(in M)]]</f>
        <v>0.28017028428076668</v>
      </c>
      <c r="AG22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0.89426797252219026</v>
      </c>
      <c r="AH22" s="130">
        <f>Adverse_Stress[[#This Row],[Loan Count(in M)]]/Adverse_Stress[[#This Row],[User Count(in M)]]</f>
        <v>3.1918730239999995</v>
      </c>
      <c r="AI22" s="134">
        <f>Adverse_Stress[[#This Row],[Revenue Per Loan]]*Adverse_Stress[[#This Row],[Avg Loan Per User]]</f>
        <v>26.732574950604789</v>
      </c>
      <c r="AJ22" s="134">
        <f>Adverse_Stress[[#This Row],[CM Per Loan]]*Adverse_Stress[[#This Row],[Avg Loan Per User]]</f>
        <v>6.6552576696160255</v>
      </c>
      <c r="AK22" s="134">
        <f>Adverse_Stress[[#This Row],[CM Per User]]*Adverse_Stress[[#This Row],[User Count(in M)]]</f>
        <v>1.8646054332580746</v>
      </c>
      <c r="AL22" s="144">
        <f>(Base_Stress[[#This Row],[CM Per Segment]]-Adverse_Stress[[#This Row],[CM Per Segment]])/($B$68-$B$69)</f>
        <v>3.8813448630906707E-3</v>
      </c>
      <c r="AN22" s="74">
        <v>20</v>
      </c>
      <c r="AO22" s="74" t="s">
        <v>30</v>
      </c>
      <c r="AP22" s="74" t="s">
        <v>35</v>
      </c>
      <c r="AQ22" s="74" t="s">
        <v>62</v>
      </c>
      <c r="AR22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1.2022560000000002E-2</v>
      </c>
      <c r="AS22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0.46462500000000001</v>
      </c>
      <c r="AT22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160.07999999999998</v>
      </c>
      <c r="AU22" s="134">
        <f>Severely_Adverse_Stress[[#This Row],[ATS]]*INDEX(Portfolio_Stresser[[Base]:[Severely Adverse]],MATCH("MDR",Portfolio_Stresser[Scenario],0),MATCH("Severely Adverse",Portfolio_Stresser[[#Headers],[Base]:[Severely Adverse]],0))</f>
        <v>7.2035999999999989</v>
      </c>
      <c r="AV22" s="130" cm="1">
        <f t="array" ref="AV22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2.6012999999999997</v>
      </c>
      <c r="AW22" s="130">
        <f>Severely_Adverse_Stress[[#This Row],[PD]]*Severely_Adverse_Stress[[#This Row],[ATS]]*Severely_Adverse_Stress[[#This Row],[EAD]]</f>
        <v>0.89420398895520004</v>
      </c>
      <c r="AX22" s="134" cm="1">
        <f t="array" ref="AX22">Severely_Adverse_Stress[[#This Row],[Revenue Per Loan]]-Severely_Adverse_Stress[[#This Row],[Funding Cost]]-Severely_Adverse_Stress[[#This Row],[ECL]]-Fixed_Cost[Fixed Cost]</f>
        <v>0.70809601104479958</v>
      </c>
      <c r="AY22" s="130">
        <f>Base_Stress[[#This Row],[User Count(in M)]]</f>
        <v>0.28017028428076668</v>
      </c>
      <c r="AZ22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0.79783578786433329</v>
      </c>
      <c r="BA22" s="130">
        <f>Severely_Adverse_Stress[[#This Row],[Loan Count(in M)]]/Severely_Adverse_Stress[[#This Row],[User Count(in M)]]</f>
        <v>2.8476816872727273</v>
      </c>
      <c r="BB22" s="134">
        <f>Severely_Adverse_Stress[[#This Row],[Revenue Per Loan]]*Severely_Adverse_Stress[[#This Row],[Avg Loan Per User]]</f>
        <v>20.513559802437815</v>
      </c>
      <c r="BC22" s="134">
        <f>Severely_Adverse_Stress[[#This Row],[CM Per Loan]]*Severely_Adverse_Stress[[#This Row],[Avg Loan Per User]]</f>
        <v>2.0164320434831424</v>
      </c>
      <c r="BD22" s="134">
        <f>Severely_Adverse_Stress[[#This Row],[CM Per User]]*Severely_Adverse_Stress[[#This Row],[User Count(in M)]]</f>
        <v>0.56494433885551931</v>
      </c>
      <c r="BE22" s="134"/>
    </row>
    <row r="23" spans="1:57" x14ac:dyDescent="0.2">
      <c r="A23">
        <v>21</v>
      </c>
      <c r="B23" t="s">
        <v>30</v>
      </c>
      <c r="C23" s="9" t="s">
        <v>36</v>
      </c>
      <c r="D23" t="s">
        <v>58</v>
      </c>
      <c r="E23" s="65" cm="1">
        <f t="array" ref="E23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3.6400000000000002E-2</v>
      </c>
      <c r="F23" s="64">
        <f>VLOOKUP(Base_Stress[[#This Row],[Credit Category]],
  EAD_Table[#All],
  MATCH("EAD",EAD_Table[#Headers],0),
  FALSE)</f>
        <v>0.63750000000000007</v>
      </c>
      <c r="G23" s="98" cm="1">
        <f t="array" ref="G23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99.071825396825389</v>
      </c>
      <c r="H23" s="98">
        <f>Base_Stress[[#This Row],[ATS]]*INDEX(Portfolio_Stresser[[Base]:[Severely Adverse]],MATCH("MDR",Portfolio_Stresser[Scenario],0),MATCH("Base",Portfolio_Stresser[[#Headers],[Base]:[Severely Adverse]],0))</f>
        <v>4.9535912698412696</v>
      </c>
      <c r="I23" s="98" cm="1">
        <f t="array" ref="I23">Base_Stress[[#This Row],[ATS]]*INDEX(Portfolio_Stresser[[Base]:[Severely Adverse]],MATCH("Funding Rate",Portfolio_Stresser[Scenario],0),MATCH("Base",Portfolio_Stresser[[#Headers],[Base]:[Severely Adverse]],0))*Dynamic_Row_Table[Tenure (in months)]/12</f>
        <v>1.1764779265873015</v>
      </c>
      <c r="J23" s="98">
        <f>Base_Stress[[#This Row],[PD]]*Base_Stress[[#This Row],[ATS]]*Base_Stress[[#This Row],[EAD]]</f>
        <v>2.2989617083333336</v>
      </c>
      <c r="K23" s="98" cm="1">
        <f t="array" ref="K23">Base_Stress[[#This Row],[Revenue Per Loan]]-Base_Stress[[#This Row],[Funding Cost]]-Base_Stress[[#This Row],[ECL]]-Fixed_Cost[Fixed Cost]</f>
        <v>-1.5218483650793653</v>
      </c>
      <c r="L23" s="10" cm="1">
        <f t="array" ref="L23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0.70024659954231205</v>
      </c>
      <c r="M23" s="10" cm="1">
        <f t="array" ref="M23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9.2092688763252628</v>
      </c>
      <c r="N23" s="10">
        <f>Base_Stress[[#This Row],[Loan Count(in M)]]/Base_Stress[[#This Row],[User Count(in M)]]</f>
        <v>13.151465329991648</v>
      </c>
      <c r="O23" s="98">
        <f>Base_Stress[[#This Row],[Revenue Per Loan]]*Base_Stress[[#This Row],[Avg Loan Per User]]</f>
        <v>65.146983844266757</v>
      </c>
      <c r="P23" s="98">
        <f>Base_Stress[[#This Row],[CM Per Loan]]*Base_Stress[[#This Row],[Avg Loan Per User]]</f>
        <v>-20.014536010845745</v>
      </c>
      <c r="Q23" s="98">
        <f>Base_Stress[[#This Row],[CM Per User]]*Base_Stress[[#This Row],[User Count(in M)]]</f>
        <v>-14.015110783011885</v>
      </c>
      <c r="R23" s="124">
        <f>Base_Stress[[#This Row],[CM Per Segment]]/SUM(Base_Stress[CM Per Segment])</f>
        <v>-3.3832881618197093E-2</v>
      </c>
      <c r="S23" s="10"/>
      <c r="U23" s="73">
        <v>21</v>
      </c>
      <c r="V23" s="73" t="s">
        <v>30</v>
      </c>
      <c r="W23" s="73" t="s">
        <v>36</v>
      </c>
      <c r="X23" s="73" t="s">
        <v>58</v>
      </c>
      <c r="Y23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5.6537936000000004E-2</v>
      </c>
      <c r="Z23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0.73312500000000003</v>
      </c>
      <c r="AA23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88.451325714285716</v>
      </c>
      <c r="AB23" s="101">
        <f>Adverse_Stress[[#This Row],[ATS]]*INDEX(Portfolio_Stresser[[Base]:[Severely Adverse]],MATCH("MDR",Portfolio_Stresser[Scenario],0),MATCH("Adverse",Portfolio_Stresser[[#Headers],[Base]:[Severely Adverse]],0))</f>
        <v>4.2014379714285717</v>
      </c>
      <c r="AC23" s="101" cm="1">
        <f t="array" ref="AC23">Adverse_Stress[[#This Row],[ATS]]*INDEX(Portfolio_Stresser[[Base]:[Severely Adverse]],MATCH("Funding Rate",Portfolio_Stresser[Scenario],0),MATCH("Adverse",Portfolio_Stresser[[#Headers],[Base]:[Severely Adverse]],0))*Dynamic_Row_Table[Tenure (in months)]/12</f>
        <v>1.243846767857143</v>
      </c>
      <c r="AD23" s="101">
        <f>Adverse_Stress[[#This Row],[PD]]*Adverse_Stress[[#This Row],[ATS]]*Adverse_Stress[[#This Row],[EAD]]</f>
        <v>3.6662521095161837</v>
      </c>
      <c r="AE23" s="101" cm="1">
        <f t="array" ref="AE23">Adverse_Stress[[#This Row],[Revenue Per Loan]]-Adverse_Stress[[#This Row],[Funding Cost]]-Adverse_Stress[[#This Row],[ECL]]-Fixed_Cost[Fixed Cost]</f>
        <v>-3.7086609059447548</v>
      </c>
      <c r="AF23" s="72">
        <f>Base_Stress[[#This Row],[User Count(in M)]]</f>
        <v>0.70024659954231205</v>
      </c>
      <c r="AG23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8.0507428516835446</v>
      </c>
      <c r="AH23" s="72">
        <f>Adverse_Stress[[#This Row],[Loan Count(in M)]]/Adverse_Stress[[#This Row],[User Count(in M)]]</f>
        <v>11.4970109914787</v>
      </c>
      <c r="AI23" s="101">
        <f>Adverse_Stress[[#This Row],[Revenue Per Loan]]*Adverse_Stress[[#This Row],[Avg Loan Per User]]</f>
        <v>48.303978537530256</v>
      </c>
      <c r="AJ23" s="101">
        <f>Adverse_Stress[[#This Row],[CM Per Loan]]*Adverse_Stress[[#This Row],[Avg Loan Per User]]</f>
        <v>-42.638515199314199</v>
      </c>
      <c r="AK23" s="101">
        <f>Adverse_Stress[[#This Row],[CM Per User]]*Adverse_Stress[[#This Row],[User Count(in M)]]</f>
        <v>-29.857475277852956</v>
      </c>
      <c r="AL23" s="145">
        <f>(Base_Stress[[#This Row],[CM Per Segment]]-Adverse_Stress[[#This Row],[CM Per Segment]])/($B$68-$B$69)</f>
        <v>3.0042907602702267E-2</v>
      </c>
      <c r="AN23" s="73">
        <v>21</v>
      </c>
      <c r="AO23" s="73" t="s">
        <v>30</v>
      </c>
      <c r="AP23" s="73" t="s">
        <v>36</v>
      </c>
      <c r="AQ23" s="73" t="s">
        <v>58</v>
      </c>
      <c r="AR23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8.0668224000000011E-2</v>
      </c>
      <c r="AS23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0.75</v>
      </c>
      <c r="AT23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80.208549841269843</v>
      </c>
      <c r="AU23" s="101">
        <f>Severely_Adverse_Stress[[#This Row],[ATS]]*INDEX(Portfolio_Stresser[[Base]:[Severely Adverse]],MATCH("MDR",Portfolio_Stresser[Scenario],0),MATCH("Severely Adverse",Portfolio_Stresser[[#Headers],[Base]:[Severely Adverse]],0))</f>
        <v>3.6093847428571428</v>
      </c>
      <c r="AV23" s="72" cm="1">
        <f t="array" ref="AV23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1.3033889349206349</v>
      </c>
      <c r="AW23" s="72">
        <f>Severely_Adverse_Stress[[#This Row],[PD]]*Severely_Adverse_Stress[[#This Row],[ATS]]*Severely_Adverse_Stress[[#This Row],[EAD]]</f>
        <v>4.8527109489830407</v>
      </c>
      <c r="AX23" s="101" cm="1">
        <f t="array" ref="AX23">Severely_Adverse_Stress[[#This Row],[Revenue Per Loan]]-Severely_Adverse_Stress[[#This Row],[Funding Cost]]-Severely_Adverse_Stress[[#This Row],[ECL]]-Fixed_Cost[Fixed Cost]</f>
        <v>-5.5467151410465325</v>
      </c>
      <c r="AY23" s="72">
        <f>Base_Stress[[#This Row],[User Count(in M)]]</f>
        <v>0.70024659954231205</v>
      </c>
      <c r="AZ23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7.0450906903888262</v>
      </c>
      <c r="BA23" s="72">
        <f>Severely_Adverse_Stress[[#This Row],[Loan Count(in M)]]/Severely_Adverse_Stress[[#This Row],[User Count(in M)]]</f>
        <v>10.060870977443612</v>
      </c>
      <c r="BB23" s="101">
        <f>Severely_Adverse_Stress[[#This Row],[Revenue Per Loan]]*Severely_Adverse_Stress[[#This Row],[Avg Loan Per User]]</f>
        <v>36.313554205839203</v>
      </c>
      <c r="BC23" s="101">
        <f>Severely_Adverse_Stress[[#This Row],[CM Per Loan]]*Severely_Adverse_Stress[[#This Row],[Avg Loan Per User]]</f>
        <v>-55.804785382702107</v>
      </c>
      <c r="BD23" s="101">
        <f>Severely_Adverse_Stress[[#This Row],[CM Per User]]*Severely_Adverse_Stress[[#This Row],[User Count(in M)]]</f>
        <v>-39.077111202425669</v>
      </c>
      <c r="BE23" s="101"/>
    </row>
    <row r="24" spans="1:57" x14ac:dyDescent="0.2">
      <c r="A24">
        <v>22</v>
      </c>
      <c r="B24" t="s">
        <v>30</v>
      </c>
      <c r="C24" s="9" t="s">
        <v>36</v>
      </c>
      <c r="D24" t="s">
        <v>83</v>
      </c>
      <c r="E24" s="65" cm="1">
        <f t="array" ref="E24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1.1440000000000001E-2</v>
      </c>
      <c r="F24" s="64">
        <f>VLOOKUP(Base_Stress[[#This Row],[Credit Category]],
  EAD_Table[#All],
  MATCH("EAD",EAD_Table[#Headers],0),
  FALSE)</f>
        <v>0.5625</v>
      </c>
      <c r="G24" s="98" cm="1">
        <f t="array" ref="G24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130.36190476190475</v>
      </c>
      <c r="H24" s="98">
        <f>Base_Stress[[#This Row],[ATS]]*INDEX(Portfolio_Stresser[[Base]:[Severely Adverse]],MATCH("MDR",Portfolio_Stresser[Scenario],0),MATCH("Base",Portfolio_Stresser[[#Headers],[Base]:[Severely Adverse]],0))</f>
        <v>6.5180952380952384</v>
      </c>
      <c r="I24" s="98" cm="1">
        <f t="array" ref="I24">Base_Stress[[#This Row],[ATS]]*INDEX(Portfolio_Stresser[[Base]:[Severely Adverse]],MATCH("Funding Rate",Portfolio_Stresser[Scenario],0),MATCH("Base",Portfolio_Stresser[[#Headers],[Base]:[Severely Adverse]],0))*Dynamic_Row_Table[Tenure (in months)]/12</f>
        <v>1.5480476190476189</v>
      </c>
      <c r="J24" s="98">
        <f>Base_Stress[[#This Row],[PD]]*Base_Stress[[#This Row],[ATS]]*Base_Stress[[#This Row],[EAD]]</f>
        <v>0.83887885714285715</v>
      </c>
      <c r="K24" s="98" cm="1">
        <f t="array" ref="K24">Base_Stress[[#This Row],[Revenue Per Loan]]-Base_Stress[[#This Row],[Funding Cost]]-Base_Stress[[#This Row],[ECL]]-Fixed_Cost[Fixed Cost]</f>
        <v>1.1311687619047621</v>
      </c>
      <c r="L24" s="10" cm="1">
        <f t="array" ref="L24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1.1725492630847212</v>
      </c>
      <c r="M24" s="10" cm="1">
        <f t="array" ref="M24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5.5156973522739223</v>
      </c>
      <c r="N24" s="10">
        <f>Base_Stress[[#This Row],[Loan Count(in M)]]/Base_Stress[[#This Row],[User Count(in M)]]</f>
        <v>4.7040218487394947</v>
      </c>
      <c r="O24" s="98">
        <f>Base_Stress[[#This Row],[Revenue Per Loan]]*Base_Stress[[#This Row],[Avg Loan Per User]]</f>
        <v>30.661262412164859</v>
      </c>
      <c r="P24" s="98">
        <f>Base_Stress[[#This Row],[CM Per Loan]]*Base_Stress[[#This Row],[Avg Loan Per User]]</f>
        <v>5.3210425706116045</v>
      </c>
      <c r="Q24" s="98">
        <f>Base_Stress[[#This Row],[CM Per User]]*Base_Stress[[#This Row],[User Count(in M)]]</f>
        <v>6.2391845450130674</v>
      </c>
      <c r="R24" s="124">
        <f>Base_Stress[[#This Row],[CM Per Segment]]/SUM(Base_Stress[CM Per Segment])</f>
        <v>1.5061571426276538E-2</v>
      </c>
      <c r="S24" s="10"/>
      <c r="U24" s="74">
        <v>22</v>
      </c>
      <c r="V24" s="74" t="s">
        <v>30</v>
      </c>
      <c r="W24" s="74" t="s">
        <v>36</v>
      </c>
      <c r="X24" s="74" t="s">
        <v>83</v>
      </c>
      <c r="Y24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1.5930886400000004E-2</v>
      </c>
      <c r="Z24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0.61875000000000002</v>
      </c>
      <c r="AA24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116.38710857142857</v>
      </c>
      <c r="AB24" s="134">
        <f>Adverse_Stress[[#This Row],[ATS]]*INDEX(Portfolio_Stresser[[Base]:[Severely Adverse]],MATCH("MDR",Portfolio_Stresser[Scenario],0),MATCH("Adverse",Portfolio_Stresser[[#Headers],[Base]:[Severely Adverse]],0))</f>
        <v>5.528387657142857</v>
      </c>
      <c r="AC24" s="134" cm="1">
        <f t="array" ref="AC24">Adverse_Stress[[#This Row],[ATS]]*INDEX(Portfolio_Stresser[[Base]:[Severely Adverse]],MATCH("Funding Rate",Portfolio_Stresser[Scenario],0),MATCH("Adverse",Portfolio_Stresser[[#Headers],[Base]:[Severely Adverse]],0))*Dynamic_Row_Table[Tenure (in months)]/12</f>
        <v>1.6366937142857143</v>
      </c>
      <c r="AD24" s="134">
        <f>Adverse_Stress[[#This Row],[PD]]*Adverse_Stress[[#This Row],[ATS]]*Adverse_Stress[[#This Row],[EAD]]</f>
        <v>1.1472551918907103</v>
      </c>
      <c r="AE24" s="134" cm="1">
        <f t="array" ref="AE24">Adverse_Stress[[#This Row],[Revenue Per Loan]]-Adverse_Stress[[#This Row],[Funding Cost]]-Adverse_Stress[[#This Row],[ECL]]-Fixed_Cost[Fixed Cost]</f>
        <v>-0.25556124903356769</v>
      </c>
      <c r="AF24" s="130">
        <f>Base_Stress[[#This Row],[User Count(in M)]]</f>
        <v>1.1725492630847212</v>
      </c>
      <c r="AG24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4.8218226253578633</v>
      </c>
      <c r="AH24" s="130">
        <f>Adverse_Stress[[#This Row],[Loan Count(in M)]]/Adverse_Stress[[#This Row],[User Count(in M)]]</f>
        <v>4.1122559001680665</v>
      </c>
      <c r="AI24" s="134">
        <f>Adverse_Stress[[#This Row],[Revenue Per Loan]]*Adverse_Stress[[#This Row],[Avg Loan Per User]]</f>
        <v>22.734144761502026</v>
      </c>
      <c r="AJ24" s="134">
        <f>Adverse_Stress[[#This Row],[CM Per Loan]]*Adverse_Stress[[#This Row],[Avg Loan Per User]]</f>
        <v>-1.0509332541926093</v>
      </c>
      <c r="AK24" s="134">
        <f>Adverse_Stress[[#This Row],[CM Per User]]*Adverse_Stress[[#This Row],[User Count(in M)]]</f>
        <v>-1.232271012754772</v>
      </c>
      <c r="AL24" s="144">
        <f>(Base_Stress[[#This Row],[CM Per Segment]]-Adverse_Stress[[#This Row],[CM Per Segment]])/($B$68-$B$69)</f>
        <v>1.4168607789122033E-2</v>
      </c>
      <c r="AN24" s="74">
        <v>22</v>
      </c>
      <c r="AO24" s="74" t="s">
        <v>30</v>
      </c>
      <c r="AP24" s="74" t="s">
        <v>36</v>
      </c>
      <c r="AQ24" s="74" t="s">
        <v>83</v>
      </c>
      <c r="AR24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2.2016966400000001E-2</v>
      </c>
      <c r="AS24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0.65812499999999996</v>
      </c>
      <c r="AT24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105.54099809523809</v>
      </c>
      <c r="AU24" s="134">
        <f>Severely_Adverse_Stress[[#This Row],[ATS]]*INDEX(Portfolio_Stresser[[Base]:[Severely Adverse]],MATCH("MDR",Portfolio_Stresser[Scenario],0),MATCH("Severely Adverse",Portfolio_Stresser[[#Headers],[Base]:[Severely Adverse]],0))</f>
        <v>4.7493449142857145</v>
      </c>
      <c r="AV24" s="130" cm="1">
        <f t="array" ref="AV24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1.7150412190476192</v>
      </c>
      <c r="AW24" s="130">
        <f>Severely_Adverse_Stress[[#This Row],[PD]]*Severely_Adverse_Stress[[#This Row],[ATS]]*Severely_Adverse_Stress[[#This Row],[EAD]]</f>
        <v>1.5292801982226518</v>
      </c>
      <c r="AX24" s="134" cm="1">
        <f t="array" ref="AX24">Severely_Adverse_Stress[[#This Row],[Revenue Per Loan]]-Severely_Adverse_Stress[[#This Row],[Funding Cost]]-Severely_Adverse_Stress[[#This Row],[ECL]]-Fixed_Cost[Fixed Cost]</f>
        <v>-1.4949765029845568</v>
      </c>
      <c r="AY24" s="130">
        <f>Base_Stress[[#This Row],[User Count(in M)]]</f>
        <v>1.1725492630847212</v>
      </c>
      <c r="AZ24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4.2195084744895501</v>
      </c>
      <c r="BA24" s="130">
        <f>Severely_Adverse_Stress[[#This Row],[Loan Count(in M)]]/Severely_Adverse_Stress[[#This Row],[User Count(in M)]]</f>
        <v>3.5985767142857132</v>
      </c>
      <c r="BB24" s="134">
        <f>Severely_Adverse_Stress[[#This Row],[Revenue Per Loan]]*Severely_Adverse_Stress[[#This Row],[Avg Loan Per User]]</f>
        <v>17.090882016659847</v>
      </c>
      <c r="BC24" s="134">
        <f>Severely_Adverse_Stress[[#This Row],[CM Per Loan]]*Severely_Adverse_Stress[[#This Row],[Avg Loan Per User]]</f>
        <v>-5.3797876320445122</v>
      </c>
      <c r="BD24" s="134">
        <f>Severely_Adverse_Stress[[#This Row],[CM Per User]]*Severely_Adverse_Stress[[#This Row],[User Count(in M)]]</f>
        <v>-6.3080660235060897</v>
      </c>
      <c r="BE24" s="134"/>
    </row>
    <row r="25" spans="1:57" x14ac:dyDescent="0.2">
      <c r="A25">
        <v>23</v>
      </c>
      <c r="B25" t="s">
        <v>30</v>
      </c>
      <c r="C25" s="9" t="s">
        <v>36</v>
      </c>
      <c r="D25" t="s">
        <v>60</v>
      </c>
      <c r="E25" s="65" cm="1">
        <f t="array" ref="E25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8.320000000000001E-3</v>
      </c>
      <c r="F25" s="64">
        <f>VLOOKUP(Base_Stress[[#This Row],[Credit Category]],
  EAD_Table[#All],
  MATCH("EAD",EAD_Table[#Headers],0),
  FALSE)</f>
        <v>0.51749999999999996</v>
      </c>
      <c r="G25" s="98" cm="1">
        <f t="array" ref="G25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187.72896825396825</v>
      </c>
      <c r="H25" s="98">
        <f>Base_Stress[[#This Row],[ATS]]*INDEX(Portfolio_Stresser[[Base]:[Severely Adverse]],MATCH("MDR",Portfolio_Stresser[Scenario],0),MATCH("Base",Portfolio_Stresser[[#Headers],[Base]:[Severely Adverse]],0))</f>
        <v>9.386448412698412</v>
      </c>
      <c r="I25" s="98" cm="1">
        <f t="array" ref="I25">Base_Stress[[#This Row],[ATS]]*INDEX(Portfolio_Stresser[[Base]:[Severely Adverse]],MATCH("Funding Rate",Portfolio_Stresser[Scenario],0),MATCH("Base",Portfolio_Stresser[[#Headers],[Base]:[Severely Adverse]],0))*Dynamic_Row_Table[Tenure (in months)]/12</f>
        <v>2.2292814980158728</v>
      </c>
      <c r="J25" s="98">
        <f>Base_Stress[[#This Row],[PD]]*Base_Stress[[#This Row],[ATS]]*Base_Stress[[#This Row],[EAD]]</f>
        <v>0.80828584571428574</v>
      </c>
      <c r="K25" s="98" cm="1">
        <f t="array" ref="K25">Base_Stress[[#This Row],[Revenue Per Loan]]-Base_Stress[[#This Row],[Funding Cost]]-Base_Stress[[#This Row],[ECL]]-Fixed_Cost[Fixed Cost]</f>
        <v>3.3488810689682538</v>
      </c>
      <c r="L25" s="10" cm="1">
        <f t="array" ref="L25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1.6693928432002287</v>
      </c>
      <c r="M25" s="10" cm="1">
        <f t="array" ref="M25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8.0701865120326506</v>
      </c>
      <c r="N25" s="10">
        <f>Base_Stress[[#This Row],[Loan Count(in M)]]/Base_Stress[[#This Row],[User Count(in M)]]</f>
        <v>4.8342045701849843</v>
      </c>
      <c r="O25" s="98">
        <f>Base_Stress[[#This Row],[Revenue Per Loan]]*Base_Stress[[#This Row],[Avg Loan Per User]]</f>
        <v>45.376011814472257</v>
      </c>
      <c r="P25" s="98">
        <f>Base_Stress[[#This Row],[CM Per Loan]]*Base_Stress[[#This Row],[Avg Loan Per User]]</f>
        <v>16.18917616861231</v>
      </c>
      <c r="Q25" s="98">
        <f>Base_Stress[[#This Row],[CM Per User]]*Base_Stress[[#This Row],[User Count(in M)]]</f>
        <v>27.026094833189088</v>
      </c>
      <c r="R25" s="124">
        <f>Base_Stress[[#This Row],[CM Per Segment]]/SUM(Base_Stress[CM Per Segment])</f>
        <v>6.5241772344874313E-2</v>
      </c>
      <c r="S25" s="10"/>
      <c r="U25" s="73">
        <v>23</v>
      </c>
      <c r="V25" s="73" t="s">
        <v>30</v>
      </c>
      <c r="W25" s="73" t="s">
        <v>36</v>
      </c>
      <c r="X25" s="73" t="s">
        <v>60</v>
      </c>
      <c r="Y25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1.0516613120000002E-2</v>
      </c>
      <c r="Z25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0.55372500000000002</v>
      </c>
      <c r="AA25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167.60442285714285</v>
      </c>
      <c r="AB25" s="101">
        <f>Adverse_Stress[[#This Row],[ATS]]*INDEX(Portfolio_Stresser[[Base]:[Severely Adverse]],MATCH("MDR",Portfolio_Stresser[Scenario],0),MATCH("Adverse",Portfolio_Stresser[[#Headers],[Base]:[Severely Adverse]],0))</f>
        <v>7.9612100857142858</v>
      </c>
      <c r="AC25" s="101" cm="1">
        <f t="array" ref="AC25">Adverse_Stress[[#This Row],[ATS]]*INDEX(Portfolio_Stresser[[Base]:[Severely Adverse]],MATCH("Funding Rate",Portfolio_Stresser[Scenario],0),MATCH("Adverse",Portfolio_Stresser[[#Headers],[Base]:[Severely Adverse]],0))*Dynamic_Row_Table[Tenure (in months)]/12</f>
        <v>2.3569371964285715</v>
      </c>
      <c r="AD25" s="101">
        <f>Adverse_Stress[[#This Row],[PD]]*Adverse_Stress[[#This Row],[ATS]]*Adverse_Stress[[#This Row],[EAD]]</f>
        <v>0.97601277981385204</v>
      </c>
      <c r="AE25" s="101" cm="1">
        <f t="array" ref="AE25">Adverse_Stress[[#This Row],[Revenue Per Loan]]-Adverse_Stress[[#This Row],[Funding Cost]]-Adverse_Stress[[#This Row],[ECL]]-Fixed_Cost[Fixed Cost]</f>
        <v>1.6282601094718618</v>
      </c>
      <c r="AF25" s="72">
        <f>Base_Stress[[#This Row],[User Count(in M)]]</f>
        <v>1.6693928432002287</v>
      </c>
      <c r="AG25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7.0549570488189435</v>
      </c>
      <c r="AH25" s="72">
        <f>Adverse_Stress[[#This Row],[Loan Count(in M)]]/Adverse_Stress[[#This Row],[User Count(in M)]]</f>
        <v>4.2260616352557134</v>
      </c>
      <c r="AI25" s="101">
        <f>Adverse_Stress[[#This Row],[Revenue Per Loan]]*Adverse_Stress[[#This Row],[Avg Loan Per User]]</f>
        <v>33.644564513447996</v>
      </c>
      <c r="AJ25" s="101">
        <f>Adverse_Stress[[#This Row],[CM Per Loan]]*Adverse_Stress[[#This Row],[Avg Loan Per User]]</f>
        <v>6.8811275808563037</v>
      </c>
      <c r="AK25" s="101">
        <f>Adverse_Stress[[#This Row],[CM Per User]]*Adverse_Stress[[#This Row],[User Count(in M)]]</f>
        <v>11.487305136629217</v>
      </c>
      <c r="AL25" s="145">
        <f>(Base_Stress[[#This Row],[CM Per Segment]]-Adverse_Stress[[#This Row],[CM Per Segment]])/($B$68-$B$69)</f>
        <v>2.9467218940934573E-2</v>
      </c>
      <c r="AN25" s="73">
        <v>23</v>
      </c>
      <c r="AO25" s="73" t="s">
        <v>30</v>
      </c>
      <c r="AP25" s="73" t="s">
        <v>36</v>
      </c>
      <c r="AQ25" s="73" t="s">
        <v>60</v>
      </c>
      <c r="AR25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1.4071449600000004E-2</v>
      </c>
      <c r="AS25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0.58994999999999986</v>
      </c>
      <c r="AT25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151.9853726984127</v>
      </c>
      <c r="AU25" s="101">
        <f>Severely_Adverse_Stress[[#This Row],[ATS]]*INDEX(Portfolio_Stresser[[Base]:[Severely Adverse]],MATCH("MDR",Portfolio_Stresser[Scenario],0),MATCH("Severely Adverse",Portfolio_Stresser[[#Headers],[Base]:[Severely Adverse]],0))</f>
        <v>6.8393417714285718</v>
      </c>
      <c r="AV25" s="72" cm="1">
        <f t="array" ref="AV25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2.4697623063492067</v>
      </c>
      <c r="AW25" s="72">
        <f>Severely_Adverse_Stress[[#This Row],[PD]]*Severely_Adverse_Stress[[#This Row],[ATS]]*Severely_Adverse_Stress[[#This Row],[EAD]]</f>
        <v>1.2616992292735358</v>
      </c>
      <c r="AX25" s="101" cm="1">
        <f t="array" ref="AX25">Severely_Adverse_Stress[[#This Row],[Revenue Per Loan]]-Severely_Adverse_Stress[[#This Row],[Funding Cost]]-Severely_Adverse_Stress[[#This Row],[ECL]]-Fixed_Cost[Fixed Cost]</f>
        <v>0.10788023580582928</v>
      </c>
      <c r="AY25" s="72">
        <f>Base_Stress[[#This Row],[User Count(in M)]]</f>
        <v>1.6693928432002287</v>
      </c>
      <c r="AZ25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6.1736926817049778</v>
      </c>
      <c r="BA25" s="72">
        <f>Severely_Adverse_Stress[[#This Row],[Loan Count(in M)]]/Severely_Adverse_Stress[[#This Row],[User Count(in M)]]</f>
        <v>3.6981664961915128</v>
      </c>
      <c r="BB25" s="101">
        <f>Severely_Adverse_Stress[[#This Row],[Revenue Per Loan]]*Severely_Adverse_Stress[[#This Row],[Avg Loan Per User]]</f>
        <v>25.293024595100256</v>
      </c>
      <c r="BC25" s="101">
        <f>Severely_Adverse_Stress[[#This Row],[CM Per Loan]]*Severely_Adverse_Stress[[#This Row],[Avg Loan Per User]]</f>
        <v>0.39895907365835787</v>
      </c>
      <c r="BD25" s="101">
        <f>Severely_Adverse_Stress[[#This Row],[CM Per User]]*Severely_Adverse_Stress[[#This Row],[User Count(in M)]]</f>
        <v>0.66601942229505551</v>
      </c>
      <c r="BE25" s="101"/>
    </row>
    <row r="26" spans="1:57" x14ac:dyDescent="0.2">
      <c r="A26">
        <v>24</v>
      </c>
      <c r="B26" t="s">
        <v>30</v>
      </c>
      <c r="C26" s="9" t="s">
        <v>36</v>
      </c>
      <c r="D26" t="s">
        <v>61</v>
      </c>
      <c r="E26" s="65" cm="1">
        <f t="array" ref="E26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7.28E-3</v>
      </c>
      <c r="F26" s="64">
        <f>VLOOKUP(Base_Stress[[#This Row],[Credit Category]],
  EAD_Table[#All],
  MATCH("EAD",EAD_Table[#Headers],0),
  FALSE)</f>
        <v>0.48749999999999999</v>
      </c>
      <c r="G26" s="98" cm="1">
        <f t="array" ref="G26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250.87301587301585</v>
      </c>
      <c r="H26" s="98">
        <f>Base_Stress[[#This Row],[ATS]]*INDEX(Portfolio_Stresser[[Base]:[Severely Adverse]],MATCH("MDR",Portfolio_Stresser[Scenario],0),MATCH("Base",Portfolio_Stresser[[#Headers],[Base]:[Severely Adverse]],0))</f>
        <v>12.543650793650793</v>
      </c>
      <c r="I26" s="98" cm="1">
        <f t="array" ref="I26">Base_Stress[[#This Row],[ATS]]*INDEX(Portfolio_Stresser[[Base]:[Severely Adverse]],MATCH("Funding Rate",Portfolio_Stresser[Scenario],0),MATCH("Base",Portfolio_Stresser[[#Headers],[Base]:[Severely Adverse]],0))*Dynamic_Row_Table[Tenure (in months)]/12</f>
        <v>2.9791170634920632</v>
      </c>
      <c r="J26" s="98">
        <f>Base_Stress[[#This Row],[PD]]*Base_Stress[[#This Row],[ATS]]*Base_Stress[[#This Row],[EAD]]</f>
        <v>0.89034833333333319</v>
      </c>
      <c r="K26" s="98" cm="1">
        <f t="array" ref="K26">Base_Stress[[#This Row],[Revenue Per Loan]]-Base_Stress[[#This Row],[Funding Cost]]-Base_Stress[[#This Row],[ECL]]-Fixed_Cost[Fixed Cost]</f>
        <v>5.6741853968253952</v>
      </c>
      <c r="L26" s="10" cm="1">
        <f t="array" ref="L26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1.8952899171692013</v>
      </c>
      <c r="M26" s="10" cm="1">
        <f t="array" ref="M26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8.5459251660639612</v>
      </c>
      <c r="N26" s="10">
        <f>Base_Stress[[#This Row],[Loan Count(in M)]]/Base_Stress[[#This Row],[User Count(in M)]]</f>
        <v>4.5090332031250009</v>
      </c>
      <c r="O26" s="98">
        <f>Base_Stress[[#This Row],[Revenue Per Loan]]*Base_Stress[[#This Row],[Avg Loan Per User]]</f>
        <v>56.559737916976694</v>
      </c>
      <c r="P26" s="98">
        <f>Base_Stress[[#This Row],[CM Per Loan]]*Base_Stress[[#This Row],[Avg Loan Per User]]</f>
        <v>25.585090354972717</v>
      </c>
      <c r="Q26" s="98">
        <f>Base_Stress[[#This Row],[CM Per User]]*Base_Stress[[#This Row],[User Count(in M)]]</f>
        <v>48.491163779642768</v>
      </c>
      <c r="R26" s="124">
        <f>Base_Stress[[#This Row],[CM Per Segment]]/SUM(Base_Stress[CM Per Segment])</f>
        <v>0.11705906782227318</v>
      </c>
      <c r="S26" s="10"/>
      <c r="U26" s="74">
        <v>24</v>
      </c>
      <c r="V26" s="74" t="s">
        <v>30</v>
      </c>
      <c r="W26" s="74" t="s">
        <v>36</v>
      </c>
      <c r="X26" s="74" t="s">
        <v>61</v>
      </c>
      <c r="Y26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8.5781696000000029E-3</v>
      </c>
      <c r="Z26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0.50700000000000001</v>
      </c>
      <c r="AA26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223.97942857142854</v>
      </c>
      <c r="AB26" s="134">
        <f>Adverse_Stress[[#This Row],[ATS]]*INDEX(Portfolio_Stresser[[Base]:[Severely Adverse]],MATCH("MDR",Portfolio_Stresser[Scenario],0),MATCH("Adverse",Portfolio_Stresser[[#Headers],[Base]:[Severely Adverse]],0))</f>
        <v>10.639022857142855</v>
      </c>
      <c r="AC26" s="134" cm="1">
        <f t="array" ref="AC26">Adverse_Stress[[#This Row],[ATS]]*INDEX(Portfolio_Stresser[[Base]:[Severely Adverse]],MATCH("Funding Rate",Portfolio_Stresser[Scenario],0),MATCH("Adverse",Portfolio_Stresser[[#Headers],[Base]:[Severely Adverse]],0))*Dynamic_Row_Table[Tenure (in months)]/12</f>
        <v>3.1497107142857139</v>
      </c>
      <c r="AD26" s="134">
        <f>Adverse_Stress[[#This Row],[PD]]*Adverse_Stress[[#This Row],[ATS]]*Adverse_Stress[[#This Row],[EAD]]</f>
        <v>0.97411609727477788</v>
      </c>
      <c r="AE26" s="134" cm="1">
        <f t="array" ref="AE26">Adverse_Stress[[#This Row],[Revenue Per Loan]]-Adverse_Stress[[#This Row],[Funding Cost]]-Adverse_Stress[[#This Row],[ECL]]-Fixed_Cost[Fixed Cost]</f>
        <v>3.5151960455823632</v>
      </c>
      <c r="AF26" s="130">
        <f>Base_Stress[[#This Row],[User Count(in M)]]</f>
        <v>1.8952899171692013</v>
      </c>
      <c r="AG26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7.4708477801731146</v>
      </c>
      <c r="AH26" s="130">
        <f>Adverse_Stress[[#This Row],[Loan Count(in M)]]/Adverse_Stress[[#This Row],[User Count(in M)]]</f>
        <v>3.9417968261718754</v>
      </c>
      <c r="AI26" s="134">
        <f>Adverse_Stress[[#This Row],[Revenue Per Loan]]*Adverse_Stress[[#This Row],[Avg Loan Per User]]</f>
        <v>41.936866531855742</v>
      </c>
      <c r="AJ26" s="134">
        <f>Adverse_Stress[[#This Row],[CM Per Loan]]*Adverse_Stress[[#This Row],[Avg Loan Per User]]</f>
        <v>13.856188615848486</v>
      </c>
      <c r="AK26" s="134">
        <f>Adverse_Stress[[#This Row],[CM Per User]]*Adverse_Stress[[#This Row],[User Count(in M)]]</f>
        <v>26.261494574012307</v>
      </c>
      <c r="AL26" s="144">
        <f>(Base_Stress[[#This Row],[CM Per Segment]]-Adverse_Stress[[#This Row],[CM Per Segment]])/($B$68-$B$69)</f>
        <v>4.215556953009568E-2</v>
      </c>
      <c r="AN26" s="74">
        <v>24</v>
      </c>
      <c r="AO26" s="74" t="s">
        <v>30</v>
      </c>
      <c r="AP26" s="74" t="s">
        <v>36</v>
      </c>
      <c r="AQ26" s="74" t="s">
        <v>61</v>
      </c>
      <c r="AR26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1.0868981760000002E-2</v>
      </c>
      <c r="AS26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0.53625</v>
      </c>
      <c r="AT26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203.10679365079363</v>
      </c>
      <c r="AU26" s="134">
        <f>Severely_Adverse_Stress[[#This Row],[ATS]]*INDEX(Portfolio_Stresser[[Base]:[Severely Adverse]],MATCH("MDR",Portfolio_Stresser[Scenario],0),MATCH("Severely Adverse",Portfolio_Stresser[[#Headers],[Base]:[Severely Adverse]],0))</f>
        <v>9.1398057142857123</v>
      </c>
      <c r="AV26" s="130" cm="1">
        <f t="array" ref="AV26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3.3004853968253962</v>
      </c>
      <c r="AW26" s="130">
        <f>Severely_Adverse_Stress[[#This Row],[PD]]*Severely_Adverse_Stress[[#This Row],[ATS]]*Severely_Adverse_Stress[[#This Row],[EAD]]</f>
        <v>1.1838062140489729</v>
      </c>
      <c r="AX26" s="134" cm="1">
        <f t="array" ref="AX26">Severely_Adverse_Stress[[#This Row],[Revenue Per Loan]]-Severely_Adverse_Stress[[#This Row],[Funding Cost]]-Severely_Adverse_Stress[[#This Row],[ECL]]-Fixed_Cost[Fixed Cost]</f>
        <v>1.6555141034113436</v>
      </c>
      <c r="AY26" s="130">
        <f>Base_Stress[[#This Row],[User Count(in M)]]</f>
        <v>1.8952899171692013</v>
      </c>
      <c r="AZ26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6.5376327520389301</v>
      </c>
      <c r="BA26" s="130">
        <f>Severely_Adverse_Stress[[#This Row],[Loan Count(in M)]]/Severely_Adverse_Stress[[#This Row],[User Count(in M)]]</f>
        <v>3.4494104003906254</v>
      </c>
      <c r="BB26" s="134">
        <f>Severely_Adverse_Stress[[#This Row],[Revenue Per Loan]]*Severely_Adverse_Stress[[#This Row],[Avg Loan Per User]]</f>
        <v>31.526940888406806</v>
      </c>
      <c r="BC26" s="134">
        <f>Severely_Adverse_Stress[[#This Row],[CM Per Loan]]*Severely_Adverse_Stress[[#This Row],[Avg Loan Per User]]</f>
        <v>5.7105475663004501</v>
      </c>
      <c r="BD26" s="134">
        <f>Severely_Adverse_Stress[[#This Row],[CM Per User]]*Severely_Adverse_Stress[[#This Row],[User Count(in M)]]</f>
        <v>10.823143223924363</v>
      </c>
      <c r="BE26" s="134"/>
    </row>
    <row r="27" spans="1:57" x14ac:dyDescent="0.2">
      <c r="A27">
        <v>25</v>
      </c>
      <c r="B27" t="s">
        <v>30</v>
      </c>
      <c r="C27" s="9" t="s">
        <v>36</v>
      </c>
      <c r="D27" t="s">
        <v>62</v>
      </c>
      <c r="E27" s="65" cm="1">
        <f t="array" ref="E27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8.320000000000001E-3</v>
      </c>
      <c r="F27" s="64">
        <f>VLOOKUP(Base_Stress[[#This Row],[Credit Category]],
  EAD_Table[#All],
  MATCH("EAD",EAD_Table[#Headers],0),
  FALSE)</f>
        <v>0.4425</v>
      </c>
      <c r="G27" s="98" cm="1">
        <f t="array" ref="G27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336.03174603174602</v>
      </c>
      <c r="H27" s="98">
        <f>Base_Stress[[#This Row],[ATS]]*INDEX(Portfolio_Stresser[[Base]:[Severely Adverse]],MATCH("MDR",Portfolio_Stresser[Scenario],0),MATCH("Base",Portfolio_Stresser[[#Headers],[Base]:[Severely Adverse]],0))</f>
        <v>16.801587301587301</v>
      </c>
      <c r="I27" s="98" cm="1">
        <f t="array" ref="I27">Base_Stress[[#This Row],[ATS]]*INDEX(Portfolio_Stresser[[Base]:[Severely Adverse]],MATCH("Funding Rate",Portfolio_Stresser[Scenario],0),MATCH("Base",Portfolio_Stresser[[#Headers],[Base]:[Severely Adverse]],0))*Dynamic_Row_Table[Tenure (in months)]/12</f>
        <v>3.9903769841269843</v>
      </c>
      <c r="J27" s="98">
        <f>Base_Stress[[#This Row],[PD]]*Base_Stress[[#This Row],[ATS]]*Base_Stress[[#This Row],[EAD]]</f>
        <v>1.2371344761904763</v>
      </c>
      <c r="K27" s="98" cm="1">
        <f t="array" ref="K27">Base_Stress[[#This Row],[Revenue Per Loan]]-Base_Stress[[#This Row],[Funding Cost]]-Base_Stress[[#This Row],[ECL]]-Fixed_Cost[Fixed Cost]</f>
        <v>8.5740758412698401</v>
      </c>
      <c r="L27" s="10" cm="1">
        <f t="array" ref="L27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1.2079520074241996</v>
      </c>
      <c r="M27" s="10" cm="1">
        <f t="array" ref="M27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4.6610607190328226</v>
      </c>
      <c r="N27" s="10">
        <f>Base_Stress[[#This Row],[Loan Count(in M)]]/Base_Stress[[#This Row],[User Count(in M)]]</f>
        <v>3.8586472727272731</v>
      </c>
      <c r="O27" s="98">
        <f>Base_Stress[[#This Row],[Revenue Per Loan]]*Base_Stress[[#This Row],[Avg Loan Per User]]</f>
        <v>64.831399018759015</v>
      </c>
      <c r="P27" s="98">
        <f>Base_Stress[[#This Row],[CM Per Loan]]*Base_Stress[[#This Row],[Avg Loan Per User]]</f>
        <v>33.084334361072671</v>
      </c>
      <c r="Q27" s="98">
        <f>Base_Stress[[#This Row],[CM Per User]]*Base_Stress[[#This Row],[User Count(in M)]]</f>
        <v>39.964288105751159</v>
      </c>
      <c r="R27" s="124">
        <f>Base_Stress[[#This Row],[CM Per Segment]]/SUM(Base_Stress[CM Per Segment])</f>
        <v>9.647494403514302E-2</v>
      </c>
      <c r="S27" s="10"/>
      <c r="U27" s="73">
        <v>25</v>
      </c>
      <c r="V27" s="73" t="s">
        <v>30</v>
      </c>
      <c r="W27" s="73" t="s">
        <v>36</v>
      </c>
      <c r="X27" s="73" t="s">
        <v>62</v>
      </c>
      <c r="Y27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9.3580032000000011E-3</v>
      </c>
      <c r="Z27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0.45135000000000003</v>
      </c>
      <c r="AA27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300.00914285714288</v>
      </c>
      <c r="AB27" s="101">
        <f>Adverse_Stress[[#This Row],[ATS]]*INDEX(Portfolio_Stresser[[Base]:[Severely Adverse]],MATCH("MDR",Portfolio_Stresser[Scenario],0),MATCH("Adverse",Portfolio_Stresser[[#Headers],[Base]:[Severely Adverse]],0))</f>
        <v>14.250434285714286</v>
      </c>
      <c r="AC27" s="101" cm="1">
        <f t="array" ref="AC27">Adverse_Stress[[#This Row],[ATS]]*INDEX(Portfolio_Stresser[[Base]:[Severely Adverse]],MATCH("Funding Rate",Portfolio_Stresser[Scenario],0),MATCH("Adverse",Portfolio_Stresser[[#Headers],[Base]:[Severely Adverse]],0))*Dynamic_Row_Table[Tenure (in months)]/12</f>
        <v>4.2188785714285721</v>
      </c>
      <c r="AD27" s="101">
        <f>Adverse_Stress[[#This Row],[PD]]*Adverse_Stress[[#This Row],[ATS]]*Adverse_Stress[[#This Row],[EAD]]</f>
        <v>1.2671590402993769</v>
      </c>
      <c r="AE27" s="101" cm="1">
        <f t="array" ref="AE27">Adverse_Stress[[#This Row],[Revenue Per Loan]]-Adverse_Stress[[#This Row],[Funding Cost]]-Adverse_Stress[[#This Row],[ECL]]-Fixed_Cost[Fixed Cost]</f>
        <v>5.7643966739863366</v>
      </c>
      <c r="AF27" s="72">
        <f>Base_Stress[[#This Row],[User Count(in M)]]</f>
        <v>1.2079520074241996</v>
      </c>
      <c r="AG27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4.0746992805784936</v>
      </c>
      <c r="AH27" s="72">
        <f>Adverse_Stress[[#This Row],[Loan Count(in M)]]/Adverse_Stress[[#This Row],[User Count(in M)]]</f>
        <v>3.3732294458181822</v>
      </c>
      <c r="AI27" s="101">
        <f>Adverse_Stress[[#This Row],[Revenue Per Loan]]*Adverse_Stress[[#This Row],[Avg Loan Per User]]</f>
        <v>48.069984548268422</v>
      </c>
      <c r="AJ27" s="101">
        <f>Adverse_Stress[[#This Row],[CM Per Loan]]*Adverse_Stress[[#This Row],[Avg Loan Per User]]</f>
        <v>19.444632598067102</v>
      </c>
      <c r="AK27" s="101">
        <f>Adverse_Stress[[#This Row],[CM Per User]]*Adverse_Stress[[#This Row],[User Count(in M)]]</f>
        <v>23.488182980461186</v>
      </c>
      <c r="AL27" s="145">
        <f>(Base_Stress[[#This Row],[CM Per Segment]]-Adverse_Stress[[#This Row],[CM Per Segment]])/($B$68-$B$69)</f>
        <v>3.1244711235667199E-2</v>
      </c>
      <c r="AN27" s="73">
        <v>25</v>
      </c>
      <c r="AO27" s="73" t="s">
        <v>30</v>
      </c>
      <c r="AP27" s="73" t="s">
        <v>36</v>
      </c>
      <c r="AQ27" s="73" t="s">
        <v>62</v>
      </c>
      <c r="AR27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1.1160115200000003E-2</v>
      </c>
      <c r="AS27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0.46462500000000001</v>
      </c>
      <c r="AT27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272.05130158730157</v>
      </c>
      <c r="AU27" s="101">
        <f>Severely_Adverse_Stress[[#This Row],[ATS]]*INDEX(Portfolio_Stresser[[Base]:[Severely Adverse]],MATCH("MDR",Portfolio_Stresser[Scenario],0),MATCH("Severely Adverse",Portfolio_Stresser[[#Headers],[Base]:[Severely Adverse]],0))</f>
        <v>12.24230857142857</v>
      </c>
      <c r="AV27" s="72" cm="1">
        <f t="array" ref="AV27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4.420833650793651</v>
      </c>
      <c r="AW27" s="72">
        <f>Severely_Adverse_Stress[[#This Row],[PD]]*Severely_Adverse_Stress[[#This Row],[ATS]]*Severely_Adverse_Stress[[#This Row],[EAD]]</f>
        <v>1.4106590512515076</v>
      </c>
      <c r="AX27" s="101" cm="1">
        <f t="array" ref="AX27">Severely_Adverse_Stress[[#This Row],[Revenue Per Loan]]-Severely_Adverse_Stress[[#This Row],[Funding Cost]]-Severely_Adverse_Stress[[#This Row],[ECL]]-Fixed_Cost[Fixed Cost]</f>
        <v>3.410815869383411</v>
      </c>
      <c r="AY27" s="72">
        <f>Base_Stress[[#This Row],[User Count(in M)]]</f>
        <v>1.2079520074241996</v>
      </c>
      <c r="AZ27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3.565711450060109</v>
      </c>
      <c r="BA27" s="72">
        <f>Severely_Adverse_Stress[[#This Row],[Loan Count(in M)]]/Severely_Adverse_Stress[[#This Row],[User Count(in M)]]</f>
        <v>2.9518651636363638</v>
      </c>
      <c r="BB27" s="101">
        <f>Severely_Adverse_Stress[[#This Row],[Revenue Per Loan]]*Severely_Adverse_Stress[[#This Row],[Avg Loan Per User]]</f>
        <v>36.137644194486853</v>
      </c>
      <c r="BC27" s="101">
        <f>Severely_Adverse_Stress[[#This Row],[CM Per Loan]]*Severely_Adverse_Stress[[#This Row],[Avg Loan Per User]]</f>
        <v>10.068268544410969</v>
      </c>
      <c r="BD27" s="101">
        <f>Severely_Adverse_Stress[[#This Row],[CM Per User]]*Severely_Adverse_Stress[[#This Row],[User Count(in M)]]</f>
        <v>12.161985199507155</v>
      </c>
      <c r="BE27" s="101"/>
    </row>
    <row r="28" spans="1:57" x14ac:dyDescent="0.2">
      <c r="A28">
        <v>26</v>
      </c>
      <c r="B28" t="s">
        <v>30</v>
      </c>
      <c r="C28" s="9" t="s">
        <v>37</v>
      </c>
      <c r="D28" t="s">
        <v>58</v>
      </c>
      <c r="E28" s="65" cm="1">
        <f t="array" ref="E28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3.5000000000000003E-2</v>
      </c>
      <c r="F28" s="64">
        <f>VLOOKUP(Base_Stress[[#This Row],[Credit Category]],
  EAD_Table[#All],
  MATCH("EAD",EAD_Table[#Headers],0),
  FALSE)</f>
        <v>0.63750000000000007</v>
      </c>
      <c r="G28" s="98" cm="1">
        <f t="array" ref="G28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151.9047619047619</v>
      </c>
      <c r="H28" s="98">
        <f>Base_Stress[[#This Row],[ATS]]*INDEX(Portfolio_Stresser[[Base]:[Severely Adverse]],MATCH("MDR",Portfolio_Stresser[Scenario],0),MATCH("Base",Portfolio_Stresser[[#Headers],[Base]:[Severely Adverse]],0))</f>
        <v>7.5952380952380949</v>
      </c>
      <c r="I28" s="98" cm="1">
        <f t="array" ref="I28">Base_Stress[[#This Row],[ATS]]*INDEX(Portfolio_Stresser[[Base]:[Severely Adverse]],MATCH("Funding Rate",Portfolio_Stresser[Scenario],0),MATCH("Base",Portfolio_Stresser[[#Headers],[Base]:[Severely Adverse]],0))*Dynamic_Row_Table[Tenure (in months)]/12</f>
        <v>1.8038690476190478</v>
      </c>
      <c r="J28" s="98">
        <f>Base_Stress[[#This Row],[PD]]*Base_Stress[[#This Row],[ATS]]*Base_Stress[[#This Row],[EAD]]</f>
        <v>3.3893750000000007</v>
      </c>
      <c r="K28" s="98" cm="1">
        <f t="array" ref="K28">Base_Stress[[#This Row],[Revenue Per Loan]]-Base_Stress[[#This Row],[Funding Cost]]-Base_Stress[[#This Row],[ECL]]-Fixed_Cost[Fixed Cost]</f>
        <v>-0.59800595238095378</v>
      </c>
      <c r="L28" s="10" cm="1">
        <f t="array" ref="L28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0.10382953404905948</v>
      </c>
      <c r="M28" s="10" cm="1">
        <f t="array" ref="M28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1.3655105172753932</v>
      </c>
      <c r="N28" s="10">
        <f>Base_Stress[[#This Row],[Loan Count(in M)]]/Base_Stress[[#This Row],[User Count(in M)]]</f>
        <v>13.151465329991648</v>
      </c>
      <c r="O28" s="98">
        <f>Base_Stress[[#This Row],[Revenue Per Loan]]*Base_Stress[[#This Row],[Avg Loan Per User]]</f>
        <v>99.888510482555603</v>
      </c>
      <c r="P28" s="98">
        <f>Base_Stress[[#This Row],[CM Per Loan]]*Base_Stress[[#This Row],[Avg Loan Per User]]</f>
        <v>-7.8646545498667502</v>
      </c>
      <c r="Q28" s="98">
        <f>Base_Stress[[#This Row],[CM Per User]]*Base_Stress[[#This Row],[User Count(in M)]]</f>
        <v>-0.81658341736948026</v>
      </c>
      <c r="R28" s="124">
        <f>Base_Stress[[#This Row],[CM Per Segment]]/SUM(Base_Stress[CM Per Segment])</f>
        <v>-1.9712559193418846E-3</v>
      </c>
      <c r="S28" s="10"/>
      <c r="U28" s="74">
        <v>26</v>
      </c>
      <c r="V28" s="74" t="s">
        <v>30</v>
      </c>
      <c r="W28" s="74" t="s">
        <v>37</v>
      </c>
      <c r="X28" s="74" t="s">
        <v>58</v>
      </c>
      <c r="Y28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5.3307800000000009E-2</v>
      </c>
      <c r="Z28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0.73312500000000003</v>
      </c>
      <c r="AA28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134.1622857142857</v>
      </c>
      <c r="AB28" s="134">
        <f>Adverse_Stress[[#This Row],[ATS]]*INDEX(Portfolio_Stresser[[Base]:[Severely Adverse]],MATCH("MDR",Portfolio_Stresser[Scenario],0),MATCH("Adverse",Portfolio_Stresser[[#Headers],[Base]:[Severely Adverse]],0))</f>
        <v>6.3727085714285705</v>
      </c>
      <c r="AC28" s="134" cm="1">
        <f t="array" ref="AC28">Adverse_Stress[[#This Row],[ATS]]*INDEX(Portfolio_Stresser[[Base]:[Severely Adverse]],MATCH("Funding Rate",Portfolio_Stresser[Scenario],0),MATCH("Adverse",Portfolio_Stresser[[#Headers],[Base]:[Severely Adverse]],0))*Dynamic_Row_Table[Tenure (in months)]/12</f>
        <v>1.8866571428571428</v>
      </c>
      <c r="AD28" s="134">
        <f>Adverse_Stress[[#This Row],[PD]]*Adverse_Stress[[#This Row],[ATS]]*Adverse_Stress[[#This Row],[EAD]]</f>
        <v>5.2432339708320006</v>
      </c>
      <c r="AE28" s="134" cm="1">
        <f t="array" ref="AE28">Adverse_Stress[[#This Row],[Revenue Per Loan]]-Adverse_Stress[[#This Row],[Funding Cost]]-Adverse_Stress[[#This Row],[ECL]]-Fixed_Cost[Fixed Cost]</f>
        <v>-3.7571825422605727</v>
      </c>
      <c r="AF28" s="130">
        <f>Base_Stress[[#This Row],[User Count(in M)]]</f>
        <v>0.10382953404905948</v>
      </c>
      <c r="AG28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1.257908288514092</v>
      </c>
      <c r="AH28" s="130">
        <f>Adverse_Stress[[#This Row],[Loan Count(in M)]]/Adverse_Stress[[#This Row],[User Count(in M)]]</f>
        <v>12.115129861988304</v>
      </c>
      <c r="AI28" s="134">
        <f>Adverse_Stress[[#This Row],[Revenue Per Loan]]*Adverse_Stress[[#This Row],[Avg Loan Per User]]</f>
        <v>77.206191915463108</v>
      </c>
      <c r="AJ28" s="134">
        <f>Adverse_Stress[[#This Row],[CM Per Loan]]*Adverse_Stress[[#This Row],[Avg Loan Per User]]</f>
        <v>-45.518754414682199</v>
      </c>
      <c r="AK28" s="134">
        <f>Adverse_Stress[[#This Row],[CM Per User]]*Adverse_Stress[[#This Row],[User Count(in M)]]</f>
        <v>-4.726191061370022</v>
      </c>
      <c r="AL28" s="144">
        <f>(Base_Stress[[#This Row],[CM Per Segment]]-Adverse_Stress[[#This Row],[CM Per Segment]])/($B$68-$B$69)</f>
        <v>7.4140436075546233E-3</v>
      </c>
      <c r="AN28" s="74">
        <v>26</v>
      </c>
      <c r="AO28" s="74" t="s">
        <v>30</v>
      </c>
      <c r="AP28" s="74" t="s">
        <v>37</v>
      </c>
      <c r="AQ28" s="74" t="s">
        <v>58</v>
      </c>
      <c r="AR28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7.5411000000000006E-2</v>
      </c>
      <c r="AS28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0.75</v>
      </c>
      <c r="AT28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120.18704761904762</v>
      </c>
      <c r="AU28" s="134">
        <f>Severely_Adverse_Stress[[#This Row],[ATS]]*INDEX(Portfolio_Stresser[[Base]:[Severely Adverse]],MATCH("MDR",Portfolio_Stresser[Scenario],0),MATCH("Severely Adverse",Portfolio_Stresser[[#Headers],[Base]:[Severely Adverse]],0))</f>
        <v>5.408417142857143</v>
      </c>
      <c r="AV28" s="130" cm="1">
        <f t="array" ref="AV28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1.9530395238095239</v>
      </c>
      <c r="AW28" s="130">
        <f>Severely_Adverse_Stress[[#This Row],[PD]]*Severely_Adverse_Stress[[#This Row],[ATS]]*Severely_Adverse_Stress[[#This Row],[EAD]]</f>
        <v>6.7975690860000002</v>
      </c>
      <c r="AX28" s="134" cm="1">
        <f t="array" ref="AX28">Severely_Adverse_Stress[[#This Row],[Revenue Per Loan]]-Severely_Adverse_Stress[[#This Row],[Funding Cost]]-Severely_Adverse_Stress[[#This Row],[ECL]]-Fixed_Cost[Fixed Cost]</f>
        <v>-6.3421914669523813</v>
      </c>
      <c r="AY28" s="130">
        <f>Base_Stress[[#This Row],[User Count(in M)]]</f>
        <v>0.10382953404905948</v>
      </c>
      <c r="AZ28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1.1306427083040258</v>
      </c>
      <c r="BA28" s="130">
        <f>Severely_Adverse_Stress[[#This Row],[Loan Count(in M)]]/Severely_Adverse_Stress[[#This Row],[User Count(in M)]]</f>
        <v>10.889413293233087</v>
      </c>
      <c r="BB28" s="134">
        <f>Severely_Adverse_Stress[[#This Row],[Revenue Per Loan]]*Severely_Adverse_Stress[[#This Row],[Avg Loan Per User]]</f>
        <v>58.894489530778287</v>
      </c>
      <c r="BC28" s="134">
        <f>Severely_Adverse_Stress[[#This Row],[CM Per Loan]]*Severely_Adverse_Stress[[#This Row],[Avg Loan Per User]]</f>
        <v>-69.062744068460717</v>
      </c>
      <c r="BD28" s="134">
        <f>Severely_Adverse_Stress[[#This Row],[CM Per User]]*Severely_Adverse_Stress[[#This Row],[User Count(in M)]]</f>
        <v>-7.170752536777723</v>
      </c>
      <c r="BE28" s="134"/>
    </row>
    <row r="29" spans="1:57" x14ac:dyDescent="0.2">
      <c r="A29">
        <v>27</v>
      </c>
      <c r="B29" t="s">
        <v>30</v>
      </c>
      <c r="C29" s="9" t="s">
        <v>37</v>
      </c>
      <c r="D29" t="s">
        <v>83</v>
      </c>
      <c r="E29" s="65" cm="1">
        <f t="array" ref="E29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1.0999999999999999E-2</v>
      </c>
      <c r="F29" s="64">
        <f>VLOOKUP(Base_Stress[[#This Row],[Credit Category]],
  EAD_Table[#All],
  MATCH("EAD",EAD_Table[#Headers],0),
  FALSE)</f>
        <v>0.5625</v>
      </c>
      <c r="G29" s="98" cm="1">
        <f t="array" ref="G29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209.44444444444443</v>
      </c>
      <c r="H29" s="98">
        <f>Base_Stress[[#This Row],[ATS]]*INDEX(Portfolio_Stresser[[Base]:[Severely Adverse]],MATCH("MDR",Portfolio_Stresser[Scenario],0),MATCH("Base",Portfolio_Stresser[[#Headers],[Base]:[Severely Adverse]],0))</f>
        <v>10.472222222222221</v>
      </c>
      <c r="I29" s="98" cm="1">
        <f t="array" ref="I29">Base_Stress[[#This Row],[ATS]]*INDEX(Portfolio_Stresser[[Base]:[Severely Adverse]],MATCH("Funding Rate",Portfolio_Stresser[Scenario],0),MATCH("Base",Portfolio_Stresser[[#Headers],[Base]:[Severely Adverse]],0))*Dynamic_Row_Table[Tenure (in months)]/12</f>
        <v>2.4871527777777778</v>
      </c>
      <c r="J29" s="98">
        <f>Base_Stress[[#This Row],[PD]]*Base_Stress[[#This Row],[ATS]]*Base_Stress[[#This Row],[EAD]]</f>
        <v>1.2959374999999997</v>
      </c>
      <c r="K29" s="98" cm="1">
        <f t="array" ref="K29">Base_Stress[[#This Row],[Revenue Per Loan]]-Base_Stress[[#This Row],[Funding Cost]]-Base_Stress[[#This Row],[ECL]]-Fixed_Cost[Fixed Cost]</f>
        <v>3.6891319444444433</v>
      </c>
      <c r="L29" s="10" cm="1">
        <f t="array" ref="L29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0.35794814620289817</v>
      </c>
      <c r="M29" s="10" cm="1">
        <f t="array" ref="M29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1.683795900454232</v>
      </c>
      <c r="N29" s="10">
        <f>Base_Stress[[#This Row],[Loan Count(in M)]]/Base_Stress[[#This Row],[User Count(in M)]]</f>
        <v>4.7040218487394947</v>
      </c>
      <c r="O29" s="98">
        <f>Base_Stress[[#This Row],[Revenue Per Loan]]*Base_Stress[[#This Row],[Avg Loan Per User]]</f>
        <v>49.261562138188594</v>
      </c>
      <c r="P29" s="98">
        <f>Base_Stress[[#This Row],[CM Per Loan]]*Base_Stress[[#This Row],[Avg Loan Per User]]</f>
        <v>17.353757269549476</v>
      </c>
      <c r="Q29" s="98">
        <f>Base_Stress[[#This Row],[CM Per User]]*Base_Stress[[#This Row],[User Count(in M)]]</f>
        <v>6.2117452442903023</v>
      </c>
      <c r="R29" s="124">
        <f>Base_Stress[[#This Row],[CM Per Segment]]/SUM(Base_Stress[CM Per Segment])</f>
        <v>1.4995332162997598E-2</v>
      </c>
      <c r="S29" s="10"/>
      <c r="U29" s="73">
        <v>27</v>
      </c>
      <c r="V29" s="73" t="s">
        <v>30</v>
      </c>
      <c r="W29" s="73" t="s">
        <v>37</v>
      </c>
      <c r="X29" s="73" t="s">
        <v>83</v>
      </c>
      <c r="Y29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1.5020720000000001E-2</v>
      </c>
      <c r="Z29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0.61875000000000002</v>
      </c>
      <c r="AA29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184.98133333333331</v>
      </c>
      <c r="AB29" s="101">
        <f>Adverse_Stress[[#This Row],[ATS]]*INDEX(Portfolio_Stresser[[Base]:[Severely Adverse]],MATCH("MDR",Portfolio_Stresser[Scenario],0),MATCH("Adverse",Portfolio_Stresser[[#Headers],[Base]:[Severely Adverse]],0))</f>
        <v>8.7866133333333316</v>
      </c>
      <c r="AC29" s="101" cm="1">
        <f t="array" ref="AC29">Adverse_Stress[[#This Row],[ATS]]*INDEX(Portfolio_Stresser[[Base]:[Severely Adverse]],MATCH("Funding Rate",Portfolio_Stresser[Scenario],0),MATCH("Adverse",Portfolio_Stresser[[#Headers],[Base]:[Severely Adverse]],0))*Dynamic_Row_Table[Tenure (in months)]/12</f>
        <v>2.6012999999999997</v>
      </c>
      <c r="AD29" s="101">
        <f>Adverse_Stress[[#This Row],[PD]]*Adverse_Stress[[#This Row],[ATS]]*Adverse_Stress[[#This Row],[EAD]]</f>
        <v>1.7192295531839998</v>
      </c>
      <c r="AE29" s="101" cm="1">
        <f t="array" ref="AE29">Adverse_Stress[[#This Row],[Revenue Per Loan]]-Adverse_Stress[[#This Row],[Funding Cost]]-Adverse_Stress[[#This Row],[ECL]]-Fixed_Cost[Fixed Cost]</f>
        <v>1.4660837801493312</v>
      </c>
      <c r="AF29" s="72">
        <f>Base_Stress[[#This Row],[User Count(in M)]]</f>
        <v>0.35794814620289817</v>
      </c>
      <c r="AG29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1.5511127834984384</v>
      </c>
      <c r="AH29" s="72">
        <f>Adverse_Stress[[#This Row],[Loan Count(in M)]]/Adverse_Stress[[#This Row],[User Count(in M)]]</f>
        <v>4.333344927058822</v>
      </c>
      <c r="AI29" s="101">
        <f>Adverse_Stress[[#This Row],[Revenue Per Loan]]*Adverse_Stress[[#This Row],[Avg Loan Per User]]</f>
        <v>38.075426314027396</v>
      </c>
      <c r="AJ29" s="101">
        <f>Adverse_Stress[[#This Row],[CM Per Loan]]*Adverse_Stress[[#This Row],[Avg Loan Per User]]</f>
        <v>6.3530467113533255</v>
      </c>
      <c r="AK29" s="101">
        <f>Adverse_Stress[[#This Row],[CM Per User]]*Adverse_Stress[[#This Row],[User Count(in M)]]</f>
        <v>2.2740612930693413</v>
      </c>
      <c r="AL29" s="145">
        <f>(Base_Stress[[#This Row],[CM Per Segment]]-Adverse_Stress[[#This Row],[CM Per Segment]])/($B$68-$B$69)</f>
        <v>7.4672865375429347E-3</v>
      </c>
      <c r="AN29" s="73">
        <v>27</v>
      </c>
      <c r="AO29" s="73" t="s">
        <v>30</v>
      </c>
      <c r="AP29" s="73" t="s">
        <v>37</v>
      </c>
      <c r="AQ29" s="73" t="s">
        <v>83</v>
      </c>
      <c r="AR29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2.0582100000000002E-2</v>
      </c>
      <c r="AS29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0.65812499999999996</v>
      </c>
      <c r="AT29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165.71244444444443</v>
      </c>
      <c r="AU29" s="101">
        <f>Severely_Adverse_Stress[[#This Row],[ATS]]*INDEX(Portfolio_Stresser[[Base]:[Severely Adverse]],MATCH("MDR",Portfolio_Stresser[Scenario],0),MATCH("Severely Adverse",Portfolio_Stresser[[#Headers],[Base]:[Severely Adverse]],0))</f>
        <v>7.4570599999999994</v>
      </c>
      <c r="AV29" s="72" cm="1">
        <f t="array" ref="AV29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2.6928272222222223</v>
      </c>
      <c r="AW29" s="72">
        <f>Severely_Adverse_Stress[[#This Row],[PD]]*Severely_Adverse_Stress[[#This Row],[ATS]]*Severely_Adverse_Stress[[#This Row],[EAD]]</f>
        <v>2.2446735864052498</v>
      </c>
      <c r="AX29" s="101" cm="1">
        <f t="array" ref="AX29">Severely_Adverse_Stress[[#This Row],[Revenue Per Loan]]-Severely_Adverse_Stress[[#This Row],[Funding Cost]]-Severely_Adverse_Stress[[#This Row],[ECL]]-Fixed_Cost[Fixed Cost]</f>
        <v>-0.48044080862747274</v>
      </c>
      <c r="AY29" s="72">
        <f>Base_Stress[[#This Row],[User Count(in M)]]</f>
        <v>0.35794814620289817</v>
      </c>
      <c r="AZ29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1.3941830055761042</v>
      </c>
      <c r="BA29" s="72">
        <f>Severely_Adverse_Stress[[#This Row],[Loan Count(in M)]]/Severely_Adverse_Stress[[#This Row],[User Count(in M)]]</f>
        <v>3.894930090756302</v>
      </c>
      <c r="BB29" s="101">
        <f>Severely_Adverse_Stress[[#This Row],[Revenue Per Loan]]*Severely_Adverse_Stress[[#This Row],[Avg Loan Per User]]</f>
        <v>29.044727382575186</v>
      </c>
      <c r="BC29" s="101">
        <f>Severely_Adverse_Stress[[#This Row],[CM Per Loan]]*Severely_Adverse_Stress[[#This Row],[Avg Loan Per User]]</f>
        <v>-1.8712833623504335</v>
      </c>
      <c r="BD29" s="101">
        <f>Severely_Adverse_Stress[[#This Row],[CM Per User]]*Severely_Adverse_Stress[[#This Row],[User Count(in M)]]</f>
        <v>-0.66982241057366387</v>
      </c>
      <c r="BE29" s="101"/>
    </row>
    <row r="30" spans="1:57" x14ac:dyDescent="0.2">
      <c r="A30">
        <v>28</v>
      </c>
      <c r="B30" t="s">
        <v>30</v>
      </c>
      <c r="C30" s="9" t="s">
        <v>37</v>
      </c>
      <c r="D30" t="s">
        <v>60</v>
      </c>
      <c r="E30" s="65" cm="1">
        <f t="array" ref="E30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30" s="64">
        <f>VLOOKUP(Base_Stress[[#This Row],[Credit Category]],
  EAD_Table[#All],
  MATCH("EAD",EAD_Table[#Headers],0),
  FALSE)</f>
        <v>0.51749999999999996</v>
      </c>
      <c r="G30" s="98" cm="1">
        <f t="array" ref="G30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304.96031746031741</v>
      </c>
      <c r="H30" s="98">
        <f>Base_Stress[[#This Row],[ATS]]*INDEX(Portfolio_Stresser[[Base]:[Severely Adverse]],MATCH("MDR",Portfolio_Stresser[Scenario],0),MATCH("Base",Portfolio_Stresser[[#Headers],[Base]:[Severely Adverse]],0))</f>
        <v>15.248015873015872</v>
      </c>
      <c r="I30" s="98" cm="1">
        <f t="array" ref="I30">Base_Stress[[#This Row],[ATS]]*INDEX(Portfolio_Stresser[[Base]:[Severely Adverse]],MATCH("Funding Rate",Portfolio_Stresser[Scenario],0),MATCH("Base",Portfolio_Stresser[[#Headers],[Base]:[Severely Adverse]],0))*Dynamic_Row_Table[Tenure (in months)]/12</f>
        <v>3.6214037698412693</v>
      </c>
      <c r="J30" s="98">
        <f>Base_Stress[[#This Row],[PD]]*Base_Stress[[#This Row],[ATS]]*Base_Stress[[#This Row],[EAD]]</f>
        <v>1.2625357142857141</v>
      </c>
      <c r="K30" s="98" cm="1">
        <f t="array" ref="K30">Base_Stress[[#This Row],[Revenue Per Loan]]-Base_Stress[[#This Row],[Funding Cost]]-Base_Stress[[#This Row],[ECL]]-Fixed_Cost[Fixed Cost]</f>
        <v>7.364076388888888</v>
      </c>
      <c r="L30" s="10" cm="1">
        <f t="array" ref="L30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0.69308496073996928</v>
      </c>
      <c r="M30" s="10" cm="1">
        <f t="array" ref="M30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3.3505144847356401</v>
      </c>
      <c r="N30" s="10">
        <f>Base_Stress[[#This Row],[Loan Count(in M)]]/Base_Stress[[#This Row],[User Count(in M)]]</f>
        <v>4.8342045701849843</v>
      </c>
      <c r="O30" s="98">
        <f>Base_Stress[[#This Row],[Revenue Per Loan]]*Base_Stress[[#This Row],[Avg Loan Per User]]</f>
        <v>73.712028019586512</v>
      </c>
      <c r="P30" s="98">
        <f>Base_Stress[[#This Row],[CM Per Loan]]*Base_Stress[[#This Row],[Avg Loan Per User]]</f>
        <v>35.599451734357999</v>
      </c>
      <c r="Q30" s="98">
        <f>Base_Stress[[#This Row],[CM Per User]]*Base_Stress[[#This Row],[User Count(in M)]]</f>
        <v>24.673444607671946</v>
      </c>
      <c r="R30" s="124">
        <f>Base_Stress[[#This Row],[CM Per Segment]]/SUM(Base_Stress[CM Per Segment])</f>
        <v>5.9562406851350856E-2</v>
      </c>
      <c r="S30" s="10"/>
      <c r="U30" s="74">
        <v>28</v>
      </c>
      <c r="V30" s="74" t="s">
        <v>30</v>
      </c>
      <c r="W30" s="74" t="s">
        <v>37</v>
      </c>
      <c r="X30" s="74" t="s">
        <v>60</v>
      </c>
      <c r="Y30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9.9157760000000011E-3</v>
      </c>
      <c r="Z30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0.55372500000000002</v>
      </c>
      <c r="AA30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269.34095238095233</v>
      </c>
      <c r="AB30" s="134">
        <f>Adverse_Stress[[#This Row],[ATS]]*INDEX(Portfolio_Stresser[[Base]:[Severely Adverse]],MATCH("MDR",Portfolio_Stresser[Scenario],0),MATCH("Adverse",Portfolio_Stresser[[#Headers],[Base]:[Severely Adverse]],0))</f>
        <v>12.793695238095236</v>
      </c>
      <c r="AC30" s="134" cm="1">
        <f t="array" ref="AC30">Adverse_Stress[[#This Row],[ATS]]*INDEX(Portfolio_Stresser[[Base]:[Severely Adverse]],MATCH("Funding Rate",Portfolio_Stresser[Scenario],0),MATCH("Adverse",Portfolio_Stresser[[#Headers],[Base]:[Severely Adverse]],0))*Dynamic_Row_Table[Tenure (in months)]/12</f>
        <v>3.7876071428571421</v>
      </c>
      <c r="AD30" s="134">
        <f>Adverse_Stress[[#This Row],[PD]]*Adverse_Stress[[#This Row],[ATS]]*Adverse_Stress[[#This Row],[EAD]]</f>
        <v>1.4788469522440046</v>
      </c>
      <c r="AE30" s="134" cm="1">
        <f t="array" ref="AE30">Adverse_Stress[[#This Row],[Revenue Per Loan]]-Adverse_Stress[[#This Row],[Funding Cost]]-Adverse_Stress[[#This Row],[ECL]]-Fixed_Cost[Fixed Cost]</f>
        <v>4.5272411429940886</v>
      </c>
      <c r="AF30" s="130">
        <f>Base_Stress[[#This Row],[User Count(in M)]]</f>
        <v>0.69308496073996928</v>
      </c>
      <c r="AG30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3.0864939433384713</v>
      </c>
      <c r="AH30" s="130">
        <f>Adverse_Stress[[#This Row],[Loan Count(in M)]]/Adverse_Stress[[#This Row],[User Count(in M)]]</f>
        <v>4.4532692500544071</v>
      </c>
      <c r="AI30" s="134">
        <f>Adverse_Stress[[#This Row],[Revenue Per Loan]]*Adverse_Stress[[#This Row],[Avg Loan Per User]]</f>
        <v>56.973769598377011</v>
      </c>
      <c r="AJ30" s="134">
        <f>Adverse_Stress[[#This Row],[CM Per Loan]]*Adverse_Stress[[#This Row],[Avg Loan Per User]]</f>
        <v>20.161023769676742</v>
      </c>
      <c r="AK30" s="134">
        <f>Adverse_Stress[[#This Row],[CM Per User]]*Adverse_Stress[[#This Row],[User Count(in M)]]</f>
        <v>13.973302367883992</v>
      </c>
      <c r="AL30" s="144">
        <f>(Base_Stress[[#This Row],[CM Per Segment]]-Adverse_Stress[[#This Row],[CM Per Segment]])/($B$68-$B$69)</f>
        <v>2.0291376628179647E-2</v>
      </c>
      <c r="AN30" s="74">
        <v>28</v>
      </c>
      <c r="AO30" s="74" t="s">
        <v>30</v>
      </c>
      <c r="AP30" s="74" t="s">
        <v>37</v>
      </c>
      <c r="AQ30" s="74" t="s">
        <v>60</v>
      </c>
      <c r="AR30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1.31544E-2</v>
      </c>
      <c r="AS30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0.58994999999999986</v>
      </c>
      <c r="AT30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241.28460317460315</v>
      </c>
      <c r="AU30" s="134">
        <f>Severely_Adverse_Stress[[#This Row],[ATS]]*INDEX(Portfolio_Stresser[[Base]:[Severely Adverse]],MATCH("MDR",Portfolio_Stresser[Scenario],0),MATCH("Severely Adverse",Portfolio_Stresser[[#Headers],[Base]:[Severely Adverse]],0))</f>
        <v>10.857807142857141</v>
      </c>
      <c r="AV30" s="130" cm="1">
        <f t="array" ref="AV30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3.9208748015873014</v>
      </c>
      <c r="AW30" s="130">
        <f>Severely_Adverse_Stress[[#This Row],[PD]]*Severely_Adverse_Stress[[#This Row],[ATS]]*Severely_Adverse_Stress[[#This Row],[EAD]]</f>
        <v>1.8724742708507995</v>
      </c>
      <c r="AX30" s="134" cm="1">
        <f t="array" ref="AX30">Severely_Adverse_Stress[[#This Row],[Revenue Per Loan]]-Severely_Adverse_Stress[[#This Row],[Funding Cost]]-Severely_Adverse_Stress[[#This Row],[ECL]]-Fixed_Cost[Fixed Cost]</f>
        <v>2.0644580704190396</v>
      </c>
      <c r="AY30" s="130">
        <f>Base_Stress[[#This Row],[User Count(in M)]]</f>
        <v>0.69308496073996928</v>
      </c>
      <c r="AZ30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2.7742259933611102</v>
      </c>
      <c r="BA30" s="130">
        <f>Severely_Adverse_Stress[[#This Row],[Loan Count(in M)]]/Severely_Adverse_Stress[[#This Row],[User Count(in M)]]</f>
        <v>4.0027213841131672</v>
      </c>
      <c r="BB30" s="134">
        <f>Severely_Adverse_Stress[[#This Row],[Revenue Per Loan]]*Severely_Adverse_Stress[[#This Row],[Avg Loan Per User]]</f>
        <v>43.460776835290964</v>
      </c>
      <c r="BC30" s="134">
        <f>Severely_Adverse_Stress[[#This Row],[CM Per Loan]]*Severely_Adverse_Stress[[#This Row],[Avg Loan Per User]]</f>
        <v>8.2634504650712959</v>
      </c>
      <c r="BD30" s="134">
        <f>Severely_Adverse_Stress[[#This Row],[CM Per User]]*Severely_Adverse_Stress[[#This Row],[User Count(in M)]]</f>
        <v>5.7272732411606198</v>
      </c>
      <c r="BE30" s="134"/>
    </row>
    <row r="31" spans="1:57" x14ac:dyDescent="0.2">
      <c r="A31">
        <v>29</v>
      </c>
      <c r="B31" t="s">
        <v>30</v>
      </c>
      <c r="C31" s="9" t="s">
        <v>37</v>
      </c>
      <c r="D31" t="s">
        <v>61</v>
      </c>
      <c r="E31" s="65" cm="1">
        <f t="array" ref="E31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7.0000000000000001E-3</v>
      </c>
      <c r="F31" s="64">
        <f>VLOOKUP(Base_Stress[[#This Row],[Credit Category]],
  EAD_Table[#All],
  MATCH("EAD",EAD_Table[#Headers],0),
  FALSE)</f>
        <v>0.48749999999999999</v>
      </c>
      <c r="G31" s="98" cm="1">
        <f t="array" ref="G31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388.96825396825392</v>
      </c>
      <c r="H31" s="98">
        <f>Base_Stress[[#This Row],[ATS]]*INDEX(Portfolio_Stresser[[Base]:[Severely Adverse]],MATCH("MDR",Portfolio_Stresser[Scenario],0),MATCH("Base",Portfolio_Stresser[[#Headers],[Base]:[Severely Adverse]],0))</f>
        <v>19.448412698412696</v>
      </c>
      <c r="I31" s="98" cm="1">
        <f t="array" ref="I31">Base_Stress[[#This Row],[ATS]]*INDEX(Portfolio_Stresser[[Base]:[Severely Adverse]],MATCH("Funding Rate",Portfolio_Stresser[Scenario],0),MATCH("Base",Portfolio_Stresser[[#Headers],[Base]:[Severely Adverse]],0))*Dynamic_Row_Table[Tenure (in months)]/12</f>
        <v>4.6189980158730153</v>
      </c>
      <c r="J31" s="98">
        <f>Base_Stress[[#This Row],[PD]]*Base_Stress[[#This Row],[ATS]]*Base_Stress[[#This Row],[EAD]]</f>
        <v>1.3273541666666666</v>
      </c>
      <c r="K31" s="98" cm="1">
        <f t="array" ref="K31">Base_Stress[[#This Row],[Revenue Per Loan]]-Base_Stress[[#This Row],[Funding Cost]]-Base_Stress[[#This Row],[ECL]]-Fixed_Cost[Fixed Cost]</f>
        <v>10.502060515873016</v>
      </c>
      <c r="L31" s="10" cm="1">
        <f t="array" ref="L31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1.453579568399096</v>
      </c>
      <c r="M31" s="10" cm="1">
        <f t="array" ref="M31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6.5542385372956318</v>
      </c>
      <c r="N31" s="10">
        <f>Base_Stress[[#This Row],[Loan Count(in M)]]/Base_Stress[[#This Row],[User Count(in M)]]</f>
        <v>4.5090332031250009</v>
      </c>
      <c r="O31" s="98">
        <f>Base_Stress[[#This Row],[Revenue Per Loan]]*Base_Stress[[#This Row],[Avg Loan Per User]]</f>
        <v>87.693538605220738</v>
      </c>
      <c r="P31" s="98">
        <f>Base_Stress[[#This Row],[CM Per Loan]]*Base_Stress[[#This Row],[Avg Loan Per User]]</f>
        <v>47.354139567299505</v>
      </c>
      <c r="Q31" s="98">
        <f>Base_Stress[[#This Row],[CM Per User]]*Base_Stress[[#This Row],[User Count(in M)]]</f>
        <v>68.833009754145763</v>
      </c>
      <c r="R31" s="124">
        <f>Base_Stress[[#This Row],[CM Per Segment]]/SUM(Base_Stress[CM Per Segment])</f>
        <v>0.1661648706522568</v>
      </c>
      <c r="S31" s="10"/>
      <c r="U31" s="73">
        <v>29</v>
      </c>
      <c r="V31" s="73" t="s">
        <v>30</v>
      </c>
      <c r="W31" s="73" t="s">
        <v>37</v>
      </c>
      <c r="X31" s="73" t="s">
        <v>61</v>
      </c>
      <c r="Y31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8.088080000000001E-3</v>
      </c>
      <c r="Z31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0.50700000000000001</v>
      </c>
      <c r="AA31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343.53676190476187</v>
      </c>
      <c r="AB31" s="101">
        <f>Adverse_Stress[[#This Row],[ATS]]*INDEX(Portfolio_Stresser[[Base]:[Severely Adverse]],MATCH("MDR",Portfolio_Stresser[Scenario],0),MATCH("Adverse",Portfolio_Stresser[[#Headers],[Base]:[Severely Adverse]],0))</f>
        <v>16.31799619047619</v>
      </c>
      <c r="AC31" s="101" cm="1">
        <f t="array" ref="AC31">Adverse_Stress[[#This Row],[ATS]]*INDEX(Portfolio_Stresser[[Base]:[Severely Adverse]],MATCH("Funding Rate",Portfolio_Stresser[Scenario],0),MATCH("Adverse",Portfolio_Stresser[[#Headers],[Base]:[Severely Adverse]],0))*Dynamic_Row_Table[Tenure (in months)]/12</f>
        <v>4.8309857142857142</v>
      </c>
      <c r="AD31" s="101">
        <f>Adverse_Stress[[#This Row],[PD]]*Adverse_Stress[[#This Row],[ATS]]*Adverse_Stress[[#This Row],[EAD]]</f>
        <v>1.4087262763059201</v>
      </c>
      <c r="AE31" s="101" cm="1">
        <f t="array" ref="AE31">Adverse_Stress[[#This Row],[Revenue Per Loan]]-Adverse_Stress[[#This Row],[Funding Cost]]-Adverse_Stress[[#This Row],[ECL]]-Fixed_Cost[Fixed Cost]</f>
        <v>7.0782841998845569</v>
      </c>
      <c r="AF31" s="72">
        <f>Base_Stress[[#This Row],[User Count(in M)]]</f>
        <v>1.453579568399096</v>
      </c>
      <c r="AG31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6.0377645405567355</v>
      </c>
      <c r="AH31" s="72">
        <f>Adverse_Stress[[#This Row],[Loan Count(in M)]]/Adverse_Stress[[#This Row],[User Count(in M)]]</f>
        <v>4.1537213867187504</v>
      </c>
      <c r="AI31" s="101">
        <f>Adverse_Stress[[#This Row],[Revenue Per Loan]]*Adverse_Stress[[#This Row],[Avg Loan Per User]]</f>
        <v>67.780409764776053</v>
      </c>
      <c r="AJ31" s="101">
        <f>Adverse_Stress[[#This Row],[CM Per Loan]]*Adverse_Stress[[#This Row],[Avg Loan Per User]]</f>
        <v>29.401220462333903</v>
      </c>
      <c r="AK31" s="101">
        <f>Adverse_Stress[[#This Row],[CM Per User]]*Adverse_Stress[[#This Row],[User Count(in M)]]</f>
        <v>42.737013350045984</v>
      </c>
      <c r="AL31" s="145">
        <f>(Base_Stress[[#This Row],[CM Per Segment]]-Adverse_Stress[[#This Row],[CM Per Segment]])/($B$68-$B$69)</f>
        <v>4.9487537609939659E-2</v>
      </c>
      <c r="AN31" s="73">
        <v>29</v>
      </c>
      <c r="AO31" s="73" t="s">
        <v>30</v>
      </c>
      <c r="AP31" s="73" t="s">
        <v>37</v>
      </c>
      <c r="AQ31" s="73" t="s">
        <v>61</v>
      </c>
      <c r="AR31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1.0160640000000002E-2</v>
      </c>
      <c r="AS31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0.53625</v>
      </c>
      <c r="AT31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307.75168253968252</v>
      </c>
      <c r="AU31" s="101">
        <f>Severely_Adverse_Stress[[#This Row],[ATS]]*INDEX(Portfolio_Stresser[[Base]:[Severely Adverse]],MATCH("MDR",Portfolio_Stresser[Scenario],0),MATCH("Severely Adverse",Portfolio_Stresser[[#Headers],[Base]:[Severely Adverse]],0))</f>
        <v>13.848825714285713</v>
      </c>
      <c r="AV31" s="72" cm="1">
        <f t="array" ref="AV31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5.0009648412698411</v>
      </c>
      <c r="AW31" s="72">
        <f>Severely_Adverse_Stress[[#This Row],[PD]]*Severely_Adverse_Stress[[#This Row],[ATS]]*Severely_Adverse_Stress[[#This Row],[EAD]]</f>
        <v>1.6768291123584003</v>
      </c>
      <c r="AX31" s="101" cm="1">
        <f t="array" ref="AX31">Severely_Adverse_Stress[[#This Row],[Revenue Per Loan]]-Severely_Adverse_Stress[[#This Row],[Funding Cost]]-Severely_Adverse_Stress[[#This Row],[ECL]]-Fixed_Cost[Fixed Cost]</f>
        <v>4.1710317606574714</v>
      </c>
      <c r="AY31" s="72">
        <f>Base_Stress[[#This Row],[User Count(in M)]]</f>
        <v>1.453579568399096</v>
      </c>
      <c r="AZ31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5.4269095088807831</v>
      </c>
      <c r="BA31" s="72">
        <f>Severely_Adverse_Stress[[#This Row],[Loan Count(in M)]]/Severely_Adverse_Stress[[#This Row],[User Count(in M)]]</f>
        <v>3.7334794921875005</v>
      </c>
      <c r="BB31" s="101">
        <f>Severely_Adverse_Stress[[#This Row],[Revenue Per Loan]]*Severely_Adverse_Stress[[#This Row],[Avg Loan Per User]]</f>
        <v>51.704306795164619</v>
      </c>
      <c r="BC31" s="101">
        <f>Severely_Adverse_Stress[[#This Row],[CM Per Loan]]*Severely_Adverse_Stress[[#This Row],[Avg Loan Per User]]</f>
        <v>15.572461539677393</v>
      </c>
      <c r="BD31" s="101">
        <f>Severely_Adverse_Stress[[#This Row],[CM Per User]]*Severely_Adverse_Stress[[#This Row],[User Count(in M)]]</f>
        <v>22.635811923755785</v>
      </c>
      <c r="BE31" s="101"/>
    </row>
    <row r="32" spans="1:57" x14ac:dyDescent="0.2">
      <c r="A32">
        <v>30</v>
      </c>
      <c r="B32" t="s">
        <v>30</v>
      </c>
      <c r="C32" s="9" t="s">
        <v>37</v>
      </c>
      <c r="D32" t="s">
        <v>62</v>
      </c>
      <c r="E32" s="65" cm="1">
        <f t="array" ref="E32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32" s="64">
        <f>VLOOKUP(Base_Stress[[#This Row],[Credit Category]],
  EAD_Table[#All],
  MATCH("EAD",EAD_Table[#Headers],0),
  FALSE)</f>
        <v>0.4425</v>
      </c>
      <c r="G32" s="98" cm="1">
        <f t="array" ref="G32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454.56349206349205</v>
      </c>
      <c r="H32" s="98">
        <f>Base_Stress[[#This Row],[ATS]]*INDEX(Portfolio_Stresser[[Base]:[Severely Adverse]],MATCH("MDR",Portfolio_Stresser[Scenario],0),MATCH("Base",Portfolio_Stresser[[#Headers],[Base]:[Severely Adverse]],0))</f>
        <v>22.728174603174605</v>
      </c>
      <c r="I32" s="98" cm="1">
        <f t="array" ref="I32">Base_Stress[[#This Row],[ATS]]*INDEX(Portfolio_Stresser[[Base]:[Severely Adverse]],MATCH("Funding Rate",Portfolio_Stresser[Scenario],0),MATCH("Base",Portfolio_Stresser[[#Headers],[Base]:[Severely Adverse]],0))*Dynamic_Row_Table[Tenure (in months)]/12</f>
        <v>5.3979414682539684</v>
      </c>
      <c r="J32" s="98">
        <f>Base_Stress[[#This Row],[PD]]*Base_Stress[[#This Row],[ATS]]*Base_Stress[[#This Row],[EAD]]</f>
        <v>1.6091547619047619</v>
      </c>
      <c r="K32" s="98" cm="1">
        <f t="array" ref="K32">Base_Stress[[#This Row],[Revenue Per Loan]]-Base_Stress[[#This Row],[Funding Cost]]-Base_Stress[[#This Row],[ECL]]-Fixed_Cost[Fixed Cost]</f>
        <v>12.721078373015875</v>
      </c>
      <c r="L32" s="10" cm="1">
        <f t="array" ref="L32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2.1210382161650263</v>
      </c>
      <c r="M32" s="10" cm="1">
        <f t="array" ref="M32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8.1843383281554996</v>
      </c>
      <c r="N32" s="10">
        <f>Base_Stress[[#This Row],[Loan Count(in M)]]/Base_Stress[[#This Row],[User Count(in M)]]</f>
        <v>3.8586472727272731</v>
      </c>
      <c r="O32" s="98">
        <f>Base_Stress[[#This Row],[Revenue Per Loan]]*Base_Stress[[#This Row],[Avg Loan Per User]]</f>
        <v>87.700008946608961</v>
      </c>
      <c r="P32" s="98">
        <f>Base_Stress[[#This Row],[CM Per Loan]]*Base_Stress[[#This Row],[Avg Loan Per User]]</f>
        <v>49.0861543701876</v>
      </c>
      <c r="Q32" s="98">
        <f>Base_Stress[[#This Row],[CM Per User]]*Base_Stress[[#This Row],[User Count(in M)]]</f>
        <v>104.11360930374381</v>
      </c>
      <c r="R32" s="124">
        <f>Base_Stress[[#This Row],[CM Per Segment]]/SUM(Base_Stress[CM Per Segment])</f>
        <v>0.25133325543787111</v>
      </c>
      <c r="S32" s="10"/>
      <c r="U32" s="74">
        <v>30</v>
      </c>
      <c r="V32" s="74" t="s">
        <v>30</v>
      </c>
      <c r="W32" s="74" t="s">
        <v>37</v>
      </c>
      <c r="X32" s="74" t="s">
        <v>62</v>
      </c>
      <c r="Y32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8.8233600000000006E-3</v>
      </c>
      <c r="Z32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0.45135000000000003</v>
      </c>
      <c r="AA32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401.47047619047618</v>
      </c>
      <c r="AB32" s="134">
        <f>Adverse_Stress[[#This Row],[ATS]]*INDEX(Portfolio_Stresser[[Base]:[Severely Adverse]],MATCH("MDR",Portfolio_Stresser[Scenario],0),MATCH("Adverse",Portfolio_Stresser[[#Headers],[Base]:[Severely Adverse]],0))</f>
        <v>19.069847619047618</v>
      </c>
      <c r="AC32" s="134" cm="1">
        <f t="array" ref="AC32">Adverse_Stress[[#This Row],[ATS]]*INDEX(Portfolio_Stresser[[Base]:[Severely Adverse]],MATCH("Funding Rate",Portfolio_Stresser[Scenario],0),MATCH("Adverse",Portfolio_Stresser[[#Headers],[Base]:[Severely Adverse]],0))*Dynamic_Row_Table[Tenure (in months)]/12</f>
        <v>5.6456785714285713</v>
      </c>
      <c r="AD32" s="134">
        <f>Adverse_Stress[[#This Row],[PD]]*Adverse_Stress[[#This Row],[ATS]]*Adverse_Stress[[#This Row],[EAD]]</f>
        <v>1.5988254733900802</v>
      </c>
      <c r="AE32" s="134" cm="1">
        <f t="array" ref="AE32">Adverse_Stress[[#This Row],[Revenue Per Loan]]-Adverse_Stress[[#This Row],[Funding Cost]]-Adverse_Stress[[#This Row],[ECL]]-Fixed_Cost[Fixed Cost]</f>
        <v>8.825343574228965</v>
      </c>
      <c r="AF32" s="130">
        <f>Base_Stress[[#This Row],[User Count(in M)]]</f>
        <v>2.1210382161650263</v>
      </c>
      <c r="AG32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7.5394124678968462</v>
      </c>
      <c r="AH32" s="130">
        <f>Adverse_Stress[[#This Row],[Loan Count(in M)]]/Adverse_Stress[[#This Row],[User Count(in M)]]</f>
        <v>3.554585867636364</v>
      </c>
      <c r="AI32" s="134">
        <f>Adverse_Stress[[#This Row],[Revenue Per Loan]]*Adverse_Stress[[#This Row],[Avg Loan Per User]]</f>
        <v>67.785410844645625</v>
      </c>
      <c r="AJ32" s="134">
        <f>Adverse_Stress[[#This Row],[CM Per Loan]]*Adverse_Stress[[#This Row],[Avg Loan Per User]]</f>
        <v>31.370441545989674</v>
      </c>
      <c r="AK32" s="134">
        <f>Adverse_Stress[[#This Row],[CM Per User]]*Adverse_Stress[[#This Row],[User Count(in M)]]</f>
        <v>66.537905377015164</v>
      </c>
      <c r="AL32" s="144">
        <f>(Base_Stress[[#This Row],[CM Per Segment]]-Adverse_Stress[[#This Row],[CM Per Segment]])/($B$68-$B$69)</f>
        <v>7.1257254656955829E-2</v>
      </c>
      <c r="AN32" s="74">
        <v>30</v>
      </c>
      <c r="AO32" s="74" t="s">
        <v>30</v>
      </c>
      <c r="AP32" s="74" t="s">
        <v>37</v>
      </c>
      <c r="AQ32" s="74" t="s">
        <v>62</v>
      </c>
      <c r="AR32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1.0432800000000001E-2</v>
      </c>
      <c r="AS32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0.46462500000000001</v>
      </c>
      <c r="AT32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359.6506349206349</v>
      </c>
      <c r="AU32" s="134">
        <f>Severely_Adverse_Stress[[#This Row],[ATS]]*INDEX(Portfolio_Stresser[[Base]:[Severely Adverse]],MATCH("MDR",Portfolio_Stresser[Scenario],0),MATCH("Severely Adverse",Portfolio_Stresser[[#Headers],[Base]:[Severely Adverse]],0))</f>
        <v>16.184278571428571</v>
      </c>
      <c r="AV32" s="130" cm="1">
        <f t="array" ref="AV32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5.8443228174603172</v>
      </c>
      <c r="AW32" s="130">
        <f>Severely_Adverse_Stress[[#This Row],[PD]]*Severely_Adverse_Stress[[#This Row],[ATS]]*Severely_Adverse_Stress[[#This Row],[EAD]]</f>
        <v>1.7433488007810001</v>
      </c>
      <c r="AX32" s="134" cm="1">
        <f t="array" ref="AX32">Severely_Adverse_Stress[[#This Row],[Revenue Per Loan]]-Severely_Adverse_Stress[[#This Row],[Funding Cost]]-Severely_Adverse_Stress[[#This Row],[ECL]]-Fixed_Cost[Fixed Cost]</f>
        <v>5.5966069531872549</v>
      </c>
      <c r="AY32" s="130">
        <f>Base_Stress[[#This Row],[User Count(in M)]]</f>
        <v>2.1210382161650263</v>
      </c>
      <c r="AZ32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6.7766321357127541</v>
      </c>
      <c r="BA32" s="130">
        <f>Severely_Adverse_Stress[[#This Row],[Loan Count(in M)]]/Severely_Adverse_Stress[[#This Row],[User Count(in M)]]</f>
        <v>3.1949599418181824</v>
      </c>
      <c r="BB32" s="134">
        <f>Severely_Adverse_Stress[[#This Row],[Revenue Per Loan]]*Severely_Adverse_Stress[[#This Row],[Avg Loan Per User]]</f>
        <v>51.708121722940682</v>
      </c>
      <c r="BC32" s="134">
        <f>Severely_Adverse_Stress[[#This Row],[CM Per Loan]]*Severely_Adverse_Stress[[#This Row],[Avg Loan Per User]]</f>
        <v>17.880935025534388</v>
      </c>
      <c r="BD32" s="134">
        <f>Severely_Adverse_Stress[[#This Row],[CM Per User]]*Severely_Adverse_Stress[[#This Row],[User Count(in M)]]</f>
        <v>37.9261465299222</v>
      </c>
      <c r="BE32" s="134"/>
    </row>
    <row r="33" spans="1:57" x14ac:dyDescent="0.2">
      <c r="A33">
        <v>31</v>
      </c>
      <c r="B33" t="s">
        <v>32</v>
      </c>
      <c r="C33" s="9" t="s">
        <v>35</v>
      </c>
      <c r="D33" t="s">
        <v>58</v>
      </c>
      <c r="E33" s="65" cm="1">
        <f t="array" ref="E33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3.5000000000000003E-2</v>
      </c>
      <c r="F33" s="64">
        <f>VLOOKUP(Base_Stress[[#This Row],[Credit Category]],
  EAD_Table[#All],
  MATCH("EAD",EAD_Table[#Headers],0),
  FALSE)</f>
        <v>0.63750000000000007</v>
      </c>
      <c r="G33" s="98" cm="1">
        <f t="array" ref="G33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78.219444444444434</v>
      </c>
      <c r="H33" s="98">
        <f>Base_Stress[[#This Row],[ATS]]*INDEX(Portfolio_Stresser[[Base]:[Severely Adverse]],MATCH("MDR",Portfolio_Stresser[Scenario],0),MATCH("Base",Portfolio_Stresser[[#Headers],[Base]:[Severely Adverse]],0))</f>
        <v>3.9109722222222221</v>
      </c>
      <c r="I33" s="98" cm="1">
        <f t="array" ref="I33">Base_Stress[[#This Row],[ATS]]*INDEX(Portfolio_Stresser[[Base]:[Severely Adverse]],MATCH("Funding Rate",Portfolio_Stresser[Scenario],0),MATCH("Base",Portfolio_Stresser[[#Headers],[Base]:[Severely Adverse]],0))*Dynamic_Row_Table[Tenure (in months)]/12</f>
        <v>0.92885590277777774</v>
      </c>
      <c r="J33" s="98">
        <f>Base_Stress[[#This Row],[PD]]*Base_Stress[[#This Row],[ATS]]*Base_Stress[[#This Row],[EAD]]</f>
        <v>1.7452713541666667</v>
      </c>
      <c r="K33" s="98" cm="1">
        <f t="array" ref="K33">Base_Stress[[#This Row],[Revenue Per Loan]]-Base_Stress[[#This Row],[Funding Cost]]-Base_Stress[[#This Row],[ECL]]-Fixed_Cost[Fixed Cost]</f>
        <v>-1.7631550347222225</v>
      </c>
      <c r="L33" s="10" cm="1">
        <f t="array" ref="L33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1.049369170973969</v>
      </c>
      <c r="M33" s="10" cm="1">
        <f t="array" ref="M33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13.80074227042623</v>
      </c>
      <c r="N33" s="10">
        <f>Base_Stress[[#This Row],[Loan Count(in M)]]/Base_Stress[[#This Row],[User Count(in M)]]</f>
        <v>13.151465329991648</v>
      </c>
      <c r="O33" s="98">
        <f>Base_Stress[[#This Row],[Revenue Per Loan]]*Base_Stress[[#This Row],[Avg Loan Per User]]</f>
        <v>51.435015587115949</v>
      </c>
      <c r="P33" s="98">
        <f>Base_Stress[[#This Row],[CM Per Loan]]*Base_Stress[[#This Row],[Avg Loan Per User]]</f>
        <v>-23.188072310549529</v>
      </c>
      <c r="Q33" s="98">
        <f>Base_Stress[[#This Row],[CM Per User]]*Base_Stress[[#This Row],[User Count(in M)]]</f>
        <v>-24.332848217005804</v>
      </c>
      <c r="R33" s="124">
        <f>Base_Stress[[#This Row],[CM Per Segment]]/SUM(Base_Stress[CM Per Segment])</f>
        <v>-5.8740197341672164E-2</v>
      </c>
      <c r="S33" s="10"/>
      <c r="U33" s="73">
        <v>31</v>
      </c>
      <c r="V33" s="73" t="s">
        <v>32</v>
      </c>
      <c r="W33" s="73" t="s">
        <v>35</v>
      </c>
      <c r="X33" s="73" t="s">
        <v>58</v>
      </c>
      <c r="Y33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5.4332950000000005E-2</v>
      </c>
      <c r="Z33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0.73312500000000003</v>
      </c>
      <c r="AA33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70.593048611111087</v>
      </c>
      <c r="AB33" s="101">
        <f>Adverse_Stress[[#This Row],[ATS]]*INDEX(Portfolio_Stresser[[Base]:[Severely Adverse]],MATCH("MDR",Portfolio_Stresser[Scenario],0),MATCH("Adverse",Portfolio_Stresser[[#Headers],[Base]:[Severely Adverse]],0))</f>
        <v>3.3531698090277766</v>
      </c>
      <c r="AC33" s="101" cm="1">
        <f t="array" ref="AC33">Adverse_Stress[[#This Row],[ATS]]*INDEX(Portfolio_Stresser[[Base]:[Severely Adverse]],MATCH("Funding Rate",Portfolio_Stresser[Scenario],0),MATCH("Adverse",Portfolio_Stresser[[#Headers],[Base]:[Severely Adverse]],0))*Dynamic_Row_Table[Tenure (in months)]/12</f>
        <v>0.99271474609374966</v>
      </c>
      <c r="AD33" s="101">
        <f>Adverse_Stress[[#This Row],[PD]]*Adverse_Stress[[#This Row],[ATS]]*Adverse_Stress[[#This Row],[EAD]]</f>
        <v>2.811921890604772</v>
      </c>
      <c r="AE33" s="101" cm="1">
        <f t="array" ref="AE33">Adverse_Stress[[#This Row],[Revenue Per Loan]]-Adverse_Stress[[#This Row],[Funding Cost]]-Adverse_Stress[[#This Row],[ECL]]-Fixed_Cost[Fixed Cost]</f>
        <v>-3.4514668276707452</v>
      </c>
      <c r="AF33" s="72">
        <f>Base_Stress[[#This Row],[User Count(in M)]]</f>
        <v>1.049369170973969</v>
      </c>
      <c r="AG33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11.780313602035829</v>
      </c>
      <c r="AH33" s="72">
        <f>Adverse_Stress[[#This Row],[Loan Count(in M)]]/Adverse_Stress[[#This Row],[User Count(in M)]]</f>
        <v>11.226090805680869</v>
      </c>
      <c r="AI33" s="101">
        <f>Adverse_Stress[[#This Row],[Revenue Per Loan]]*Adverse_Stress[[#This Row],[Avg Loan Per User]]</f>
        <v>37.642988763013399</v>
      </c>
      <c r="AJ33" s="101">
        <f>Adverse_Stress[[#This Row],[CM Per Loan]]*Adverse_Stress[[#This Row],[Avg Loan Per User]]</f>
        <v>-38.746480020227068</v>
      </c>
      <c r="AK33" s="101">
        <f>Adverse_Stress[[#This Row],[CM Per User]]*Adverse_Stress[[#This Row],[User Count(in M)]]</f>
        <v>-40.65936161698513</v>
      </c>
      <c r="AL33" s="145">
        <f>(Base_Stress[[#This Row],[CM Per Segment]]-Adverse_Stress[[#This Row],[CM Per Segment]])/($B$68-$B$69)</f>
        <v>3.0961030704071042E-2</v>
      </c>
      <c r="AN33" s="73">
        <v>31</v>
      </c>
      <c r="AO33" s="73" t="s">
        <v>32</v>
      </c>
      <c r="AP33" s="73" t="s">
        <v>35</v>
      </c>
      <c r="AQ33" s="73" t="s">
        <v>58</v>
      </c>
      <c r="AR33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7.6076000000000005E-2</v>
      </c>
      <c r="AS33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0.75</v>
      </c>
      <c r="AT33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63.357749999999996</v>
      </c>
      <c r="AU33" s="101">
        <f>Severely_Adverse_Stress[[#This Row],[ATS]]*INDEX(Portfolio_Stresser[[Base]:[Severely Adverse]],MATCH("MDR",Portfolio_Stresser[Scenario],0),MATCH("Severely Adverse",Portfolio_Stresser[[#Headers],[Base]:[Severely Adverse]],0))</f>
        <v>2.8510987499999998</v>
      </c>
      <c r="AV33" s="72" cm="1">
        <f t="array" ref="AV33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1.0295634375</v>
      </c>
      <c r="AW33" s="72">
        <f>Severely_Adverse_Stress[[#This Row],[PD]]*Severely_Adverse_Stress[[#This Row],[ATS]]*Severely_Adverse_Stress[[#This Row],[EAD]]</f>
        <v>3.6150031417499999</v>
      </c>
      <c r="AX33" s="101" cm="1">
        <f t="array" ref="AX33">Severely_Adverse_Stress[[#This Row],[Revenue Per Loan]]-Severely_Adverse_Stress[[#This Row],[Funding Cost]]-Severely_Adverse_Stress[[#This Row],[ECL]]-Fixed_Cost[Fixed Cost]</f>
        <v>-4.7934678292499999</v>
      </c>
      <c r="AY33" s="72">
        <f>Base_Stress[[#This Row],[User Count(in M)]]</f>
        <v>1.049369170973969</v>
      </c>
      <c r="AZ33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10.411279968809549</v>
      </c>
      <c r="BA33" s="72">
        <f>Severely_Adverse_Stress[[#This Row],[Loan Count(in M)]]/Severely_Adverse_Stress[[#This Row],[User Count(in M)]]</f>
        <v>9.9214654449456994</v>
      </c>
      <c r="BB33" s="101">
        <f>Severely_Adverse_Stress[[#This Row],[Revenue Per Loan]]*Severely_Adverse_Stress[[#This Row],[Avg Loan Per User]]</f>
        <v>28.287077728252875</v>
      </c>
      <c r="BC33" s="101">
        <f>Severely_Adverse_Stress[[#This Row],[CM Per Loan]]*Severely_Adverse_Stress[[#This Row],[Avg Loan Per User]]</f>
        <v>-47.558225429362743</v>
      </c>
      <c r="BD33" s="101">
        <f>Severely_Adverse_Stress[[#This Row],[CM Per User]]*Severely_Adverse_Stress[[#This Row],[User Count(in M)]]</f>
        <v>-49.906135591803512</v>
      </c>
      <c r="BE33" s="101"/>
    </row>
    <row r="34" spans="1:57" x14ac:dyDescent="0.2">
      <c r="A34">
        <v>32</v>
      </c>
      <c r="B34" t="s">
        <v>32</v>
      </c>
      <c r="C34" s="9" t="s">
        <v>35</v>
      </c>
      <c r="D34" t="s">
        <v>83</v>
      </c>
      <c r="E34" s="65" cm="1">
        <f t="array" ref="E34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1.0999999999999999E-2</v>
      </c>
      <c r="F34" s="64">
        <f>VLOOKUP(Base_Stress[[#This Row],[Credit Category]],
  EAD_Table[#All],
  MATCH("EAD",EAD_Table[#Headers],0),
  FALSE)</f>
        <v>0.5625</v>
      </c>
      <c r="G34" s="98" cm="1">
        <f t="array" ref="G34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93.858730158730154</v>
      </c>
      <c r="H34" s="98">
        <f>Base_Stress[[#This Row],[ATS]]*INDEX(Portfolio_Stresser[[Base]:[Severely Adverse]],MATCH("MDR",Portfolio_Stresser[Scenario],0),MATCH("Base",Portfolio_Stresser[[#Headers],[Base]:[Severely Adverse]],0))</f>
        <v>4.6929365079365075</v>
      </c>
      <c r="I34" s="98" cm="1">
        <f t="array" ref="I34">Base_Stress[[#This Row],[ATS]]*INDEX(Portfolio_Stresser[[Base]:[Severely Adverse]],MATCH("Funding Rate",Portfolio_Stresser[Scenario],0),MATCH("Base",Portfolio_Stresser[[#Headers],[Base]:[Severely Adverse]],0))*Dynamic_Row_Table[Tenure (in months)]/12</f>
        <v>1.1145724206349206</v>
      </c>
      <c r="J34" s="98">
        <f>Base_Stress[[#This Row],[PD]]*Base_Stress[[#This Row],[ATS]]*Base_Stress[[#This Row],[EAD]]</f>
        <v>0.58075089285714276</v>
      </c>
      <c r="K34" s="98" cm="1">
        <f t="array" ref="K34">Base_Stress[[#This Row],[Revenue Per Loan]]-Base_Stress[[#This Row],[Funding Cost]]-Base_Stress[[#This Row],[ECL]]-Fixed_Cost[Fixed Cost]</f>
        <v>-2.3868055555560375E-3</v>
      </c>
      <c r="L34" s="10" cm="1">
        <f t="array" ref="L34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0.87041396634324697</v>
      </c>
      <c r="M34" s="10" cm="1">
        <f t="array" ref="M34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4.0944463151266373</v>
      </c>
      <c r="N34" s="10">
        <f>Base_Stress[[#This Row],[Loan Count(in M)]]/Base_Stress[[#This Row],[User Count(in M)]]</f>
        <v>4.7040218487394947</v>
      </c>
      <c r="O34" s="98">
        <f>Base_Stress[[#This Row],[Revenue Per Loan]]*Base_Stress[[#This Row],[Avg Loan Per User]]</f>
        <v>22.075675868080559</v>
      </c>
      <c r="P34" s="98">
        <f>Base_Stress[[#This Row],[CM Per Loan]]*Base_Stress[[#This Row],[Avg Loan Per User]]</f>
        <v>-1.1227585482028409E-2</v>
      </c>
      <c r="Q34" s="98">
        <f>Base_Stress[[#This Row],[CM Per User]]*Base_Stress[[#This Row],[User Count(in M)]]</f>
        <v>-9.7726472118702043E-3</v>
      </c>
      <c r="R34" s="124">
        <f>Base_Stress[[#This Row],[CM Per Segment]]/SUM(Base_Stress[CM Per Segment])</f>
        <v>-2.3591452207169336E-5</v>
      </c>
      <c r="S34" s="10"/>
      <c r="U34" s="74">
        <v>32</v>
      </c>
      <c r="V34" s="74" t="s">
        <v>32</v>
      </c>
      <c r="W34" s="74" t="s">
        <v>35</v>
      </c>
      <c r="X34" s="74" t="s">
        <v>83</v>
      </c>
      <c r="Y34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1.5309580000000001E-2</v>
      </c>
      <c r="Z34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0.61875000000000002</v>
      </c>
      <c r="AA34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84.70750396825396</v>
      </c>
      <c r="AB34" s="134">
        <f>Adverse_Stress[[#This Row],[ATS]]*INDEX(Portfolio_Stresser[[Base]:[Severely Adverse]],MATCH("MDR",Portfolio_Stresser[Scenario],0),MATCH("Adverse",Portfolio_Stresser[[#Headers],[Base]:[Severely Adverse]],0))</f>
        <v>4.0236064384920631</v>
      </c>
      <c r="AC34" s="134" cm="1">
        <f t="array" ref="AC34">Adverse_Stress[[#This Row],[ATS]]*INDEX(Portfolio_Stresser[[Base]:[Severely Adverse]],MATCH("Funding Rate",Portfolio_Stresser[Scenario],0),MATCH("Adverse",Portfolio_Stresser[[#Headers],[Base]:[Severely Adverse]],0))*Dynamic_Row_Table[Tenure (in months)]/12</f>
        <v>1.1911992745535713</v>
      </c>
      <c r="AD34" s="134">
        <f>Adverse_Stress[[#This Row],[PD]]*Adverse_Stress[[#This Row],[ATS]]*Adverse_Stress[[#This Row],[EAD]]</f>
        <v>0.80241746594767416</v>
      </c>
      <c r="AE34" s="134" cm="1">
        <f t="array" ref="AE34">Adverse_Stress[[#This Row],[Revenue Per Loan]]-Adverse_Stress[[#This Row],[Funding Cost]]-Adverse_Stress[[#This Row],[ECL]]-Fixed_Cost[Fixed Cost]</f>
        <v>-0.97001030200918237</v>
      </c>
      <c r="AF34" s="130">
        <f>Base_Stress[[#This Row],[User Count(in M)]]</f>
        <v>0.87041396634324697</v>
      </c>
      <c r="AG34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3.4950193745920974</v>
      </c>
      <c r="AH34" s="130">
        <f>Adverse_Stress[[#This Row],[Loan Count(in M)]]/Adverse_Stress[[#This Row],[User Count(in M)]]</f>
        <v>4.0153530500840331</v>
      </c>
      <c r="AI34" s="134">
        <f>Adverse_Stress[[#This Row],[Revenue Per Loan]]*Adverse_Stress[[#This Row],[Avg Loan Per User]]</f>
        <v>16.156200385136859</v>
      </c>
      <c r="AJ34" s="134">
        <f>Adverse_Stress[[#This Row],[CM Per Loan]]*Adverse_Stress[[#This Row],[Avg Loan Per User]]</f>
        <v>-3.8949338247855043</v>
      </c>
      <c r="AK34" s="134">
        <f>Adverse_Stress[[#This Row],[CM Per User]]*Adverse_Stress[[#This Row],[User Count(in M)]]</f>
        <v>-3.3902047990760242</v>
      </c>
      <c r="AL34" s="144">
        <f>(Base_Stress[[#This Row],[CM Per Segment]]-Adverse_Stress[[#This Row],[CM Per Segment]])/($B$68-$B$69)</f>
        <v>6.4105336566855449E-3</v>
      </c>
      <c r="AN34" s="74">
        <v>32</v>
      </c>
      <c r="AO34" s="74" t="s">
        <v>32</v>
      </c>
      <c r="AP34" s="74" t="s">
        <v>35</v>
      </c>
      <c r="AQ34" s="74" t="s">
        <v>83</v>
      </c>
      <c r="AR34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2.0763600000000004E-2</v>
      </c>
      <c r="AS34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0.65812499999999996</v>
      </c>
      <c r="AT34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76.025571428571425</v>
      </c>
      <c r="AU34" s="134">
        <f>Severely_Adverse_Stress[[#This Row],[ATS]]*INDEX(Portfolio_Stresser[[Base]:[Severely Adverse]],MATCH("MDR",Portfolio_Stresser[Scenario],0),MATCH("Severely Adverse",Portfolio_Stresser[[#Headers],[Base]:[Severely Adverse]],0))</f>
        <v>3.421150714285714</v>
      </c>
      <c r="AV34" s="130" cm="1">
        <f t="array" ref="AV34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1.2354155357142858</v>
      </c>
      <c r="AW34" s="130">
        <f>Severely_Adverse_Stress[[#This Row],[PD]]*Severely_Adverse_Stress[[#This Row],[ATS]]*Severely_Adverse_Stress[[#This Row],[EAD]]</f>
        <v>1.0388927977029643</v>
      </c>
      <c r="AX34" s="134" cm="1">
        <f t="array" ref="AX34">Severely_Adverse_Stress[[#This Row],[Revenue Per Loan]]-Severely_Adverse_Stress[[#This Row],[Funding Cost]]-Severely_Adverse_Stress[[#This Row],[ECL]]-Fixed_Cost[Fixed Cost]</f>
        <v>-1.8531576191315362</v>
      </c>
      <c r="AY34" s="130">
        <f>Base_Stress[[#This Row],[User Count(in M)]]</f>
        <v>0.87041396634324697</v>
      </c>
      <c r="AZ34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3.0888503001315351</v>
      </c>
      <c r="BA34" s="130">
        <f>Severely_Adverse_Stress[[#This Row],[Loan Count(in M)]]/Severely_Adverse_Stress[[#This Row],[User Count(in M)]]</f>
        <v>3.5487140826890751</v>
      </c>
      <c r="BB34" s="134">
        <f>Severely_Adverse_Stress[[#This Row],[Revenue Per Loan]]*Severely_Adverse_Stress[[#This Row],[Avg Loan Per User]]</f>
        <v>12.140685718787502</v>
      </c>
      <c r="BC34" s="134">
        <f>Severely_Adverse_Stress[[#This Row],[CM Per Loan]]*Severely_Adverse_Stress[[#This Row],[Avg Loan Per User]]</f>
        <v>-6.57632654045464</v>
      </c>
      <c r="BD34" s="134">
        <f>Severely_Adverse_Stress[[#This Row],[CM Per User]]*Severely_Adverse_Stress[[#This Row],[User Count(in M)]]</f>
        <v>-5.7241264680454869</v>
      </c>
      <c r="BE34" s="134"/>
    </row>
    <row r="35" spans="1:57" x14ac:dyDescent="0.2">
      <c r="A35">
        <v>33</v>
      </c>
      <c r="B35" t="s">
        <v>32</v>
      </c>
      <c r="C35" s="9" t="s">
        <v>35</v>
      </c>
      <c r="D35" t="s">
        <v>60</v>
      </c>
      <c r="E35" s="65" cm="1">
        <f t="array" ref="E35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35" s="64">
        <f>VLOOKUP(Base_Stress[[#This Row],[Credit Category]],
  EAD_Table[#All],
  MATCH("EAD",EAD_Table[#Headers],0),
  FALSE)</f>
        <v>0.51749999999999996</v>
      </c>
      <c r="G35" s="98" cm="1">
        <f t="array" ref="G35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125.14880952380952</v>
      </c>
      <c r="H35" s="98">
        <f>Base_Stress[[#This Row],[ATS]]*INDEX(Portfolio_Stresser[[Base]:[Severely Adverse]],MATCH("MDR",Portfolio_Stresser[Scenario],0),MATCH("Base",Portfolio_Stresser[[#Headers],[Base]:[Severely Adverse]],0))</f>
        <v>6.2574404761904763</v>
      </c>
      <c r="I35" s="98" cm="1">
        <f t="array" ref="I35">Base_Stress[[#This Row],[ATS]]*INDEX(Portfolio_Stresser[[Base]:[Severely Adverse]],MATCH("Funding Rate",Portfolio_Stresser[Scenario],0),MATCH("Base",Portfolio_Stresser[[#Headers],[Base]:[Severely Adverse]],0))*Dynamic_Row_Table[Tenure (in months)]/12</f>
        <v>1.4861421130952381</v>
      </c>
      <c r="J35" s="98">
        <f>Base_Stress[[#This Row],[PD]]*Base_Stress[[#This Row],[ATS]]*Base_Stress[[#This Row],[EAD]]</f>
        <v>0.51811607142857141</v>
      </c>
      <c r="K35" s="98" cm="1">
        <f t="array" ref="K35">Base_Stress[[#This Row],[Revenue Per Loan]]-Base_Stress[[#This Row],[Funding Cost]]-Base_Stress[[#This Row],[ECL]]-Fixed_Cost[Fixed Cost]</f>
        <v>1.2531822916666666</v>
      </c>
      <c r="L35" s="10" cm="1">
        <f t="array" ref="L35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0.39500581916290206</v>
      </c>
      <c r="M35" s="10" cm="1">
        <f t="array" ref="M35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1.9095389362469646</v>
      </c>
      <c r="N35" s="10">
        <f>Base_Stress[[#This Row],[Loan Count(in M)]]/Base_Stress[[#This Row],[User Count(in M)]]</f>
        <v>4.8342045701849843</v>
      </c>
      <c r="O35" s="98">
        <f>Base_Stress[[#This Row],[Revenue Per Loan]]*Base_Stress[[#This Row],[Avg Loan Per User]]</f>
        <v>30.249747347660506</v>
      </c>
      <c r="P35" s="98">
        <f>Base_Stress[[#This Row],[CM Per Loan]]*Base_Stress[[#This Row],[Avg Loan Per User]]</f>
        <v>6.0581395616498916</v>
      </c>
      <c r="Q35" s="98">
        <f>Base_Stress[[#This Row],[CM Per User]]*Base_Stress[[#This Row],[User Count(in M)]]</f>
        <v>2.3930003801526998</v>
      </c>
      <c r="R35" s="124">
        <f>Base_Stress[[#This Row],[CM Per Segment]]/SUM(Base_Stress[CM Per Segment])</f>
        <v>5.7767719304897252E-3</v>
      </c>
      <c r="S35" s="10"/>
      <c r="U35" s="73">
        <v>33</v>
      </c>
      <c r="V35" s="73" t="s">
        <v>32</v>
      </c>
      <c r="W35" s="73" t="s">
        <v>35</v>
      </c>
      <c r="X35" s="73" t="s">
        <v>60</v>
      </c>
      <c r="Y35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1.0106464000000001E-2</v>
      </c>
      <c r="Z35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0.55372500000000002</v>
      </c>
      <c r="AA35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112.94680059523807</v>
      </c>
      <c r="AB35" s="101">
        <f>Adverse_Stress[[#This Row],[ATS]]*INDEX(Portfolio_Stresser[[Base]:[Severely Adverse]],MATCH("MDR",Portfolio_Stresser[Scenario],0),MATCH("Adverse",Portfolio_Stresser[[#Headers],[Base]:[Severely Adverse]],0))</f>
        <v>5.3649730282738082</v>
      </c>
      <c r="AC35" s="101" cm="1">
        <f t="array" ref="AC35">Adverse_Stress[[#This Row],[ATS]]*INDEX(Portfolio_Stresser[[Base]:[Severely Adverse]],MATCH("Funding Rate",Portfolio_Stresser[Scenario],0),MATCH("Adverse",Portfolio_Stresser[[#Headers],[Base]:[Severely Adverse]],0))*Dynamic_Row_Table[Tenure (in months)]/12</f>
        <v>1.5883143833705355</v>
      </c>
      <c r="AD35" s="101">
        <f>Adverse_Stress[[#This Row],[PD]]*Adverse_Stress[[#This Row],[ATS]]*Adverse_Stress[[#This Row],[EAD]]</f>
        <v>0.63207308635566151</v>
      </c>
      <c r="AE35" s="101" cm="1">
        <f t="array" ref="AE35">Adverse_Stress[[#This Row],[Revenue Per Loan]]-Adverse_Stress[[#This Row],[Funding Cost]]-Adverse_Stress[[#This Row],[ECL]]-Fixed_Cost[Fixed Cost]</f>
        <v>0.14458555854761102</v>
      </c>
      <c r="AF35" s="72">
        <f>Base_Stress[[#This Row],[User Count(in M)]]</f>
        <v>0.39500581916290206</v>
      </c>
      <c r="AG35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1.6299824359804089</v>
      </c>
      <c r="AH35" s="72">
        <f>Adverse_Stress[[#This Row],[Loan Count(in M)]]/Adverse_Stress[[#This Row],[User Count(in M)]]</f>
        <v>4.1264770211099027</v>
      </c>
      <c r="AI35" s="101">
        <f>Adverse_Stress[[#This Row],[Revenue Per Loan]]*Adverse_Stress[[#This Row],[Avg Loan Per User]]</f>
        <v>22.138437920046279</v>
      </c>
      <c r="AJ35" s="101">
        <f>Adverse_Stress[[#This Row],[CM Per Loan]]*Adverse_Stress[[#This Row],[Avg Loan Per User]]</f>
        <v>0.59662898493105732</v>
      </c>
      <c r="AK35" s="101">
        <f>Adverse_Stress[[#This Row],[CM Per User]]*Adverse_Stress[[#This Row],[User Count(in M)]]</f>
        <v>0.23567192092902303</v>
      </c>
      <c r="AL35" s="145">
        <f>(Base_Stress[[#This Row],[CM Per Segment]]-Adverse_Stress[[#This Row],[CM Per Segment]])/($B$68-$B$69)</f>
        <v>4.0910824637472873E-3</v>
      </c>
      <c r="AN35" s="73">
        <v>33</v>
      </c>
      <c r="AO35" s="73" t="s">
        <v>32</v>
      </c>
      <c r="AP35" s="73" t="s">
        <v>35</v>
      </c>
      <c r="AQ35" s="73" t="s">
        <v>60</v>
      </c>
      <c r="AR35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1.3270400000000002E-2</v>
      </c>
      <c r="AS35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0.58994999999999986</v>
      </c>
      <c r="AT35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101.37053571428571</v>
      </c>
      <c r="AU35" s="101">
        <f>Severely_Adverse_Stress[[#This Row],[ATS]]*INDEX(Portfolio_Stresser[[Base]:[Severely Adverse]],MATCH("MDR",Portfolio_Stresser[Scenario],0),MATCH("Severely Adverse",Portfolio_Stresser[[#Headers],[Base]:[Severely Adverse]],0))</f>
        <v>4.5616741071428564</v>
      </c>
      <c r="AV35" s="72" cm="1">
        <f t="array" ref="AV35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1.6472712053571428</v>
      </c>
      <c r="AW35" s="72">
        <f>Severely_Adverse_Stress[[#This Row],[PD]]*Severely_Adverse_Stress[[#This Row],[ATS]]*Severely_Adverse_Stress[[#This Row],[EAD]]</f>
        <v>0.79361699733642843</v>
      </c>
      <c r="AX35" s="101" cm="1">
        <f t="array" ref="AX35">Severely_Adverse_Stress[[#This Row],[Revenue Per Loan]]-Severely_Adverse_Stress[[#This Row],[Funding Cost]]-Severely_Adverse_Stress[[#This Row],[ECL]]-Fixed_Cost[Fixed Cost]</f>
        <v>-0.87921409555071506</v>
      </c>
      <c r="AY35" s="72">
        <f>Base_Stress[[#This Row],[User Count(in M)]]</f>
        <v>0.39500581916290206</v>
      </c>
      <c r="AZ35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1.4405561735047101</v>
      </c>
      <c r="BA35" s="72">
        <f>Severely_Adverse_Stress[[#This Row],[Loan Count(in M)]]/Severely_Adverse_Stress[[#This Row],[User Count(in M)]]</f>
        <v>3.6469239277475523</v>
      </c>
      <c r="BB35" s="101">
        <f>Severely_Adverse_Stress[[#This Row],[Revenue Per Loan]]*Severely_Adverse_Stress[[#This Row],[Avg Loan Per User]]</f>
        <v>16.636078451925734</v>
      </c>
      <c r="BC35" s="101">
        <f>Severely_Adverse_Stress[[#This Row],[CM Per Loan]]*Severely_Adverse_Stress[[#This Row],[Avg Loan Per User]]</f>
        <v>-3.2064269226768256</v>
      </c>
      <c r="BD35" s="101">
        <f>Severely_Adverse_Stress[[#This Row],[CM Per User]]*Severely_Adverse_Stress[[#This Row],[User Count(in M)]]</f>
        <v>-1.2665572931779427</v>
      </c>
      <c r="BE35" s="101"/>
    </row>
    <row r="36" spans="1:57" x14ac:dyDescent="0.2">
      <c r="A36">
        <v>34</v>
      </c>
      <c r="B36" t="s">
        <v>32</v>
      </c>
      <c r="C36" s="9" t="s">
        <v>35</v>
      </c>
      <c r="D36" t="s">
        <v>61</v>
      </c>
      <c r="E36" s="65" cm="1">
        <f t="array" ref="E36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7.0000000000000001E-3</v>
      </c>
      <c r="F36" s="64">
        <f>VLOOKUP(Base_Stress[[#This Row],[Credit Category]],
  EAD_Table[#All],
  MATCH("EAD",EAD_Table[#Headers],0),
  FALSE)</f>
        <v>0.48749999999999999</v>
      </c>
      <c r="G36" s="98" cm="1">
        <f t="array" ref="G36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161.6519841269841</v>
      </c>
      <c r="H36" s="98">
        <f>Base_Stress[[#This Row],[ATS]]*INDEX(Portfolio_Stresser[[Base]:[Severely Adverse]],MATCH("MDR",Portfolio_Stresser[Scenario],0),MATCH("Base",Portfolio_Stresser[[#Headers],[Base]:[Severely Adverse]],0))</f>
        <v>8.0825992063492063</v>
      </c>
      <c r="I36" s="98" cm="1">
        <f t="array" ref="I36">Base_Stress[[#This Row],[ATS]]*INDEX(Portfolio_Stresser[[Base]:[Severely Adverse]],MATCH("Funding Rate",Portfolio_Stresser[Scenario],0),MATCH("Base",Portfolio_Stresser[[#Headers],[Base]:[Severely Adverse]],0))*Dynamic_Row_Table[Tenure (in months)]/12</f>
        <v>1.9196173115079362</v>
      </c>
      <c r="J36" s="98">
        <f>Base_Stress[[#This Row],[PD]]*Base_Stress[[#This Row],[ATS]]*Base_Stress[[#This Row],[EAD]]</f>
        <v>0.55163739583333327</v>
      </c>
      <c r="K36" s="98" cm="1">
        <f t="array" ref="K36">Base_Stress[[#This Row],[Revenue Per Loan]]-Base_Stress[[#This Row],[Funding Cost]]-Base_Stress[[#This Row],[ECL]]-Fixed_Cost[Fixed Cost]</f>
        <v>2.6113444990079362</v>
      </c>
      <c r="L36" s="10" cm="1">
        <f t="array" ref="L36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0.28350716252167923</v>
      </c>
      <c r="M36" s="10" cm="1">
        <f t="array" ref="M36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1.2783432091340075</v>
      </c>
      <c r="N36" s="10">
        <f>Base_Stress[[#This Row],[Loan Count(in M)]]/Base_Stress[[#This Row],[User Count(in M)]]</f>
        <v>4.5090332031250009</v>
      </c>
      <c r="O36" s="98">
        <f>Base_Stress[[#This Row],[Revenue Per Loan]]*Base_Stress[[#This Row],[Avg Loan Per User]]</f>
        <v>36.44470818898035</v>
      </c>
      <c r="P36" s="98">
        <f>Base_Stress[[#This Row],[CM Per Loan]]*Base_Stress[[#This Row],[Avg Loan Per User]]</f>
        <v>11.774639050824605</v>
      </c>
      <c r="Q36" s="98">
        <f>Base_Stress[[#This Row],[CM Per User]]*Base_Stress[[#This Row],[User Count(in M)]]</f>
        <v>3.3381945070162424</v>
      </c>
      <c r="R36" s="124">
        <f>Base_Stress[[#This Row],[CM Per Segment]]/SUM(Base_Stress[CM Per Segment])</f>
        <v>8.0584978116116663E-3</v>
      </c>
      <c r="S36" s="10"/>
      <c r="U36" s="74">
        <v>34</v>
      </c>
      <c r="V36" s="74" t="s">
        <v>32</v>
      </c>
      <c r="W36" s="74" t="s">
        <v>35</v>
      </c>
      <c r="X36" s="74" t="s">
        <v>61</v>
      </c>
      <c r="Y36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8.2436200000000018E-3</v>
      </c>
      <c r="Z36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0.50700000000000001</v>
      </c>
      <c r="AA36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145.89091567460315</v>
      </c>
      <c r="AB36" s="134">
        <f>Adverse_Stress[[#This Row],[ATS]]*INDEX(Portfolio_Stresser[[Base]:[Severely Adverse]],MATCH("MDR",Portfolio_Stresser[Scenario],0),MATCH("Adverse",Portfolio_Stresser[[#Headers],[Base]:[Severely Adverse]],0))</f>
        <v>6.9298184945436496</v>
      </c>
      <c r="AC36" s="134" cm="1">
        <f t="array" ref="AC36">Adverse_Stress[[#This Row],[ATS]]*INDEX(Portfolio_Stresser[[Base]:[Severely Adverse]],MATCH("Funding Rate",Portfolio_Stresser[Scenario],0),MATCH("Adverse",Portfolio_Stresser[[#Headers],[Base]:[Severely Adverse]],0))*Dynamic_Row_Table[Tenure (in months)]/12</f>
        <v>2.0515910016741068</v>
      </c>
      <c r="AD36" s="134">
        <f>Adverse_Stress[[#This Row],[PD]]*Adverse_Stress[[#This Row],[ATS]]*Adverse_Stress[[#This Row],[EAD]]</f>
        <v>0.60975332002865046</v>
      </c>
      <c r="AE36" s="134" cm="1">
        <f t="array" ref="AE36">Adverse_Stress[[#This Row],[Revenue Per Loan]]-Adverse_Stress[[#This Row],[Funding Cost]]-Adverse_Stress[[#This Row],[ECL]]-Fixed_Cost[Fixed Cost]</f>
        <v>1.268474172840893</v>
      </c>
      <c r="AF36" s="130">
        <f>Base_Stress[[#This Row],[User Count(in M)]]</f>
        <v>0.28350716252167923</v>
      </c>
      <c r="AG36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1.0911937633167887</v>
      </c>
      <c r="AH36" s="130">
        <f>Adverse_Stress[[#This Row],[Loan Count(in M)]]/Adverse_Stress[[#This Row],[User Count(in M)]]</f>
        <v>3.8489107421875004</v>
      </c>
      <c r="AI36" s="134">
        <f>Adverse_Stress[[#This Row],[Revenue Per Loan]]*Adverse_Stress[[#This Row],[Avg Loan Per User]]</f>
        <v>26.672252845058665</v>
      </c>
      <c r="AJ36" s="134">
        <f>Adverse_Stress[[#This Row],[CM Per Loan]]*Adverse_Stress[[#This Row],[Avg Loan Per User]]</f>
        <v>4.882243870034717</v>
      </c>
      <c r="AK36" s="134">
        <f>Adverse_Stress[[#This Row],[CM Per User]]*Adverse_Stress[[#This Row],[User Count(in M)]]</f>
        <v>1.3841511063324048</v>
      </c>
      <c r="AL36" s="144">
        <f>(Base_Stress[[#This Row],[CM Per Segment]]-Adverse_Stress[[#This Row],[CM Per Segment]])/($B$68-$B$69)</f>
        <v>3.7055797673088181E-3</v>
      </c>
      <c r="AN36" s="74">
        <v>34</v>
      </c>
      <c r="AO36" s="74" t="s">
        <v>32</v>
      </c>
      <c r="AP36" s="74" t="s">
        <v>35</v>
      </c>
      <c r="AQ36" s="74" t="s">
        <v>61</v>
      </c>
      <c r="AR36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1.0250240000000002E-2</v>
      </c>
      <c r="AS36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0.53625</v>
      </c>
      <c r="AT36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130.93810714285715</v>
      </c>
      <c r="AU36" s="134">
        <f>Severely_Adverse_Stress[[#This Row],[ATS]]*INDEX(Portfolio_Stresser[[Base]:[Severely Adverse]],MATCH("MDR",Portfolio_Stresser[Scenario],0),MATCH("Severely Adverse",Portfolio_Stresser[[#Headers],[Base]:[Severely Adverse]],0))</f>
        <v>5.8922148214285714</v>
      </c>
      <c r="AV36" s="130" cm="1">
        <f t="array" ref="AV36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2.1277442410714289</v>
      </c>
      <c r="AW36" s="130">
        <f>Severely_Adverse_Stress[[#This Row],[PD]]*Severely_Adverse_Stress[[#This Row],[ATS]]*Severely_Adverse_Stress[[#This Row],[EAD]]</f>
        <v>0.71972634127680024</v>
      </c>
      <c r="AX36" s="134" cm="1">
        <f t="array" ref="AX36">Severely_Adverse_Stress[[#This Row],[Revenue Per Loan]]-Severely_Adverse_Stress[[#This Row],[Funding Cost]]-Severely_Adverse_Stress[[#This Row],[ECL]]-Fixed_Cost[Fixed Cost]</f>
        <v>4.4744239080342307E-2</v>
      </c>
      <c r="AY36" s="130">
        <f>Base_Stress[[#This Row],[User Count(in M)]]</f>
        <v>0.28350716252167923</v>
      </c>
      <c r="AZ36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0.96438211697069531</v>
      </c>
      <c r="BA36" s="130">
        <f>Severely_Adverse_Stress[[#This Row],[Loan Count(in M)]]/Severely_Adverse_Stress[[#This Row],[User Count(in M)]]</f>
        <v>3.4016146484375009</v>
      </c>
      <c r="BB36" s="134">
        <f>Severely_Adverse_Stress[[#This Row],[Revenue Per Loan]]*Severely_Adverse_Stress[[#This Row],[Avg Loan Per User]]</f>
        <v>20.043044248311983</v>
      </c>
      <c r="BC36" s="134">
        <f>Severely_Adverse_Stress[[#This Row],[CM Per Loan]]*Severely_Adverse_Stress[[#This Row],[Avg Loan Per User]]</f>
        <v>0.15220265908888209</v>
      </c>
      <c r="BD36" s="134">
        <f>Severely_Adverse_Stress[[#This Row],[CM Per User]]*Severely_Adverse_Stress[[#This Row],[User Count(in M)]]</f>
        <v>4.3150544006543431E-2</v>
      </c>
      <c r="BE36" s="134"/>
    </row>
    <row r="37" spans="1:57" x14ac:dyDescent="0.2">
      <c r="A37">
        <v>35</v>
      </c>
      <c r="B37" t="s">
        <v>32</v>
      </c>
      <c r="C37" s="9" t="s">
        <v>35</v>
      </c>
      <c r="D37" t="s">
        <v>62</v>
      </c>
      <c r="E37" s="65" cm="1">
        <f t="array" ref="E37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37" s="64">
        <f>VLOOKUP(Base_Stress[[#This Row],[Credit Category]],
  EAD_Table[#All],
  MATCH("EAD",EAD_Table[#Headers],0),
  FALSE)</f>
        <v>0.4425</v>
      </c>
      <c r="G37" s="98" cm="1">
        <f t="array" ref="G37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192.94206349206348</v>
      </c>
      <c r="H37" s="98">
        <f>Base_Stress[[#This Row],[ATS]]*INDEX(Portfolio_Stresser[[Base]:[Severely Adverse]],MATCH("MDR",Portfolio_Stresser[Scenario],0),MATCH("Base",Portfolio_Stresser[[#Headers],[Base]:[Severely Adverse]],0))</f>
        <v>9.6471031746031741</v>
      </c>
      <c r="I37" s="98" cm="1">
        <f t="array" ref="I37">Base_Stress[[#This Row],[ATS]]*INDEX(Portfolio_Stresser[[Base]:[Severely Adverse]],MATCH("Funding Rate",Portfolio_Stresser[Scenario],0),MATCH("Base",Portfolio_Stresser[[#Headers],[Base]:[Severely Adverse]],0))*Dynamic_Row_Table[Tenure (in months)]/12</f>
        <v>2.291187003968254</v>
      </c>
      <c r="J37" s="98">
        <f>Base_Stress[[#This Row],[PD]]*Base_Stress[[#This Row],[ATS]]*Base_Stress[[#This Row],[EAD]]</f>
        <v>0.68301490476190474</v>
      </c>
      <c r="K37" s="98" cm="1">
        <f t="array" ref="K37">Base_Stress[[#This Row],[Revenue Per Loan]]-Base_Stress[[#This Row],[Funding Cost]]-Base_Stress[[#This Row],[ECL]]-Fixed_Cost[Fixed Cost]</f>
        <v>3.6729012658730156</v>
      </c>
      <c r="L37" s="10" cm="1">
        <f t="array" ref="L37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0.10028818375087005</v>
      </c>
      <c r="M37" s="10" cm="1">
        <f t="array" ref="M37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0.38697672671706634</v>
      </c>
      <c r="N37" s="10">
        <f>Base_Stress[[#This Row],[Loan Count(in M)]]/Base_Stress[[#This Row],[User Count(in M)]]</f>
        <v>3.8586472727272731</v>
      </c>
      <c r="O37" s="98">
        <f>Base_Stress[[#This Row],[Revenue Per Loan]]*Base_Stress[[#This Row],[Avg Loan Per User]]</f>
        <v>37.224768354401157</v>
      </c>
      <c r="P37" s="98">
        <f>Base_Stress[[#This Row],[CM Per Loan]]*Base_Stress[[#This Row],[Avg Loan Per User]]</f>
        <v>14.17243045255746</v>
      </c>
      <c r="Q37" s="98">
        <f>Base_Stress[[#This Row],[CM Per User]]*Base_Stress[[#This Row],[User Count(in M)]]</f>
        <v>1.421327309422509</v>
      </c>
      <c r="R37" s="124">
        <f>Base_Stress[[#This Row],[CM Per Segment]]/SUM(Base_Stress[CM Per Segment])</f>
        <v>3.4311251152356701E-3</v>
      </c>
      <c r="S37" s="10"/>
      <c r="U37" s="73">
        <v>35</v>
      </c>
      <c r="V37" s="73" t="s">
        <v>32</v>
      </c>
      <c r="W37" s="73" t="s">
        <v>35</v>
      </c>
      <c r="X37" s="73" t="s">
        <v>62</v>
      </c>
      <c r="Y37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8.9930400000000025E-3</v>
      </c>
      <c r="Z37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0.45135000000000003</v>
      </c>
      <c r="AA37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174.13021230158728</v>
      </c>
      <c r="AB37" s="101">
        <f>Adverse_Stress[[#This Row],[ATS]]*INDEX(Portfolio_Stresser[[Base]:[Severely Adverse]],MATCH("MDR",Portfolio_Stresser[Scenario],0),MATCH("Adverse",Portfolio_Stresser[[#Headers],[Base]:[Severely Adverse]],0))</f>
        <v>8.2711850843253956</v>
      </c>
      <c r="AC37" s="101" cm="1">
        <f t="array" ref="AC37">Adverse_Stress[[#This Row],[ATS]]*INDEX(Portfolio_Stresser[[Base]:[Severely Adverse]],MATCH("Funding Rate",Portfolio_Stresser[Scenario],0),MATCH("Adverse",Portfolio_Stresser[[#Headers],[Base]:[Severely Adverse]],0))*Dynamic_Row_Table[Tenure (in months)]/12</f>
        <v>2.448706110491071</v>
      </c>
      <c r="AD37" s="101">
        <f>Adverse_Stress[[#This Row],[PD]]*Adverse_Stress[[#This Row],[ATS]]*Adverse_Stress[[#This Row],[EAD]]</f>
        <v>0.70679602994848967</v>
      </c>
      <c r="AE37" s="101" cm="1">
        <f t="array" ref="AE37">Adverse_Stress[[#This Row],[Revenue Per Loan]]-Adverse_Stress[[#This Row],[Funding Cost]]-Adverse_Stress[[#This Row],[ECL]]-Fixed_Cost[Fixed Cost]</f>
        <v>2.1156829438858349</v>
      </c>
      <c r="AF37" s="72">
        <f>Base_Stress[[#This Row],[User Count(in M)]]</f>
        <v>0.10028818375087005</v>
      </c>
      <c r="AG37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0.33032333392568786</v>
      </c>
      <c r="AH37" s="72">
        <f>Adverse_Stress[[#This Row],[Loan Count(in M)]]/Adverse_Stress[[#This Row],[User Count(in M)]]</f>
        <v>3.2937413120000008</v>
      </c>
      <c r="AI37" s="101">
        <f>Adverse_Stress[[#This Row],[Revenue Per Loan]]*Adverse_Stress[[#This Row],[Avg Loan Per User]]</f>
        <v>27.243144011440766</v>
      </c>
      <c r="AJ37" s="101">
        <f>Adverse_Stress[[#This Row],[CM Per Loan]]*Adverse_Stress[[#This Row],[Avg Loan Per User]]</f>
        <v>6.9685123153705542</v>
      </c>
      <c r="AK37" s="101">
        <f>Adverse_Stress[[#This Row],[CM Per User]]*Adverse_Stress[[#This Row],[User Count(in M)]]</f>
        <v>0.69885944355408303</v>
      </c>
      <c r="AL37" s="145">
        <f>(Base_Stress[[#This Row],[CM Per Segment]]-Adverse_Stress[[#This Row],[CM Per Segment]])/($B$68-$B$69)</f>
        <v>1.3700628682842559E-3</v>
      </c>
      <c r="AN37" s="73">
        <v>35</v>
      </c>
      <c r="AO37" s="73" t="s">
        <v>32</v>
      </c>
      <c r="AP37" s="73" t="s">
        <v>35</v>
      </c>
      <c r="AQ37" s="73" t="s">
        <v>62</v>
      </c>
      <c r="AR37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1.0524800000000001E-2</v>
      </c>
      <c r="AS37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0.46462500000000001</v>
      </c>
      <c r="AT37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156.28307142857142</v>
      </c>
      <c r="AU37" s="101">
        <f>Severely_Adverse_Stress[[#This Row],[ATS]]*INDEX(Portfolio_Stresser[[Base]:[Severely Adverse]],MATCH("MDR",Portfolio_Stresser[Scenario],0),MATCH("Severely Adverse",Portfolio_Stresser[[#Headers],[Base]:[Severely Adverse]],0))</f>
        <v>7.0327382142857138</v>
      </c>
      <c r="AV37" s="72" cm="1">
        <f t="array" ref="AV37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2.5395999107142857</v>
      </c>
      <c r="AW37" s="72">
        <f>Severely_Adverse_Stress[[#This Row],[PD]]*Severely_Adverse_Stress[[#This Row],[ATS]]*Severely_Adverse_Stress[[#This Row],[EAD]]</f>
        <v>0.76423753460340005</v>
      </c>
      <c r="AX37" s="101" cm="1">
        <f t="array" ref="AX37">Severely_Adverse_Stress[[#This Row],[Revenue Per Loan]]-Severely_Adverse_Stress[[#This Row],[Funding Cost]]-Severely_Adverse_Stress[[#This Row],[ECL]]-Fixed_Cost[Fixed Cost]</f>
        <v>0.72890076896802736</v>
      </c>
      <c r="AY37" s="72">
        <f>Base_Stress[[#This Row],[User Count(in M)]]</f>
        <v>0.10028818375087005</v>
      </c>
      <c r="AZ37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0.29193524263535481</v>
      </c>
      <c r="BA37" s="72">
        <f>Severely_Adverse_Stress[[#This Row],[Loan Count(in M)]]/Severely_Adverse_Stress[[#This Row],[User Count(in M)]]</f>
        <v>2.9109635025454543</v>
      </c>
      <c r="BB37" s="101">
        <f>Severely_Adverse_Stress[[#This Row],[Revenue Per Loan]]*Severely_Adverse_Stress[[#This Row],[Avg Loan Per User]]</f>
        <v>20.472044264742404</v>
      </c>
      <c r="BC37" s="101">
        <f>Severely_Adverse_Stress[[#This Row],[CM Per Loan]]*Severely_Adverse_Stress[[#This Row],[Avg Loan Per User]]</f>
        <v>2.1218035354432438</v>
      </c>
      <c r="BD37" s="101">
        <f>Severely_Adverse_Stress[[#This Row],[CM Per User]]*Severely_Adverse_Stress[[#This Row],[User Count(in M)]]</f>
        <v>0.21279182284577774</v>
      </c>
      <c r="BE37" s="101"/>
    </row>
    <row r="38" spans="1:57" x14ac:dyDescent="0.2">
      <c r="A38">
        <v>36</v>
      </c>
      <c r="B38" t="s">
        <v>32</v>
      </c>
      <c r="C38" s="9" t="s">
        <v>36</v>
      </c>
      <c r="D38" t="s">
        <v>58</v>
      </c>
      <c r="E38" s="65" cm="1">
        <f t="array" ref="E38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3.5000000000000003E-2</v>
      </c>
      <c r="F38" s="64">
        <f>VLOOKUP(Base_Stress[[#This Row],[Credit Category]],
  EAD_Table[#All],
  MATCH("EAD",EAD_Table[#Headers],0),
  FALSE)</f>
        <v>0.63750000000000007</v>
      </c>
      <c r="G38" s="98" cm="1">
        <f t="array" ref="G38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114.72261904761903</v>
      </c>
      <c r="H38" s="98">
        <f>Base_Stress[[#This Row],[ATS]]*INDEX(Portfolio_Stresser[[Base]:[Severely Adverse]],MATCH("MDR",Portfolio_Stresser[Scenario],0),MATCH("Base",Portfolio_Stresser[[#Headers],[Base]:[Severely Adverse]],0))</f>
        <v>5.7361309523809521</v>
      </c>
      <c r="I38" s="98" cm="1">
        <f t="array" ref="I38">Base_Stress[[#This Row],[ATS]]*INDEX(Portfolio_Stresser[[Base]:[Severely Adverse]],MATCH("Funding Rate",Portfolio_Stresser[Scenario],0),MATCH("Base",Portfolio_Stresser[[#Headers],[Base]:[Severely Adverse]],0))*Dynamic_Row_Table[Tenure (in months)]/12</f>
        <v>1.362331101190476</v>
      </c>
      <c r="J38" s="98">
        <f>Base_Stress[[#This Row],[PD]]*Base_Stress[[#This Row],[ATS]]*Base_Stress[[#This Row],[EAD]]</f>
        <v>2.5597484375000001</v>
      </c>
      <c r="K38" s="98" cm="1">
        <f t="array" ref="K38">Base_Stress[[#This Row],[Revenue Per Loan]]-Base_Stress[[#This Row],[Funding Cost]]-Base_Stress[[#This Row],[ECL]]-Fixed_Cost[Fixed Cost]</f>
        <v>-1.1859485863095238</v>
      </c>
      <c r="L38" s="10" cm="1">
        <f t="array" ref="L38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0.45953663387673843</v>
      </c>
      <c r="M38" s="10" cm="1">
        <f t="array" ref="M38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6.0435801082909908</v>
      </c>
      <c r="N38" s="10">
        <f>Base_Stress[[#This Row],[Loan Count(in M)]]/Base_Stress[[#This Row],[User Count(in M)]]</f>
        <v>13.151465329991648</v>
      </c>
      <c r="O38" s="98">
        <f>Base_Stress[[#This Row],[Revenue Per Loan]]*Base_Stress[[#This Row],[Avg Loan Per User]]</f>
        <v>75.438527348530059</v>
      </c>
      <c r="P38" s="98">
        <f>Base_Stress[[#This Row],[CM Per Loan]]*Base_Stress[[#This Row],[Avg Loan Per User]]</f>
        <v>-15.59696171600231</v>
      </c>
      <c r="Q38" s="98">
        <f>Base_Stress[[#This Row],[CM Per User]]*Base_Stress[[#This Row],[User Count(in M)]]</f>
        <v>-7.1673752856760595</v>
      </c>
      <c r="R38" s="124">
        <f>Base_Stress[[#This Row],[CM Per Segment]]/SUM(Base_Stress[CM Per Segment])</f>
        <v>-1.7302250642742142E-2</v>
      </c>
      <c r="S38" s="10"/>
      <c r="U38" s="74">
        <v>36</v>
      </c>
      <c r="V38" s="74" t="s">
        <v>32</v>
      </c>
      <c r="W38" s="74" t="s">
        <v>36</v>
      </c>
      <c r="X38" s="74" t="s">
        <v>58</v>
      </c>
      <c r="Y38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5.2795225000000008E-2</v>
      </c>
      <c r="Z38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0.73312500000000003</v>
      </c>
      <c r="AA38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101.35743392857141</v>
      </c>
      <c r="AB38" s="134">
        <f>Adverse_Stress[[#This Row],[ATS]]*INDEX(Portfolio_Stresser[[Base]:[Severely Adverse]],MATCH("MDR",Portfolio_Stresser[Scenario],0),MATCH("Adverse",Portfolio_Stresser[[#Headers],[Base]:[Severely Adverse]],0))</f>
        <v>4.8144781116071425</v>
      </c>
      <c r="AC38" s="134" cm="1">
        <f t="array" ref="AC38">Adverse_Stress[[#This Row],[ATS]]*INDEX(Portfolio_Stresser[[Base]:[Severely Adverse]],MATCH("Funding Rate",Portfolio_Stresser[Scenario],0),MATCH("Adverse",Portfolio_Stresser[[#Headers],[Base]:[Severely Adverse]],0))*Dynamic_Row_Table[Tenure (in months)]/12</f>
        <v>1.4253389146205355</v>
      </c>
      <c r="AD38" s="134">
        <f>Adverse_Stress[[#This Row],[PD]]*Adverse_Stress[[#This Row],[ATS]]*Adverse_Stress[[#This Row],[EAD]]</f>
        <v>3.9230900908227953</v>
      </c>
      <c r="AE38" s="134" cm="1">
        <f t="array" ref="AE38">Adverse_Stress[[#This Row],[Revenue Per Loan]]-Adverse_Stress[[#This Row],[Funding Cost]]-Adverse_Stress[[#This Row],[ECL]]-Fixed_Cost[Fixed Cost]</f>
        <v>-3.5339508938361885</v>
      </c>
      <c r="AF38" s="130">
        <f>Base_Stress[[#This Row],[User Count(in M)]]</f>
        <v>0.45953663387673843</v>
      </c>
      <c r="AG38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5.4519136156893033</v>
      </c>
      <c r="AH38" s="130">
        <f>Adverse_Stress[[#This Row],[Loan Count(in M)]]/Adverse_Stress[[#This Row],[User Count(in M)]]</f>
        <v>11.863936874185466</v>
      </c>
      <c r="AI38" s="134">
        <f>Adverse_Stress[[#This Row],[Revenue Per Loan]]*Adverse_Stress[[#This Row],[Avg Loan Per User]]</f>
        <v>57.118664398254786</v>
      </c>
      <c r="AJ38" s="134">
        <f>Adverse_Stress[[#This Row],[CM Per Loan]]*Adverse_Stress[[#This Row],[Avg Loan Per User]]</f>
        <v>-41.926570320943846</v>
      </c>
      <c r="AK38" s="134">
        <f>Adverse_Stress[[#This Row],[CM Per User]]*Adverse_Stress[[#This Row],[User Count(in M)]]</f>
        <v>-19.266794995282901</v>
      </c>
      <c r="AL38" s="144">
        <f>(Base_Stress[[#This Row],[CM Per Segment]]-Adverse_Stress[[#This Row],[CM Per Segment]])/($B$68-$B$69)</f>
        <v>2.2944917628956476E-2</v>
      </c>
      <c r="AN38" s="74">
        <v>36</v>
      </c>
      <c r="AO38" s="74" t="s">
        <v>32</v>
      </c>
      <c r="AP38" s="74" t="s">
        <v>36</v>
      </c>
      <c r="AQ38" s="74" t="s">
        <v>58</v>
      </c>
      <c r="AR38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7.4692800000000004E-2</v>
      </c>
      <c r="AS38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0.75</v>
      </c>
      <c r="AT38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90.860314285714267</v>
      </c>
      <c r="AU38" s="134">
        <f>Severely_Adverse_Stress[[#This Row],[ATS]]*INDEX(Portfolio_Stresser[[Base]:[Severely Adverse]],MATCH("MDR",Portfolio_Stresser[Scenario],0),MATCH("Severely Adverse",Portfolio_Stresser[[#Headers],[Base]:[Severely Adverse]],0))</f>
        <v>4.0887141428571416</v>
      </c>
      <c r="AV38" s="130" cm="1">
        <f t="array" ref="AV38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1.4764801071428568</v>
      </c>
      <c r="AW38" s="130">
        <f>Severely_Adverse_Stress[[#This Row],[PD]]*Severely_Adverse_Stress[[#This Row],[ATS]]*Severely_Adverse_Stress[[#This Row],[EAD]]</f>
        <v>5.0899584621599994</v>
      </c>
      <c r="AX38" s="134" cm="1">
        <f t="array" ref="AX38">Severely_Adverse_Stress[[#This Row],[Revenue Per Loan]]-Severely_Adverse_Stress[[#This Row],[Funding Cost]]-Severely_Adverse_Stress[[#This Row],[ECL]]-Fixed_Cost[Fixed Cost]</f>
        <v>-5.4777244264457146</v>
      </c>
      <c r="AY38" s="130">
        <f>Base_Stress[[#This Row],[User Count(in M)]]</f>
        <v>0.45953663387673843</v>
      </c>
      <c r="AZ38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4.7260796446835549</v>
      </c>
      <c r="BA38" s="130">
        <f>Severely_Adverse_Stress[[#This Row],[Loan Count(in M)]]/Severely_Adverse_Stress[[#This Row],[User Count(in M)]]</f>
        <v>10.284445888053469</v>
      </c>
      <c r="BB38" s="134">
        <f>Severely_Adverse_Stress[[#This Row],[Revenue Per Loan]]*Severely_Adverse_Stress[[#This Row],[Avg Loan Per User]]</f>
        <v>42.050159353933196</v>
      </c>
      <c r="BC38" s="134">
        <f>Severely_Adverse_Stress[[#This Row],[CM Per Loan]]*Severely_Adverse_Stress[[#This Row],[Avg Loan Per User]]</f>
        <v>-56.335360453449674</v>
      </c>
      <c r="BD38" s="134">
        <f>Severely_Adverse_Stress[[#This Row],[CM Per User]]*Severely_Adverse_Stress[[#This Row],[User Count(in M)]]</f>
        <v>-25.888161911010993</v>
      </c>
      <c r="BE38" s="134"/>
    </row>
    <row r="39" spans="1:57" x14ac:dyDescent="0.2">
      <c r="A39">
        <v>37</v>
      </c>
      <c r="B39" t="s">
        <v>32</v>
      </c>
      <c r="C39" s="9" t="s">
        <v>36</v>
      </c>
      <c r="D39" t="s">
        <v>83</v>
      </c>
      <c r="E39" s="65" cm="1">
        <f t="array" ref="E39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1.0999999999999999E-2</v>
      </c>
      <c r="F39" s="64">
        <f>VLOOKUP(Base_Stress[[#This Row],[Credit Category]],
  EAD_Table[#All],
  MATCH("EAD",EAD_Table[#Headers],0),
  FALSE)</f>
        <v>0.5625</v>
      </c>
      <c r="G39" s="98" cm="1">
        <f t="array" ref="G39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156.43888888888887</v>
      </c>
      <c r="H39" s="98">
        <f>Base_Stress[[#This Row],[ATS]]*INDEX(Portfolio_Stresser[[Base]:[Severely Adverse]],MATCH("MDR",Portfolio_Stresser[Scenario],0),MATCH("Base",Portfolio_Stresser[[#Headers],[Base]:[Severely Adverse]],0))</f>
        <v>7.8219444444444441</v>
      </c>
      <c r="I39" s="98" cm="1">
        <f t="array" ref="I39">Base_Stress[[#This Row],[ATS]]*INDEX(Portfolio_Stresser[[Base]:[Severely Adverse]],MATCH("Funding Rate",Portfolio_Stresser[Scenario],0),MATCH("Base",Portfolio_Stresser[[#Headers],[Base]:[Severely Adverse]],0))*Dynamic_Row_Table[Tenure (in months)]/12</f>
        <v>1.8577118055555555</v>
      </c>
      <c r="J39" s="98">
        <f>Base_Stress[[#This Row],[PD]]*Base_Stress[[#This Row],[ATS]]*Base_Stress[[#This Row],[EAD]]</f>
        <v>0.96796562499999983</v>
      </c>
      <c r="K39" s="98" cm="1">
        <f t="array" ref="K39">Base_Stress[[#This Row],[Revenue Per Loan]]-Base_Stress[[#This Row],[Funding Cost]]-Base_Stress[[#This Row],[ECL]]-Fixed_Cost[Fixed Cost]</f>
        <v>1.9962670138888887</v>
      </c>
      <c r="L39" s="10" cm="1">
        <f t="array" ref="L39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0.76948512390461754</v>
      </c>
      <c r="M39" s="10" cm="1">
        <f t="array" ref="M39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3.6196748351273382</v>
      </c>
      <c r="N39" s="10">
        <f>Base_Stress[[#This Row],[Loan Count(in M)]]/Base_Stress[[#This Row],[User Count(in M)]]</f>
        <v>4.7040218487394947</v>
      </c>
      <c r="O39" s="98">
        <f>Base_Stress[[#This Row],[Revenue Per Loan]]*Base_Stress[[#This Row],[Avg Loan Per User]]</f>
        <v>36.794597566293177</v>
      </c>
      <c r="P39" s="98">
        <f>Base_Stress[[#This Row],[CM Per Loan]]*Base_Stress[[#This Row],[Avg Loan Per User]]</f>
        <v>9.39048364925128</v>
      </c>
      <c r="Q39" s="98">
        <f>Base_Stress[[#This Row],[CM Per User]]*Base_Stress[[#This Row],[User Count(in M)]]</f>
        <v>7.2258374743684062</v>
      </c>
      <c r="R39" s="124">
        <f>Base_Stress[[#This Row],[CM Per Segment]]/SUM(Base_Stress[CM Per Segment])</f>
        <v>1.7443380052262498E-2</v>
      </c>
      <c r="S39" s="10"/>
      <c r="U39" s="73">
        <v>37</v>
      </c>
      <c r="V39" s="73" t="s">
        <v>32</v>
      </c>
      <c r="W39" s="73" t="s">
        <v>36</v>
      </c>
      <c r="X39" s="73" t="s">
        <v>83</v>
      </c>
      <c r="Y39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1.4876290000000002E-2</v>
      </c>
      <c r="Z39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0.61875000000000002</v>
      </c>
      <c r="AA39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138.21375833333332</v>
      </c>
      <c r="AB39" s="101">
        <f>Adverse_Stress[[#This Row],[ATS]]*INDEX(Portfolio_Stresser[[Base]:[Severely Adverse]],MATCH("MDR",Portfolio_Stresser[Scenario],0),MATCH("Adverse",Portfolio_Stresser[[#Headers],[Base]:[Severely Adverse]],0))</f>
        <v>6.5651535208333325</v>
      </c>
      <c r="AC39" s="101" cm="1">
        <f t="array" ref="AC39">Adverse_Stress[[#This Row],[ATS]]*INDEX(Portfolio_Stresser[[Base]:[Severely Adverse]],MATCH("Funding Rate",Portfolio_Stresser[Scenario],0),MATCH("Adverse",Portfolio_Stresser[[#Headers],[Base]:[Severely Adverse]],0))*Dynamic_Row_Table[Tenure (in months)]/12</f>
        <v>1.9436309765624997</v>
      </c>
      <c r="AD39" s="101">
        <f>Adverse_Stress[[#This Row],[PD]]*Adverse_Stress[[#This Row],[ATS]]*Adverse_Stress[[#This Row],[EAD]]</f>
        <v>1.2722167946543859</v>
      </c>
      <c r="AE39" s="101" cm="1">
        <f t="array" ref="AE39">Adverse_Stress[[#This Row],[Revenue Per Loan]]-Adverse_Stress[[#This Row],[Funding Cost]]-Adverse_Stress[[#This Row],[ECL]]-Fixed_Cost[Fixed Cost]</f>
        <v>0.34930574961644645</v>
      </c>
      <c r="AF39" s="72">
        <f>Base_Stress[[#This Row],[User Count(in M)]]</f>
        <v>0.76948512390461754</v>
      </c>
      <c r="AG39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3.2653086687683719</v>
      </c>
      <c r="AH39" s="72">
        <f>Adverse_Stress[[#This Row],[Loan Count(in M)]]/Adverse_Stress[[#This Row],[User Count(in M)]]</f>
        <v>4.2434981097478985</v>
      </c>
      <c r="AI39" s="101">
        <f>Adverse_Stress[[#This Row],[Revenue Per Loan]]*Adverse_Stress[[#This Row],[Avg Loan Per User]]</f>
        <v>27.859216555861007</v>
      </c>
      <c r="AJ39" s="101">
        <f>Adverse_Stress[[#This Row],[CM Per Loan]]*Adverse_Stress[[#This Row],[Avg Loan Per User]]</f>
        <v>1.4822782882214633</v>
      </c>
      <c r="AK39" s="101">
        <f>Adverse_Stress[[#This Row],[CM Per User]]*Adverse_Stress[[#This Row],[User Count(in M)]]</f>
        <v>1.1405910922732172</v>
      </c>
      <c r="AL39" s="145">
        <f>(Base_Stress[[#This Row],[CM Per Segment]]-Adverse_Stress[[#This Row],[CM Per Segment]])/($B$68-$B$69)</f>
        <v>1.153984904567101E-2</v>
      </c>
      <c r="AN39" s="73">
        <v>37</v>
      </c>
      <c r="AO39" s="73" t="s">
        <v>32</v>
      </c>
      <c r="AP39" s="73" t="s">
        <v>36</v>
      </c>
      <c r="AQ39" s="73" t="s">
        <v>83</v>
      </c>
      <c r="AR39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2.0386080000000001E-2</v>
      </c>
      <c r="AS39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0.65812499999999996</v>
      </c>
      <c r="AT39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123.89959999999999</v>
      </c>
      <c r="AU39" s="101">
        <f>Severely_Adverse_Stress[[#This Row],[ATS]]*INDEX(Portfolio_Stresser[[Base]:[Severely Adverse]],MATCH("MDR",Portfolio_Stresser[Scenario],0),MATCH("Severely Adverse",Portfolio_Stresser[[#Headers],[Base]:[Severely Adverse]],0))</f>
        <v>5.5754819999999992</v>
      </c>
      <c r="AV39" s="72" cm="1">
        <f t="array" ref="AV39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2.0133684999999999</v>
      </c>
      <c r="AW39" s="72">
        <f>Severely_Adverse_Stress[[#This Row],[PD]]*Severely_Adverse_Stress[[#This Row],[ATS]]*Severely_Adverse_Stress[[#This Row],[EAD]]</f>
        <v>1.66230999807444</v>
      </c>
      <c r="AX39" s="101" cm="1">
        <f t="array" ref="AX39">Severely_Adverse_Stress[[#This Row],[Revenue Per Loan]]-Severely_Adverse_Stress[[#This Row],[Funding Cost]]-Severely_Adverse_Stress[[#This Row],[ECL]]-Fixed_Cost[Fixed Cost]</f>
        <v>-1.1001964980744408</v>
      </c>
      <c r="AY39" s="72">
        <f>Base_Stress[[#This Row],[User Count(in M)]]</f>
        <v>0.76948512390461754</v>
      </c>
      <c r="AZ39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2.8305857210695788</v>
      </c>
      <c r="BA39" s="72">
        <f>Severely_Adverse_Stress[[#This Row],[Loan Count(in M)]]/Severely_Adverse_Stress[[#This Row],[User Count(in M)]]</f>
        <v>3.6785450857142852</v>
      </c>
      <c r="BB39" s="101">
        <f>Severely_Adverse_Stress[[#This Row],[Revenue Per Loan]]*Severely_Adverse_Stress[[#This Row],[Avg Loan Per User]]</f>
        <v>20.509661911588452</v>
      </c>
      <c r="BC39" s="101">
        <f>Severely_Adverse_Stress[[#This Row],[CM Per Loan]]*Severely_Adverse_Stress[[#This Row],[Avg Loan Per User]]</f>
        <v>-4.0471224213118004</v>
      </c>
      <c r="BD39" s="101">
        <f>Severely_Adverse_Stress[[#This Row],[CM Per User]]*Severely_Adverse_Stress[[#This Row],[User Count(in M)]]</f>
        <v>-3.1142004978202666</v>
      </c>
      <c r="BE39" s="101"/>
    </row>
    <row r="40" spans="1:57" x14ac:dyDescent="0.2">
      <c r="A40">
        <v>38</v>
      </c>
      <c r="B40" t="s">
        <v>32</v>
      </c>
      <c r="C40" s="9" t="s">
        <v>36</v>
      </c>
      <c r="D40" t="s">
        <v>60</v>
      </c>
      <c r="E40" s="65" cm="1">
        <f t="array" ref="E40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40" s="64">
        <f>VLOOKUP(Base_Stress[[#This Row],[Credit Category]],
  EAD_Table[#All],
  MATCH("EAD",EAD_Table[#Headers],0),
  FALSE)</f>
        <v>0.51749999999999996</v>
      </c>
      <c r="G40" s="98" cm="1">
        <f t="array" ref="G40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229.44523809523807</v>
      </c>
      <c r="H40" s="98">
        <f>Base_Stress[[#This Row],[ATS]]*INDEX(Portfolio_Stresser[[Base]:[Severely Adverse]],MATCH("MDR",Portfolio_Stresser[Scenario],0),MATCH("Base",Portfolio_Stresser[[#Headers],[Base]:[Severely Adverse]],0))</f>
        <v>11.472261904761904</v>
      </c>
      <c r="I40" s="98" cm="1">
        <f t="array" ref="I40">Base_Stress[[#This Row],[ATS]]*INDEX(Portfolio_Stresser[[Base]:[Severely Adverse]],MATCH("Funding Rate",Portfolio_Stresser[Scenario],0),MATCH("Base",Portfolio_Stresser[[#Headers],[Base]:[Severely Adverse]],0))*Dynamic_Row_Table[Tenure (in months)]/12</f>
        <v>2.7246622023809519</v>
      </c>
      <c r="J40" s="98">
        <f>Base_Stress[[#This Row],[PD]]*Base_Stress[[#This Row],[ATS]]*Base_Stress[[#This Row],[EAD]]</f>
        <v>0.94990328571428551</v>
      </c>
      <c r="K40" s="98" cm="1">
        <f t="array" ref="K40">Base_Stress[[#This Row],[Revenue Per Loan]]-Base_Stress[[#This Row],[Funding Cost]]-Base_Stress[[#This Row],[ECL]]-Fixed_Cost[Fixed Cost]</f>
        <v>4.7976964166666676</v>
      </c>
      <c r="L40" s="10" cm="1">
        <f t="array" ref="L40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1.0955385835269544</v>
      </c>
      <c r="M40" s="10" cm="1">
        <f t="array" ref="M40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5.2960576272999873</v>
      </c>
      <c r="N40" s="10">
        <f>Base_Stress[[#This Row],[Loan Count(in M)]]/Base_Stress[[#This Row],[User Count(in M)]]</f>
        <v>4.8342045701849843</v>
      </c>
      <c r="O40" s="98">
        <f>Base_Stress[[#This Row],[Revenue Per Loan]]*Base_Stress[[#This Row],[Avg Loan Per User]]</f>
        <v>55.459260930359086</v>
      </c>
      <c r="P40" s="98">
        <f>Base_Stress[[#This Row],[CM Per Loan]]*Base_Stress[[#This Row],[Avg Loan Per User]]</f>
        <v>23.193045943810127</v>
      </c>
      <c r="Q40" s="98">
        <f>Base_Stress[[#This Row],[CM Per User]]*Base_Stress[[#This Row],[User Count(in M)]]</f>
        <v>25.408876700957322</v>
      </c>
      <c r="R40" s="124">
        <f>Base_Stress[[#This Row],[CM Per Segment]]/SUM(Base_Stress[CM Per Segment])</f>
        <v>6.1337761133994625E-2</v>
      </c>
      <c r="S40" s="10"/>
      <c r="U40" s="74">
        <v>38</v>
      </c>
      <c r="V40" s="74" t="s">
        <v>32</v>
      </c>
      <c r="W40" s="74" t="s">
        <v>36</v>
      </c>
      <c r="X40" s="74" t="s">
        <v>60</v>
      </c>
      <c r="Y40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9.8204320000000005E-3</v>
      </c>
      <c r="Z40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0.55372500000000002</v>
      </c>
      <c r="AA40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202.71486785714282</v>
      </c>
      <c r="AB40" s="134">
        <f>Adverse_Stress[[#This Row],[ATS]]*INDEX(Portfolio_Stresser[[Base]:[Severely Adverse]],MATCH("MDR",Portfolio_Stresser[Scenario],0),MATCH("Adverse",Portfolio_Stresser[[#Headers],[Base]:[Severely Adverse]],0))</f>
        <v>9.6289562232142849</v>
      </c>
      <c r="AC40" s="134" cm="1">
        <f t="array" ref="AC40">Adverse_Stress[[#This Row],[ATS]]*INDEX(Portfolio_Stresser[[Base]:[Severely Adverse]],MATCH("Funding Rate",Portfolio_Stresser[Scenario],0),MATCH("Adverse",Portfolio_Stresser[[#Headers],[Base]:[Severely Adverse]],0))*Dynamic_Row_Table[Tenure (in months)]/12</f>
        <v>2.850677829241071</v>
      </c>
      <c r="AD40" s="134">
        <f>Adverse_Stress[[#This Row],[PD]]*Adverse_Stress[[#This Row],[ATS]]*Adverse_Stress[[#This Row],[EAD]]</f>
        <v>1.1023267010665772</v>
      </c>
      <c r="AE40" s="134" cm="1">
        <f t="array" ref="AE40">Adverse_Stress[[#This Row],[Revenue Per Loan]]-Adverse_Stress[[#This Row],[Funding Cost]]-Adverse_Stress[[#This Row],[ECL]]-Fixed_Cost[Fixed Cost]</f>
        <v>2.6759516929066365</v>
      </c>
      <c r="AF40" s="130">
        <f>Base_Stress[[#This Row],[User Count(in M)]]</f>
        <v>1.0955385835269544</v>
      </c>
      <c r="AG40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4.7775735855873185</v>
      </c>
      <c r="AH40" s="130">
        <f>Adverse_Stress[[#This Row],[Loan Count(in M)]]/Adverse_Stress[[#This Row],[User Count(in M)]]</f>
        <v>4.3609359427638745</v>
      </c>
      <c r="AI40" s="134">
        <f>Adverse_Stress[[#This Row],[Revenue Per Loan]]*Adverse_Stress[[#This Row],[Avg Loan Per User]]</f>
        <v>41.991261285115066</v>
      </c>
      <c r="AJ40" s="134">
        <f>Adverse_Stress[[#This Row],[CM Per Loan]]*Adverse_Stress[[#This Row],[Avg Loan Per User]]</f>
        <v>11.669653918696389</v>
      </c>
      <c r="AK40" s="134">
        <f>Adverse_Stress[[#This Row],[CM Per User]]*Adverse_Stress[[#This Row],[User Count(in M)]]</f>
        <v>12.784556124338415</v>
      </c>
      <c r="AL40" s="144">
        <f>(Base_Stress[[#This Row],[CM Per Segment]]-Adverse_Stress[[#This Row],[CM Per Segment]])/($B$68-$B$69)</f>
        <v>2.3940321329796524E-2</v>
      </c>
      <c r="AN40" s="74">
        <v>38</v>
      </c>
      <c r="AO40" s="74" t="s">
        <v>32</v>
      </c>
      <c r="AP40" s="74" t="s">
        <v>36</v>
      </c>
      <c r="AQ40" s="74" t="s">
        <v>60</v>
      </c>
      <c r="AR40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1.3029120000000002E-2</v>
      </c>
      <c r="AS40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0.58994999999999986</v>
      </c>
      <c r="AT40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181.72062857142853</v>
      </c>
      <c r="AU40" s="134">
        <f>Severely_Adverse_Stress[[#This Row],[ATS]]*INDEX(Portfolio_Stresser[[Base]:[Severely Adverse]],MATCH("MDR",Portfolio_Stresser[Scenario],0),MATCH("Severely Adverse",Portfolio_Stresser[[#Headers],[Base]:[Severely Adverse]],0))</f>
        <v>8.1774282857142833</v>
      </c>
      <c r="AV40" s="130" cm="1">
        <f t="array" ref="AV40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2.9529602142857136</v>
      </c>
      <c r="AW40" s="130">
        <f>Severely_Adverse_Stress[[#This Row],[PD]]*Severely_Adverse_Stress[[#This Row],[ATS]]*Severely_Adverse_Stress[[#This Row],[EAD]]</f>
        <v>1.39680094392441</v>
      </c>
      <c r="AX40" s="134" cm="1">
        <f t="array" ref="AX40">Severely_Adverse_Stress[[#This Row],[Revenue Per Loan]]-Severely_Adverse_Stress[[#This Row],[Funding Cost]]-Severely_Adverse_Stress[[#This Row],[ECL]]-Fixed_Cost[Fixed Cost]</f>
        <v>0.82766712750415961</v>
      </c>
      <c r="AY40" s="130">
        <f>Base_Stress[[#This Row],[User Count(in M)]]</f>
        <v>1.0955385835269544</v>
      </c>
      <c r="AZ40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4.1415170645485899</v>
      </c>
      <c r="BA40" s="130">
        <f>Severely_Adverse_Stress[[#This Row],[Loan Count(in M)]]/Severely_Adverse_Stress[[#This Row],[User Count(in M)]]</f>
        <v>3.7803479738846577</v>
      </c>
      <c r="BB40" s="134">
        <f>Severely_Adverse_Stress[[#This Row],[Revenue Per Loan]]*Severely_Adverse_Stress[[#This Row],[Avg Loan Per User]]</f>
        <v>30.913524451487081</v>
      </c>
      <c r="BC40" s="134">
        <f>Severely_Adverse_Stress[[#This Row],[CM Per Loan]]*Severely_Adverse_Stress[[#This Row],[Avg Loan Per User]]</f>
        <v>3.1288697485112844</v>
      </c>
      <c r="BD40" s="134">
        <f>Severely_Adverse_Stress[[#This Row],[CM Per User]]*Severely_Adverse_Stress[[#This Row],[User Count(in M)]]</f>
        <v>3.4277975323243908</v>
      </c>
      <c r="BE40" s="134"/>
    </row>
    <row r="41" spans="1:57" x14ac:dyDescent="0.2">
      <c r="A41">
        <v>39</v>
      </c>
      <c r="B41" t="s">
        <v>32</v>
      </c>
      <c r="C41" s="9" t="s">
        <v>36</v>
      </c>
      <c r="D41" t="s">
        <v>61</v>
      </c>
      <c r="E41" s="65" cm="1">
        <f t="array" ref="E41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7.0000000000000001E-3</v>
      </c>
      <c r="F41" s="64">
        <f>VLOOKUP(Base_Stress[[#This Row],[Credit Category]],
  EAD_Table[#All],
  MATCH("EAD",EAD_Table[#Headers],0),
  FALSE)</f>
        <v>0.48749999999999999</v>
      </c>
      <c r="G41" s="98" cm="1">
        <f t="array" ref="G41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316.46825396825392</v>
      </c>
      <c r="H41" s="98">
        <f>Base_Stress[[#This Row],[ATS]]*INDEX(Portfolio_Stresser[[Base]:[Severely Adverse]],MATCH("MDR",Portfolio_Stresser[Scenario],0),MATCH("Base",Portfolio_Stresser[[#Headers],[Base]:[Severely Adverse]],0))</f>
        <v>15.823412698412696</v>
      </c>
      <c r="I41" s="98" cm="1">
        <f t="array" ref="I41">Base_Stress[[#This Row],[ATS]]*INDEX(Portfolio_Stresser[[Base]:[Severely Adverse]],MATCH("Funding Rate",Portfolio_Stresser[Scenario],0),MATCH("Base",Portfolio_Stresser[[#Headers],[Base]:[Severely Adverse]],0))*Dynamic_Row_Table[Tenure (in months)]/12</f>
        <v>3.7580605158730154</v>
      </c>
      <c r="J41" s="98">
        <f>Base_Stress[[#This Row],[PD]]*Base_Stress[[#This Row],[ATS]]*Base_Stress[[#This Row],[EAD]]</f>
        <v>1.0799479166666666</v>
      </c>
      <c r="K41" s="98" cm="1">
        <f t="array" ref="K41">Base_Stress[[#This Row],[Revenue Per Loan]]-Base_Stress[[#This Row],[Funding Cost]]-Base_Stress[[#This Row],[ECL]]-Fixed_Cost[Fixed Cost]</f>
        <v>7.9854042658730133</v>
      </c>
      <c r="L41" s="10" cm="1">
        <f t="array" ref="L41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1.243783474744071</v>
      </c>
      <c r="M41" s="10" cm="1">
        <f t="array" ref="M41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5.6082609851192018</v>
      </c>
      <c r="N41" s="10">
        <f>Base_Stress[[#This Row],[Loan Count(in M)]]/Base_Stress[[#This Row],[User Count(in M)]]</f>
        <v>4.5090332031250009</v>
      </c>
      <c r="O41" s="98">
        <f>Base_Stress[[#This Row],[Revenue Per Loan]]*Base_Stress[[#This Row],[Avg Loan Per User]]</f>
        <v>71.348293243892613</v>
      </c>
      <c r="P41" s="98">
        <f>Base_Stress[[#This Row],[CM Per Loan]]*Base_Stress[[#This Row],[Avg Loan Per User]]</f>
        <v>36.00645297519744</v>
      </c>
      <c r="Q41" s="98">
        <f>Base_Stress[[#This Row],[CM Per User]]*Base_Stress[[#This Row],[User Count(in M)]]</f>
        <v>44.78423119470007</v>
      </c>
      <c r="R41" s="124">
        <f>Base_Stress[[#This Row],[CM Per Segment]]/SUM(Base_Stress[CM Per Segment])</f>
        <v>0.10811042565634581</v>
      </c>
      <c r="S41" s="10"/>
      <c r="U41" s="73">
        <v>39</v>
      </c>
      <c r="V41" s="73" t="s">
        <v>32</v>
      </c>
      <c r="W41" s="73" t="s">
        <v>36</v>
      </c>
      <c r="X41" s="73" t="s">
        <v>61</v>
      </c>
      <c r="Y41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8.0103100000000014E-3</v>
      </c>
      <c r="Z41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0.50700000000000001</v>
      </c>
      <c r="AA41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279.59970238095235</v>
      </c>
      <c r="AB41" s="101">
        <f>Adverse_Stress[[#This Row],[ATS]]*INDEX(Portfolio_Stresser[[Base]:[Severely Adverse]],MATCH("MDR",Portfolio_Stresser[Scenario],0),MATCH("Adverse",Portfolio_Stresser[[#Headers],[Base]:[Severely Adverse]],0))</f>
        <v>13.280985863095237</v>
      </c>
      <c r="AC41" s="101" cm="1">
        <f t="array" ref="AC41">Adverse_Stress[[#This Row],[ATS]]*INDEX(Portfolio_Stresser[[Base]:[Severely Adverse]],MATCH("Funding Rate",Portfolio_Stresser[Scenario],0),MATCH("Adverse",Portfolio_Stresser[[#Headers],[Base]:[Severely Adverse]],0))*Dynamic_Row_Table[Tenure (in months)]/12</f>
        <v>3.9318708147321426</v>
      </c>
      <c r="AD41" s="101">
        <f>Adverse_Stress[[#This Row],[PD]]*Adverse_Stress[[#This Row],[ATS]]*Adverse_Stress[[#This Row],[EAD]]</f>
        <v>1.1355179080334377</v>
      </c>
      <c r="AE41" s="101" cm="1">
        <f t="array" ref="AE41">Adverse_Stress[[#This Row],[Revenue Per Loan]]-Adverse_Stress[[#This Row],[Funding Cost]]-Adverse_Stress[[#This Row],[ECL]]-Fixed_Cost[Fixed Cost]</f>
        <v>5.2135971403296573</v>
      </c>
      <c r="AF41" s="72">
        <f>Base_Stress[[#This Row],[User Count(in M)]]</f>
        <v>1.243783474744071</v>
      </c>
      <c r="AG41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5.059212234676032</v>
      </c>
      <c r="AH41" s="72">
        <f>Adverse_Stress[[#This Row],[Loan Count(in M)]]/Adverse_Stress[[#This Row],[User Count(in M)]]</f>
        <v>4.0675988525390627</v>
      </c>
      <c r="AI41" s="101">
        <f>Adverse_Stress[[#This Row],[Revenue Per Loan]]*Adverse_Stress[[#This Row],[Avg Loan Per User]]</f>
        <v>54.021722857313698</v>
      </c>
      <c r="AJ41" s="101">
        <f>Adverse_Stress[[#This Row],[CM Per Loan]]*Adverse_Stress[[#This Row],[Avg Loan Per User]]</f>
        <v>21.206821745605854</v>
      </c>
      <c r="AK41" s="101">
        <f>Adverse_Stress[[#This Row],[CM Per User]]*Adverse_Stress[[#This Row],[User Count(in M)]]</f>
        <v>26.376694439027776</v>
      </c>
      <c r="AL41" s="145">
        <f>(Base_Stress[[#This Row],[CM Per Segment]]-Adverse_Stress[[#This Row],[CM Per Segment]])/($B$68-$B$69)</f>
        <v>3.4907410830251596E-2</v>
      </c>
      <c r="AN41" s="73">
        <v>39</v>
      </c>
      <c r="AO41" s="73" t="s">
        <v>32</v>
      </c>
      <c r="AP41" s="73" t="s">
        <v>36</v>
      </c>
      <c r="AQ41" s="73" t="s">
        <v>61</v>
      </c>
      <c r="AR41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1.0063872000000001E-2</v>
      </c>
      <c r="AS41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0.53625</v>
      </c>
      <c r="AT41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250.64285714285714</v>
      </c>
      <c r="AU41" s="101">
        <f>Severely_Adverse_Stress[[#This Row],[ATS]]*INDEX(Portfolio_Stresser[[Base]:[Severely Adverse]],MATCH("MDR",Portfolio_Stresser[Scenario],0),MATCH("Severely Adverse",Portfolio_Stresser[[#Headers],[Base]:[Severely Adverse]],0))</f>
        <v>11.278928571428571</v>
      </c>
      <c r="AV41" s="72" cm="1">
        <f t="array" ref="AV41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4.072946428571429</v>
      </c>
      <c r="AW41" s="72">
        <f>Severely_Adverse_Stress[[#This Row],[PD]]*Severely_Adverse_Stress[[#This Row],[ATS]]*Severely_Adverse_Stress[[#This Row],[EAD]]</f>
        <v>1.3526571801600002</v>
      </c>
      <c r="AX41" s="101" cm="1">
        <f t="array" ref="AX41">Severely_Adverse_Stress[[#This Row],[Revenue Per Loan]]-Severely_Adverse_Stress[[#This Row],[Funding Cost]]-Severely_Adverse_Stress[[#This Row],[ECL]]-Fixed_Cost[Fixed Cost]</f>
        <v>2.8533249626971413</v>
      </c>
      <c r="AY41" s="72">
        <f>Base_Stress[[#This Row],[User Count(in M)]]</f>
        <v>1.243783474744071</v>
      </c>
      <c r="AZ41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4.3856600903632161</v>
      </c>
      <c r="BA41" s="72">
        <f>Severely_Adverse_Stress[[#This Row],[Loan Count(in M)]]/Severely_Adverse_Stress[[#This Row],[User Count(in M)]]</f>
        <v>3.5260639648437508</v>
      </c>
      <c r="BB41" s="101">
        <f>Severely_Adverse_Stress[[#This Row],[Revenue Per Loan]]*Severely_Adverse_Stress[[#This Row],[Avg Loan Per User]]</f>
        <v>39.770223597760889</v>
      </c>
      <c r="BC41" s="101">
        <f>Severely_Adverse_Stress[[#This Row],[CM Per Loan]]*Severely_Adverse_Stress[[#This Row],[Avg Loan Per User]]</f>
        <v>10.06100633095553</v>
      </c>
      <c r="BD41" s="101">
        <f>Severely_Adverse_Stress[[#This Row],[CM Per User]]*Severely_Adverse_Stress[[#This Row],[User Count(in M)]]</f>
        <v>12.513713413737968</v>
      </c>
      <c r="BE41" s="101"/>
    </row>
    <row r="42" spans="1:57" x14ac:dyDescent="0.2">
      <c r="A42">
        <v>40</v>
      </c>
      <c r="B42" t="s">
        <v>32</v>
      </c>
      <c r="C42" s="9" t="s">
        <v>36</v>
      </c>
      <c r="D42" t="s">
        <v>62</v>
      </c>
      <c r="E42" s="65" cm="1">
        <f t="array" ref="E42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42" s="64">
        <f>VLOOKUP(Base_Stress[[#This Row],[Credit Category]],
  EAD_Table[#All],
  MATCH("EAD",EAD_Table[#Headers],0),
  FALSE)</f>
        <v>0.4425</v>
      </c>
      <c r="G42" s="98" cm="1">
        <f t="array" ref="G42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414.28571428571428</v>
      </c>
      <c r="H42" s="98">
        <f>Base_Stress[[#This Row],[ATS]]*INDEX(Portfolio_Stresser[[Base]:[Severely Adverse]],MATCH("MDR",Portfolio_Stresser[Scenario],0),MATCH("Base",Portfolio_Stresser[[#Headers],[Base]:[Severely Adverse]],0))</f>
        <v>20.714285714285715</v>
      </c>
      <c r="I42" s="98" cm="1">
        <f t="array" ref="I42">Base_Stress[[#This Row],[ATS]]*INDEX(Portfolio_Stresser[[Base]:[Severely Adverse]],MATCH("Funding Rate",Portfolio_Stresser[Scenario],0),MATCH("Base",Portfolio_Stresser[[#Headers],[Base]:[Severely Adverse]],0))*Dynamic_Row_Table[Tenure (in months)]/12</f>
        <v>4.9196428571428568</v>
      </c>
      <c r="J42" s="98">
        <f>Base_Stress[[#This Row],[PD]]*Base_Stress[[#This Row],[ATS]]*Base_Stress[[#This Row],[EAD]]</f>
        <v>1.4665714285714286</v>
      </c>
      <c r="K42" s="98" cm="1">
        <f t="array" ref="K42">Base_Stress[[#This Row],[Revenue Per Loan]]-Base_Stress[[#This Row],[Funding Cost]]-Base_Stress[[#This Row],[ECL]]-Fixed_Cost[Fixed Cost]</f>
        <v>11.328071428571429</v>
      </c>
      <c r="L42" s="10" cm="1">
        <f t="array" ref="L42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0.79271816491387936</v>
      </c>
      <c r="M42" s="10" cm="1">
        <f t="array" ref="M42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3.0588197850863095</v>
      </c>
      <c r="N42" s="10">
        <f>Base_Stress[[#This Row],[Loan Count(in M)]]/Base_Stress[[#This Row],[User Count(in M)]]</f>
        <v>3.8586472727272731</v>
      </c>
      <c r="O42" s="98">
        <f>Base_Stress[[#This Row],[Revenue Per Loan]]*Base_Stress[[#This Row],[Avg Loan Per User]]</f>
        <v>79.929122077922088</v>
      </c>
      <c r="P42" s="98">
        <f>Base_Stress[[#This Row],[CM Per Loan]]*Base_Stress[[#This Row],[Avg Loan Per User]]</f>
        <v>43.711031923116884</v>
      </c>
      <c r="Q42" s="98">
        <f>Base_Stress[[#This Row],[CM Per User]]*Base_Stress[[#This Row],[User Count(in M)]]</f>
        <v>34.650529012585217</v>
      </c>
      <c r="R42" s="124">
        <f>Base_Stress[[#This Row],[CM Per Segment]]/SUM(Base_Stress[CM Per Segment])</f>
        <v>8.3647376338381194E-2</v>
      </c>
      <c r="S42" s="10"/>
      <c r="U42" s="74">
        <v>40</v>
      </c>
      <c r="V42" s="74" t="s">
        <v>32</v>
      </c>
      <c r="W42" s="74" t="s">
        <v>36</v>
      </c>
      <c r="X42" s="74" t="s">
        <v>62</v>
      </c>
      <c r="Y42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8.7385200000000031E-3</v>
      </c>
      <c r="Z42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0.45135000000000003</v>
      </c>
      <c r="AA42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366.0214285714286</v>
      </c>
      <c r="AB42" s="134">
        <f>Adverse_Stress[[#This Row],[ATS]]*INDEX(Portfolio_Stresser[[Base]:[Severely Adverse]],MATCH("MDR",Portfolio_Stresser[Scenario],0),MATCH("Adverse",Portfolio_Stresser[[#Headers],[Base]:[Severely Adverse]],0))</f>
        <v>17.386017857142857</v>
      </c>
      <c r="AC42" s="134" cm="1">
        <f t="array" ref="AC42">Adverse_Stress[[#This Row],[ATS]]*INDEX(Portfolio_Stresser[[Base]:[Severely Adverse]],MATCH("Funding Rate",Portfolio_Stresser[Scenario],0),MATCH("Adverse",Portfolio_Stresser[[#Headers],[Base]:[Severely Adverse]],0))*Dynamic_Row_Table[Tenure (in months)]/12</f>
        <v>5.1471763392857151</v>
      </c>
      <c r="AD42" s="134">
        <f>Adverse_Stress[[#This Row],[PD]]*Adverse_Stress[[#This Row],[ATS]]*Adverse_Stress[[#This Row],[EAD]]</f>
        <v>1.4436364638249009</v>
      </c>
      <c r="AE42" s="134" cm="1">
        <f t="array" ref="AE42">Adverse_Stress[[#This Row],[Revenue Per Loan]]-Adverse_Stress[[#This Row],[Funding Cost]]-Adverse_Stress[[#This Row],[ECL]]-Fixed_Cost[Fixed Cost]</f>
        <v>7.7952050540322411</v>
      </c>
      <c r="AF42" s="130">
        <f>Base_Stress[[#This Row],[User Count(in M)]]</f>
        <v>0.79271816491387936</v>
      </c>
      <c r="AG42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2.75936132812636</v>
      </c>
      <c r="AH42" s="130">
        <f>Adverse_Stress[[#This Row],[Loan Count(in M)]]/Adverse_Stress[[#This Row],[User Count(in M)]]</f>
        <v>3.4808857047272737</v>
      </c>
      <c r="AI42" s="134">
        <f>Adverse_Stress[[#This Row],[Revenue Per Loan]]*Adverse_Stress[[#This Row],[Avg Loan Per User]]</f>
        <v>60.518741021061679</v>
      </c>
      <c r="AJ42" s="134">
        <f>Adverse_Stress[[#This Row],[CM Per Loan]]*Adverse_Stress[[#This Row],[Avg Loan Per User]]</f>
        <v>27.134217837998623</v>
      </c>
      <c r="AK42" s="134">
        <f>Adverse_Stress[[#This Row],[CM Per User]]*Adverse_Stress[[#This Row],[User Count(in M)]]</f>
        <v>21.50978737091172</v>
      </c>
      <c r="AL42" s="144">
        <f>(Base_Stress[[#This Row],[CM Per Segment]]-Adverse_Stress[[#This Row],[CM Per Segment]])/($B$68-$B$69)</f>
        <v>2.4919644229896214E-2</v>
      </c>
      <c r="AN42" s="74">
        <v>40</v>
      </c>
      <c r="AO42" s="74" t="s">
        <v>32</v>
      </c>
      <c r="AP42" s="74" t="s">
        <v>36</v>
      </c>
      <c r="AQ42" s="74" t="s">
        <v>62</v>
      </c>
      <c r="AR42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1.0333440000000001E-2</v>
      </c>
      <c r="AS42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0.46462500000000001</v>
      </c>
      <c r="AT42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328.1142857142857</v>
      </c>
      <c r="AU42" s="134">
        <f>Severely_Adverse_Stress[[#This Row],[ATS]]*INDEX(Portfolio_Stresser[[Base]:[Severely Adverse]],MATCH("MDR",Portfolio_Stresser[Scenario],0),MATCH("Severely Adverse",Portfolio_Stresser[[#Headers],[Base]:[Severely Adverse]],0))</f>
        <v>14.765142857142855</v>
      </c>
      <c r="AV42" s="130" cm="1">
        <f t="array" ref="AV42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5.3318571428571424</v>
      </c>
      <c r="AW42" s="130">
        <f>Severely_Adverse_Stress[[#This Row],[PD]]*Severely_Adverse_Stress[[#This Row],[ATS]]*Severely_Adverse_Stress[[#This Row],[EAD]]</f>
        <v>1.5753339613440001</v>
      </c>
      <c r="AX42" s="134" cm="1">
        <f t="array" ref="AX42">Severely_Adverse_Stress[[#This Row],[Revenue Per Loan]]-Severely_Adverse_Stress[[#This Row],[Funding Cost]]-Severely_Adverse_Stress[[#This Row],[ECL]]-Fixed_Cost[Fixed Cost]</f>
        <v>4.8579517529417124</v>
      </c>
      <c r="AY42" s="130">
        <f>Base_Stress[[#This Row],[User Count(in M)]]</f>
        <v>0.79271816491387936</v>
      </c>
      <c r="AZ42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2.3919970719374941</v>
      </c>
      <c r="BA42" s="130">
        <f>Severely_Adverse_Stress[[#This Row],[Loan Count(in M)]]/Severely_Adverse_Stress[[#This Row],[User Count(in M)]]</f>
        <v>3.0174621672727278</v>
      </c>
      <c r="BB42" s="134">
        <f>Severely_Adverse_Stress[[#This Row],[Revenue Per Loan]]*Severely_Adverse_Stress[[#This Row],[Avg Loan Per User]]</f>
        <v>44.553259965805715</v>
      </c>
      <c r="BC42" s="134">
        <f>Severely_Adverse_Stress[[#This Row],[CM Per Loan]]*Severely_Adverse_Stress[[#This Row],[Avg Loan Per User]]</f>
        <v>14.658685624937846</v>
      </c>
      <c r="BD42" s="134">
        <f>Severely_Adverse_Stress[[#This Row],[CM Per User]]*Severely_Adverse_Stress[[#This Row],[User Count(in M)]]</f>
        <v>11.620206368650193</v>
      </c>
      <c r="BE42" s="134"/>
    </row>
    <row r="43" spans="1:57" x14ac:dyDescent="0.2">
      <c r="A43">
        <v>41</v>
      </c>
      <c r="B43" t="s">
        <v>32</v>
      </c>
      <c r="C43" s="9" t="s">
        <v>37</v>
      </c>
      <c r="D43" t="s">
        <v>58</v>
      </c>
      <c r="E43" s="65" cm="1">
        <f t="array" ref="E43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3.5000000000000003E-2</v>
      </c>
      <c r="F43" s="64">
        <f>VLOOKUP(Base_Stress[[#This Row],[Credit Category]],
  EAD_Table[#All],
  MATCH("EAD",EAD_Table[#Headers],0),
  FALSE)</f>
        <v>0.63750000000000007</v>
      </c>
      <c r="G43" s="98" cm="1">
        <f t="array" ref="G43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181.82539682539681</v>
      </c>
      <c r="H43" s="98">
        <f>Base_Stress[[#This Row],[ATS]]*INDEX(Portfolio_Stresser[[Base]:[Severely Adverse]],MATCH("MDR",Portfolio_Stresser[Scenario],0),MATCH("Base",Portfolio_Stresser[[#Headers],[Base]:[Severely Adverse]],0))</f>
        <v>9.0912698412698401</v>
      </c>
      <c r="I43" s="98" cm="1">
        <f t="array" ref="I43">Base_Stress[[#This Row],[ATS]]*INDEX(Portfolio_Stresser[[Base]:[Severely Adverse]],MATCH("Funding Rate",Portfolio_Stresser[Scenario],0),MATCH("Base",Portfolio_Stresser[[#Headers],[Base]:[Severely Adverse]],0))*Dynamic_Row_Table[Tenure (in months)]/12</f>
        <v>2.1591765873015869</v>
      </c>
      <c r="J43" s="98">
        <f>Base_Stress[[#This Row],[PD]]*Base_Stress[[#This Row],[ATS]]*Base_Stress[[#This Row],[EAD]]</f>
        <v>4.0569791666666672</v>
      </c>
      <c r="K43" s="98" cm="1">
        <f t="array" ref="K43">Base_Stress[[#This Row],[Revenue Per Loan]]-Base_Stress[[#This Row],[Funding Cost]]-Base_Stress[[#This Row],[ECL]]-Fixed_Cost[Fixed Cost]</f>
        <v>-0.12488591269841454</v>
      </c>
      <c r="L43" s="10" cm="1">
        <f t="array" ref="L43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7.4332475452994554E-2</v>
      </c>
      <c r="M43" s="10" cm="1">
        <f t="array" ref="M43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0.97758097381251308</v>
      </c>
      <c r="N43" s="10">
        <f>Base_Stress[[#This Row],[Loan Count(in M)]]/Base_Stress[[#This Row],[User Count(in M)]]</f>
        <v>13.151465329991648</v>
      </c>
      <c r="O43" s="98">
        <f>Base_Stress[[#This Row],[Revenue Per Loan]]*Base_Stress[[#This Row],[Avg Loan Per User]]</f>
        <v>119.56352012305898</v>
      </c>
      <c r="P43" s="98">
        <f>Base_Stress[[#This Row],[CM Per Loan]]*Base_Stress[[#This Row],[Avg Loan Per User]]</f>
        <v>-1.6424327510575625</v>
      </c>
      <c r="Q43" s="98">
        <f>Base_Stress[[#This Row],[CM Per User]]*Base_Stress[[#This Row],[User Count(in M)]]</f>
        <v>-0.12208609215118058</v>
      </c>
      <c r="R43" s="124">
        <f>Base_Stress[[#This Row],[CM Per Segment]]/SUM(Base_Stress[CM Per Segment])</f>
        <v>-2.9471934734800098E-4</v>
      </c>
      <c r="S43" s="10"/>
      <c r="U43" s="73">
        <v>41</v>
      </c>
      <c r="V43" s="73" t="s">
        <v>32</v>
      </c>
      <c r="W43" s="73" t="s">
        <v>37</v>
      </c>
      <c r="X43" s="73" t="s">
        <v>58</v>
      </c>
      <c r="Y43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5.1770075000000006E-2</v>
      </c>
      <c r="Z43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0.73312500000000003</v>
      </c>
      <c r="AA43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158.91539682539681</v>
      </c>
      <c r="AB43" s="101">
        <f>Adverse_Stress[[#This Row],[ATS]]*INDEX(Portfolio_Stresser[[Base]:[Severely Adverse]],MATCH("MDR",Portfolio_Stresser[Scenario],0),MATCH("Adverse",Portfolio_Stresser[[#Headers],[Base]:[Severely Adverse]],0))</f>
        <v>7.5484813492063489</v>
      </c>
      <c r="AC43" s="101" cm="1">
        <f t="array" ref="AC43">Adverse_Stress[[#This Row],[ATS]]*INDEX(Portfolio_Stresser[[Base]:[Severely Adverse]],MATCH("Funding Rate",Portfolio_Stresser[Scenario],0),MATCH("Adverse",Portfolio_Stresser[[#Headers],[Base]:[Severely Adverse]],0))*Dynamic_Row_Table[Tenure (in months)]/12</f>
        <v>2.2347477678571428</v>
      </c>
      <c r="AD43" s="101">
        <f>Adverse_Stress[[#This Row],[PD]]*Adverse_Stress[[#This Row],[ATS]]*Adverse_Stress[[#This Row],[EAD]]</f>
        <v>6.0314648377715105</v>
      </c>
      <c r="AE43" s="101" cm="1">
        <f t="array" ref="AE43">Adverse_Stress[[#This Row],[Revenue Per Loan]]-Adverse_Stress[[#This Row],[Funding Cost]]-Adverse_Stress[[#This Row],[ECL]]-Fixed_Cost[Fixed Cost]</f>
        <v>-3.7177312564223044</v>
      </c>
      <c r="AF43" s="72">
        <f>Base_Stress[[#This Row],[User Count(in M)]]</f>
        <v>7.4332475452994554E-2</v>
      </c>
      <c r="AG43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0.92928847370617496</v>
      </c>
      <c r="AH43" s="72">
        <f>Adverse_Stress[[#This Row],[Loan Count(in M)]]/Adverse_Stress[[#This Row],[User Count(in M)]]</f>
        <v>12.501782942690062</v>
      </c>
      <c r="AI43" s="101">
        <f>Adverse_Stress[[#This Row],[Revenue Per Loan]]*Adverse_Stress[[#This Row],[Avg Loan Per User]]</f>
        <v>94.369475374722001</v>
      </c>
      <c r="AJ43" s="101">
        <f>Adverse_Stress[[#This Row],[CM Per Loan]]*Adverse_Stress[[#This Row],[Avg Loan Per User]]</f>
        <v>-46.478269207046054</v>
      </c>
      <c r="AK43" s="101">
        <f>Adverse_Stress[[#This Row],[CM Per User]]*Adverse_Stress[[#This Row],[User Count(in M)]]</f>
        <v>-3.4548448049304237</v>
      </c>
      <c r="AL43" s="145">
        <f>(Base_Stress[[#This Row],[CM Per Segment]]-Adverse_Stress[[#This Row],[CM Per Segment]])/($B$68-$B$69)</f>
        <v>6.3201274091839533E-3</v>
      </c>
      <c r="AN43" s="73">
        <v>41</v>
      </c>
      <c r="AO43" s="73" t="s">
        <v>32</v>
      </c>
      <c r="AP43" s="73" t="s">
        <v>37</v>
      </c>
      <c r="AQ43" s="73" t="s">
        <v>58</v>
      </c>
      <c r="AR43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7.2618000000000002E-2</v>
      </c>
      <c r="AS43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0.75</v>
      </c>
      <c r="AT43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140.73285714285714</v>
      </c>
      <c r="AU43" s="101">
        <f>Severely_Adverse_Stress[[#This Row],[ATS]]*INDEX(Portfolio_Stresser[[Base]:[Severely Adverse]],MATCH("MDR",Portfolio_Stresser[Scenario],0),MATCH("Severely Adverse",Portfolio_Stresser[[#Headers],[Base]:[Severely Adverse]],0))</f>
        <v>6.3329785714285709</v>
      </c>
      <c r="AV43" s="72" cm="1">
        <f t="array" ref="AV43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2.2869089285714286</v>
      </c>
      <c r="AW43" s="72">
        <f>Severely_Adverse_Stress[[#This Row],[PD]]*Severely_Adverse_Stress[[#This Row],[ATS]]*Severely_Adverse_Stress[[#This Row],[EAD]]</f>
        <v>7.6648039650000008</v>
      </c>
      <c r="AX43" s="101" cm="1">
        <f t="array" ref="AX43">Severely_Adverse_Stress[[#This Row],[Revenue Per Loan]]-Severely_Adverse_Stress[[#This Row],[Funding Cost]]-Severely_Adverse_Stress[[#This Row],[ECL]]-Fixed_Cost[Fixed Cost]</f>
        <v>-6.6187343221428581</v>
      </c>
      <c r="AY43" s="72">
        <f>Base_Stress[[#This Row],[User Count(in M)]]</f>
        <v>7.4332475452994554E-2</v>
      </c>
      <c r="AZ43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0.82742453623491108</v>
      </c>
      <c r="BA43" s="72">
        <f>Severely_Adverse_Stress[[#This Row],[Loan Count(in M)]]/Severely_Adverse_Stress[[#This Row],[User Count(in M)]]</f>
        <v>11.13140025530493</v>
      </c>
      <c r="BB43" s="101">
        <f>Severely_Adverse_Stress[[#This Row],[Revenue Per Loan]]*Severely_Adverse_Stress[[#This Row],[Avg Loan Per User]]</f>
        <v>70.494919286840641</v>
      </c>
      <c r="BC43" s="101">
        <f>Severely_Adverse_Stress[[#This Row],[CM Per Loan]]*Severely_Adverse_Stress[[#This Row],[Avg Loan Per User]]</f>
        <v>-73.675780923296514</v>
      </c>
      <c r="BD43" s="101">
        <f>Severely_Adverse_Stress[[#This Row],[CM Per User]]*Severely_Adverse_Stress[[#This Row],[User Count(in M)]]</f>
        <v>-5.4765031769611427</v>
      </c>
      <c r="BE43" s="101"/>
    </row>
    <row r="44" spans="1:57" x14ac:dyDescent="0.2">
      <c r="A44">
        <v>42</v>
      </c>
      <c r="B44" t="s">
        <v>32</v>
      </c>
      <c r="C44" s="9" t="s">
        <v>37</v>
      </c>
      <c r="D44" t="s">
        <v>83</v>
      </c>
      <c r="E44" s="65" cm="1">
        <f t="array" ref="E44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1.0999999999999999E-2</v>
      </c>
      <c r="F44" s="64">
        <f>VLOOKUP(Base_Stress[[#This Row],[Credit Category]],
  EAD_Table[#All],
  MATCH("EAD",EAD_Table[#Headers],0),
  FALSE)</f>
        <v>0.5625</v>
      </c>
      <c r="G44" s="98" cm="1">
        <f t="array" ref="G44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257.77777777777777</v>
      </c>
      <c r="H44" s="98">
        <f>Base_Stress[[#This Row],[ATS]]*INDEX(Portfolio_Stresser[[Base]:[Severely Adverse]],MATCH("MDR",Portfolio_Stresser[Scenario],0),MATCH("Base",Portfolio_Stresser[[#Headers],[Base]:[Severely Adverse]],0))</f>
        <v>12.888888888888889</v>
      </c>
      <c r="I44" s="98" cm="1">
        <f t="array" ref="I44">Base_Stress[[#This Row],[ATS]]*INDEX(Portfolio_Stresser[[Base]:[Severely Adverse]],MATCH("Funding Rate",Portfolio_Stresser[Scenario],0),MATCH("Base",Portfolio_Stresser[[#Headers],[Base]:[Severely Adverse]],0))*Dynamic_Row_Table[Tenure (in months)]/12</f>
        <v>3.0611111111111113</v>
      </c>
      <c r="J44" s="98">
        <f>Base_Stress[[#This Row],[PD]]*Base_Stress[[#This Row],[ATS]]*Base_Stress[[#This Row],[EAD]]</f>
        <v>1.5949999999999998</v>
      </c>
      <c r="K44" s="98" cm="1">
        <f t="array" ref="K44">Base_Stress[[#This Row],[Revenue Per Loan]]-Base_Stress[[#This Row],[Funding Cost]]-Base_Stress[[#This Row],[ECL]]-Fixed_Cost[Fixed Cost]</f>
        <v>5.2327777777777769</v>
      </c>
      <c r="L44" s="10" cm="1">
        <f t="array" ref="L44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0.25625822204402787</v>
      </c>
      <c r="M44" s="10" cm="1">
        <f t="array" ref="M44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1.2054442754142438</v>
      </c>
      <c r="N44" s="10">
        <f>Base_Stress[[#This Row],[Loan Count(in M)]]/Base_Stress[[#This Row],[User Count(in M)]]</f>
        <v>4.7040218487394947</v>
      </c>
      <c r="O44" s="98">
        <f>Base_Stress[[#This Row],[Revenue Per Loan]]*Base_Stress[[#This Row],[Avg Loan Per User]]</f>
        <v>60.629614939309043</v>
      </c>
      <c r="P44" s="98">
        <f>Base_Stress[[#This Row],[CM Per Loan]]*Base_Stress[[#This Row],[Avg Loan Per User]]</f>
        <v>24.615100996265163</v>
      </c>
      <c r="Q44" s="98">
        <f>Base_Stress[[#This Row],[CM Per User]]*Base_Stress[[#This Row],[User Count(in M)]]</f>
        <v>6.3078220167370898</v>
      </c>
      <c r="R44" s="124">
        <f>Base_Stress[[#This Row],[CM Per Segment]]/SUM(Base_Stress[CM Per Segment])</f>
        <v>1.5227264262484868E-2</v>
      </c>
      <c r="S44" s="10"/>
      <c r="U44" s="74">
        <v>42</v>
      </c>
      <c r="V44" s="74" t="s">
        <v>32</v>
      </c>
      <c r="W44" s="74" t="s">
        <v>37</v>
      </c>
      <c r="X44" s="74" t="s">
        <v>83</v>
      </c>
      <c r="Y44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1.4587430000000002E-2</v>
      </c>
      <c r="Z44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0.61875000000000002</v>
      </c>
      <c r="AA44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225.29777777777775</v>
      </c>
      <c r="AB44" s="134">
        <f>Adverse_Stress[[#This Row],[ATS]]*INDEX(Portfolio_Stresser[[Base]:[Severely Adverse]],MATCH("MDR",Portfolio_Stresser[Scenario],0),MATCH("Adverse",Portfolio_Stresser[[#Headers],[Base]:[Severely Adverse]],0))</f>
        <v>10.701644444444444</v>
      </c>
      <c r="AC44" s="134" cm="1">
        <f t="array" ref="AC44">Adverse_Stress[[#This Row],[ATS]]*INDEX(Portfolio_Stresser[[Base]:[Severely Adverse]],MATCH("Funding Rate",Portfolio_Stresser[Scenario],0),MATCH("Adverse",Portfolio_Stresser[[#Headers],[Base]:[Severely Adverse]],0))*Dynamic_Row_Table[Tenure (in months)]/12</f>
        <v>3.1682499999999991</v>
      </c>
      <c r="AD44" s="134">
        <f>Adverse_Stress[[#This Row],[PD]]*Adverse_Stress[[#This Row],[ATS]]*Adverse_Stress[[#This Row],[EAD]]</f>
        <v>2.03353150429</v>
      </c>
      <c r="AE44" s="134" cm="1">
        <f t="array" ref="AE44">Adverse_Stress[[#This Row],[Revenue Per Loan]]-Adverse_Stress[[#This Row],[Funding Cost]]-Adverse_Stress[[#This Row],[ECL]]-Fixed_Cost[Fixed Cost]</f>
        <v>2.4998629401544452</v>
      </c>
      <c r="AF44" s="130">
        <f>Base_Stress[[#This Row],[User Count(in M)]]</f>
        <v>0.25625822204402787</v>
      </c>
      <c r="AG44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1.14589532820878</v>
      </c>
      <c r="AH44" s="130">
        <f>Adverse_Stress[[#This Row],[Loan Count(in M)]]/Adverse_Stress[[#This Row],[User Count(in M)]]</f>
        <v>4.4716431694117631</v>
      </c>
      <c r="AI44" s="134">
        <f>Adverse_Stress[[#This Row],[Revenue Per Loan]]*Adverse_Stress[[#This Row],[Avg Loan Per User]]</f>
        <v>47.853935281473341</v>
      </c>
      <c r="AJ44" s="134">
        <f>Adverse_Stress[[#This Row],[CM Per Loan]]*Adverse_Stress[[#This Row],[Avg Loan Per User]]</f>
        <v>11.178495040807231</v>
      </c>
      <c r="AK44" s="134">
        <f>Adverse_Stress[[#This Row],[CM Per User]]*Adverse_Stress[[#This Row],[User Count(in M)]]</f>
        <v>2.8645812642852437</v>
      </c>
      <c r="AL44" s="144">
        <f>(Base_Stress[[#This Row],[CM Per Segment]]-Adverse_Stress[[#This Row],[CM Per Segment]])/($B$68-$B$69)</f>
        <v>6.5296416966959571E-3</v>
      </c>
      <c r="AN44" s="74">
        <v>42</v>
      </c>
      <c r="AO44" s="74" t="s">
        <v>32</v>
      </c>
      <c r="AP44" s="74" t="s">
        <v>37</v>
      </c>
      <c r="AQ44" s="74" t="s">
        <v>83</v>
      </c>
      <c r="AR44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1.9819800000000002E-2</v>
      </c>
      <c r="AS44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0.65812499999999996</v>
      </c>
      <c r="AT44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199.52</v>
      </c>
      <c r="AU44" s="134">
        <f>Severely_Adverse_Stress[[#This Row],[ATS]]*INDEX(Portfolio_Stresser[[Base]:[Severely Adverse]],MATCH("MDR",Portfolio_Stresser[Scenario],0),MATCH("Severely Adverse",Portfolio_Stresser[[#Headers],[Base]:[Severely Adverse]],0))</f>
        <v>8.9784000000000006</v>
      </c>
      <c r="AV44" s="130" cm="1">
        <f t="array" ref="AV44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3.2422000000000004</v>
      </c>
      <c r="AW44" s="130">
        <f>Severely_Adverse_Stress[[#This Row],[PD]]*Severely_Adverse_Stress[[#This Row],[ATS]]*Severely_Adverse_Stress[[#This Row],[EAD]]</f>
        <v>2.60252010018</v>
      </c>
      <c r="AX44" s="134" cm="1">
        <f t="array" ref="AX44">Severely_Adverse_Stress[[#This Row],[Revenue Per Loan]]-Severely_Adverse_Stress[[#This Row],[Funding Cost]]-Severely_Adverse_Stress[[#This Row],[ECL]]-Fixed_Cost[Fixed Cost]</f>
        <v>0.13367989982000017</v>
      </c>
      <c r="AY44" s="130">
        <f>Base_Stress[[#This Row],[User Count(in M)]]</f>
        <v>0.25625822204402787</v>
      </c>
      <c r="AZ44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1.020288034710616</v>
      </c>
      <c r="BA44" s="130">
        <f>Severely_Adverse_Stress[[#This Row],[Loan Count(in M)]]/Severely_Adverse_Stress[[#This Row],[User Count(in M)]]</f>
        <v>3.9814840927731083</v>
      </c>
      <c r="BB44" s="134">
        <f>Severely_Adverse_Stress[[#This Row],[Revenue Per Loan]]*Severely_Adverse_Stress[[#This Row],[Avg Loan Per User]]</f>
        <v>35.747356778554078</v>
      </c>
      <c r="BC44" s="134">
        <f>Severely_Adverse_Stress[[#This Row],[CM Per Loan]]*Severely_Adverse_Stress[[#This Row],[Avg Loan Per User]]</f>
        <v>0.53224439465683338</v>
      </c>
      <c r="BD44" s="134">
        <f>Severely_Adverse_Stress[[#This Row],[CM Per User]]*Severely_Adverse_Stress[[#This Row],[User Count(in M)]]</f>
        <v>0.13639200226766002</v>
      </c>
      <c r="BE44" s="134"/>
    </row>
    <row r="45" spans="1:57" x14ac:dyDescent="0.2">
      <c r="A45">
        <v>43</v>
      </c>
      <c r="B45" t="s">
        <v>32</v>
      </c>
      <c r="C45" s="9" t="s">
        <v>37</v>
      </c>
      <c r="D45" t="s">
        <v>60</v>
      </c>
      <c r="E45" s="65" cm="1">
        <f t="array" ref="E45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45" s="64">
        <f>VLOOKUP(Base_Stress[[#This Row],[Credit Category]],
  EAD_Table[#All],
  MATCH("EAD",EAD_Table[#Headers],0),
  FALSE)</f>
        <v>0.51749999999999996</v>
      </c>
      <c r="G45" s="98" cm="1">
        <f t="array" ref="G45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377.46031746031741</v>
      </c>
      <c r="H45" s="98">
        <f>Base_Stress[[#This Row],[ATS]]*INDEX(Portfolio_Stresser[[Base]:[Severely Adverse]],MATCH("MDR",Portfolio_Stresser[Scenario],0),MATCH("Base",Portfolio_Stresser[[#Headers],[Base]:[Severely Adverse]],0))</f>
        <v>18.87301587301587</v>
      </c>
      <c r="I45" s="98" cm="1">
        <f t="array" ref="I45">Base_Stress[[#This Row],[ATS]]*INDEX(Portfolio_Stresser[[Base]:[Severely Adverse]],MATCH("Funding Rate",Portfolio_Stresser[Scenario],0),MATCH("Base",Portfolio_Stresser[[#Headers],[Base]:[Severely Adverse]],0))*Dynamic_Row_Table[Tenure (in months)]/12</f>
        <v>4.4823412698412692</v>
      </c>
      <c r="J45" s="98">
        <f>Base_Stress[[#This Row],[PD]]*Base_Stress[[#This Row],[ATS]]*Base_Stress[[#This Row],[EAD]]</f>
        <v>1.562685714285714</v>
      </c>
      <c r="K45" s="98" cm="1">
        <f t="array" ref="K45">Base_Stress[[#This Row],[Revenue Per Loan]]-Base_Stress[[#This Row],[Funding Cost]]-Base_Stress[[#This Row],[ECL]]-Fixed_Cost[Fixed Cost]</f>
        <v>9.8279888888888873</v>
      </c>
      <c r="L45" s="10" cm="1">
        <f t="array" ref="L45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0.49618561137624734</v>
      </c>
      <c r="M45" s="10" cm="1">
        <f t="array" ref="M45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2.3986627501750855</v>
      </c>
      <c r="N45" s="10">
        <f>Base_Stress[[#This Row],[Loan Count(in M)]]/Base_Stress[[#This Row],[User Count(in M)]]</f>
        <v>4.8342045701849843</v>
      </c>
      <c r="O45" s="98">
        <f>Base_Stress[[#This Row],[Revenue Per Loan]]*Base_Stress[[#This Row],[Avg Loan Per User]]</f>
        <v>91.236019586507069</v>
      </c>
      <c r="P45" s="98">
        <f>Base_Stress[[#This Row],[CM Per Loan]]*Base_Stress[[#This Row],[Avg Loan Per User]]</f>
        <v>47.510508802393908</v>
      </c>
      <c r="Q45" s="98">
        <f>Base_Stress[[#This Row],[CM Per User]]*Base_Stress[[#This Row],[User Count(in M)]]</f>
        <v>23.574030856912401</v>
      </c>
      <c r="R45" s="124">
        <f>Base_Stress[[#This Row],[CM Per Segment]]/SUM(Base_Stress[CM Per Segment])</f>
        <v>5.6908390350535722E-2</v>
      </c>
      <c r="S45" s="10"/>
      <c r="U45" s="73">
        <v>43</v>
      </c>
      <c r="V45" s="73" t="s">
        <v>32</v>
      </c>
      <c r="W45" s="73" t="s">
        <v>37</v>
      </c>
      <c r="X45" s="73" t="s">
        <v>60</v>
      </c>
      <c r="Y45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9.6297440000000008E-3</v>
      </c>
      <c r="Z45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0.55372500000000002</v>
      </c>
      <c r="AA45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329.90031746031741</v>
      </c>
      <c r="AB45" s="101">
        <f>Adverse_Stress[[#This Row],[ATS]]*INDEX(Portfolio_Stresser[[Base]:[Severely Adverse]],MATCH("MDR",Portfolio_Stresser[Scenario],0),MATCH("Adverse",Portfolio_Stresser[[#Headers],[Base]:[Severely Adverse]],0))</f>
        <v>15.670265079365077</v>
      </c>
      <c r="AC45" s="101" cm="1">
        <f t="array" ref="AC45">Adverse_Stress[[#This Row],[ATS]]*INDEX(Portfolio_Stresser[[Base]:[Severely Adverse]],MATCH("Funding Rate",Portfolio_Stresser[Scenario],0),MATCH("Adverse",Portfolio_Stresser[[#Headers],[Base]:[Severely Adverse]],0))*Dynamic_Row_Table[Tenure (in months)]/12</f>
        <v>4.6392232142857139</v>
      </c>
      <c r="AD45" s="101">
        <f>Adverse_Stress[[#This Row],[PD]]*Adverse_Stress[[#This Row],[ATS]]*Adverse_Stress[[#This Row],[EAD]]</f>
        <v>1.7591043685837873</v>
      </c>
      <c r="AE45" s="101" cm="1">
        <f t="array" ref="AE45">Adverse_Stress[[#This Row],[Revenue Per Loan]]-Adverse_Stress[[#This Row],[Funding Cost]]-Adverse_Stress[[#This Row],[ECL]]-Fixed_Cost[Fixed Cost]</f>
        <v>6.2719374964955747</v>
      </c>
      <c r="AF45" s="72">
        <f>Base_Stress[[#This Row],[User Count(in M)]]</f>
        <v>0.49618561137624734</v>
      </c>
      <c r="AG45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2.2801688103164364</v>
      </c>
      <c r="AH45" s="72">
        <f>Adverse_Stress[[#This Row],[Loan Count(in M)]]/Adverse_Stress[[#This Row],[User Count(in M)]]</f>
        <v>4.5953948644178464</v>
      </c>
      <c r="AI45" s="101">
        <f>Adverse_Stress[[#This Row],[Revenue Per Loan]]*Adverse_Stress[[#This Row],[Avg Loan Per User]]</f>
        <v>72.011055669780589</v>
      </c>
      <c r="AJ45" s="101">
        <f>Adverse_Stress[[#This Row],[CM Per Loan]]*Adverse_Stress[[#This Row],[Avg Loan Per User]]</f>
        <v>28.822029361345489</v>
      </c>
      <c r="AK45" s="101">
        <f>Adverse_Stress[[#This Row],[CM Per User]]*Adverse_Stress[[#This Row],[User Count(in M)]]</f>
        <v>14.301076259763363</v>
      </c>
      <c r="AL45" s="145">
        <f>(Base_Stress[[#This Row],[CM Per Segment]]-Adverse_Stress[[#This Row],[CM Per Segment]])/($B$68-$B$69)</f>
        <v>1.7584907748898284E-2</v>
      </c>
      <c r="AN45" s="73">
        <v>43</v>
      </c>
      <c r="AO45" s="73" t="s">
        <v>32</v>
      </c>
      <c r="AP45" s="73" t="s">
        <v>37</v>
      </c>
      <c r="AQ45" s="73" t="s">
        <v>60</v>
      </c>
      <c r="AR45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1.26672E-2</v>
      </c>
      <c r="AS45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0.58994999999999986</v>
      </c>
      <c r="AT45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292.15428571428566</v>
      </c>
      <c r="AU45" s="101">
        <f>Severely_Adverse_Stress[[#This Row],[ATS]]*INDEX(Portfolio_Stresser[[Base]:[Severely Adverse]],MATCH("MDR",Portfolio_Stresser[Scenario],0),MATCH("Severely Adverse",Portfolio_Stresser[[#Headers],[Base]:[Severely Adverse]],0))</f>
        <v>13.146942857142854</v>
      </c>
      <c r="AV45" s="72" cm="1">
        <f t="array" ref="AV45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4.7475071428571418</v>
      </c>
      <c r="AW45" s="72">
        <f>Severely_Adverse_Stress[[#This Row],[PD]]*Severely_Adverse_Stress[[#This Row],[ATS]]*Severely_Adverse_Stress[[#This Row],[EAD]]</f>
        <v>2.1832732542815991</v>
      </c>
      <c r="AX45" s="101" cm="1">
        <f t="array" ref="AX45">Severely_Adverse_Stress[[#This Row],[Revenue Per Loan]]-Severely_Adverse_Stress[[#This Row],[Funding Cost]]-Severely_Adverse_Stress[[#This Row],[ECL]]-Fixed_Cost[Fixed Cost]</f>
        <v>3.2161624600041128</v>
      </c>
      <c r="AY45" s="72">
        <f>Base_Stress[[#This Row],[User Count(in M)]]</f>
        <v>0.49618561137624734</v>
      </c>
      <c r="AZ45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2.0302281517481924</v>
      </c>
      <c r="BA45" s="72">
        <f>Severely_Adverse_Stress[[#This Row],[Loan Count(in M)]]/Severely_Adverse_Stress[[#This Row],[User Count(in M)]]</f>
        <v>4.0916707482045709</v>
      </c>
      <c r="BB45" s="101">
        <f>Severely_Adverse_Stress[[#This Row],[Revenue Per Loan]]*Severely_Adverse_Stress[[#This Row],[Avg Loan Per User]]</f>
        <v>53.79296151688844</v>
      </c>
      <c r="BC45" s="101">
        <f>Severely_Adverse_Stress[[#This Row],[CM Per Loan]]*Severely_Adverse_Stress[[#This Row],[Avg Loan Per User]]</f>
        <v>13.159477859072481</v>
      </c>
      <c r="BD45" s="101">
        <f>Severely_Adverse_Stress[[#This Row],[CM Per User]]*Severely_Adverse_Stress[[#This Row],[User Count(in M)]]</f>
        <v>6.52954356689607</v>
      </c>
      <c r="BE45" s="101"/>
    </row>
    <row r="46" spans="1:57" x14ac:dyDescent="0.2">
      <c r="A46">
        <v>44</v>
      </c>
      <c r="B46" t="s">
        <v>32</v>
      </c>
      <c r="C46" s="9" t="s">
        <v>37</v>
      </c>
      <c r="D46" t="s">
        <v>61</v>
      </c>
      <c r="E46" s="65" cm="1">
        <f t="array" ref="E46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7.0000000000000001E-3</v>
      </c>
      <c r="F46" s="64">
        <f>VLOOKUP(Base_Stress[[#This Row],[Credit Category]],
  EAD_Table[#All],
  MATCH("EAD",EAD_Table[#Headers],0),
  FALSE)</f>
        <v>0.48749999999999999</v>
      </c>
      <c r="G46" s="98" cm="1">
        <f t="array" ref="G46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423.49206349206344</v>
      </c>
      <c r="H46" s="98">
        <f>Base_Stress[[#This Row],[ATS]]*INDEX(Portfolio_Stresser[[Base]:[Severely Adverse]],MATCH("MDR",Portfolio_Stresser[Scenario],0),MATCH("Base",Portfolio_Stresser[[#Headers],[Base]:[Severely Adverse]],0))</f>
        <v>21.174603174603174</v>
      </c>
      <c r="I46" s="98" cm="1">
        <f t="array" ref="I46">Base_Stress[[#This Row],[ATS]]*INDEX(Portfolio_Stresser[[Base]:[Severely Adverse]],MATCH("Funding Rate",Portfolio_Stresser[Scenario],0),MATCH("Base",Portfolio_Stresser[[#Headers],[Base]:[Severely Adverse]],0))*Dynamic_Row_Table[Tenure (in months)]/12</f>
        <v>5.0289682539682534</v>
      </c>
      <c r="J46" s="98">
        <f>Base_Stress[[#This Row],[PD]]*Base_Stress[[#This Row],[ATS]]*Base_Stress[[#This Row],[EAD]]</f>
        <v>1.4451666666666665</v>
      </c>
      <c r="K46" s="98" cm="1">
        <f t="array" ref="K46">Base_Stress[[#This Row],[Revenue Per Loan]]-Base_Stress[[#This Row],[Funding Cost]]-Base_Stress[[#This Row],[ECL]]-Fixed_Cost[Fixed Cost]</f>
        <v>11.700468253968252</v>
      </c>
      <c r="L46" s="10" cm="1">
        <f t="array" ref="L46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1.0406303811008861</v>
      </c>
      <c r="M46" s="10" cm="1">
        <f t="array" ref="M46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4.692236940564519</v>
      </c>
      <c r="N46" s="10">
        <f>Base_Stress[[#This Row],[Loan Count(in M)]]/Base_Stress[[#This Row],[User Count(in M)]]</f>
        <v>4.5090332031250009</v>
      </c>
      <c r="O46" s="98">
        <f>Base_Stress[[#This Row],[Revenue Per Loan]]*Base_Stress[[#This Row],[Avg Loan Per User]]</f>
        <v>95.476988777281761</v>
      </c>
      <c r="P46" s="98">
        <f>Base_Stress[[#This Row],[CM Per Loan]]*Base_Stress[[#This Row],[Avg Loan Per User]]</f>
        <v>52.757799849252855</v>
      </c>
      <c r="Q46" s="98">
        <f>Base_Stress[[#This Row],[CM Per User]]*Base_Stress[[#This Row],[User Count(in M)]]</f>
        <v>54.901369363172272</v>
      </c>
      <c r="R46" s="124">
        <f>Base_Stress[[#This Row],[CM Per Segment]]/SUM(Base_Stress[CM Per Segment])</f>
        <v>0.13253348896768011</v>
      </c>
      <c r="S46" s="10"/>
      <c r="U46" s="74">
        <v>44</v>
      </c>
      <c r="V46" s="74" t="s">
        <v>32</v>
      </c>
      <c r="W46" s="74" t="s">
        <v>37</v>
      </c>
      <c r="X46" s="74" t="s">
        <v>61</v>
      </c>
      <c r="Y46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7.8547700000000005E-3</v>
      </c>
      <c r="Z46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0.50700000000000001</v>
      </c>
      <c r="AA46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370.13206349206342</v>
      </c>
      <c r="AB46" s="134">
        <f>Adverse_Stress[[#This Row],[ATS]]*INDEX(Portfolio_Stresser[[Base]:[Severely Adverse]],MATCH("MDR",Portfolio_Stresser[Scenario],0),MATCH("Adverse",Portfolio_Stresser[[#Headers],[Base]:[Severely Adverse]],0))</f>
        <v>17.581273015873013</v>
      </c>
      <c r="AC46" s="134" cm="1">
        <f t="array" ref="AC46">Adverse_Stress[[#This Row],[ATS]]*INDEX(Portfolio_Stresser[[Base]:[Severely Adverse]],MATCH("Funding Rate",Portfolio_Stresser[Scenario],0),MATCH("Adverse",Portfolio_Stresser[[#Headers],[Base]:[Severely Adverse]],0))*Dynamic_Row_Table[Tenure (in months)]/12</f>
        <v>5.2049821428571423</v>
      </c>
      <c r="AD46" s="134">
        <f>Adverse_Stress[[#This Row],[PD]]*Adverse_Stress[[#This Row],[ATS]]*Adverse_Stress[[#This Row],[EAD]]</f>
        <v>1.4740022297762667</v>
      </c>
      <c r="AE46" s="134" cm="1">
        <f t="array" ref="AE46">Adverse_Stress[[#This Row],[Revenue Per Loan]]-Adverse_Stress[[#This Row],[Funding Cost]]-Adverse_Stress[[#This Row],[ECL]]-Fixed_Cost[Fixed Cost]</f>
        <v>7.9022886432396042</v>
      </c>
      <c r="AF46" s="130">
        <f>Base_Stress[[#This Row],[User Count(in M)]]</f>
        <v>1.0406303811008861</v>
      </c>
      <c r="AG46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4.4604404357006322</v>
      </c>
      <c r="AH46" s="130">
        <f>Adverse_Stress[[#This Row],[Loan Count(in M)]]/Adverse_Stress[[#This Row],[User Count(in M)]]</f>
        <v>4.2862869628906264</v>
      </c>
      <c r="AI46" s="134">
        <f>Adverse_Stress[[#This Row],[Revenue Per Loan]]*Adverse_Stress[[#This Row],[Avg Loan Per User]]</f>
        <v>75.358381318957257</v>
      </c>
      <c r="AJ46" s="134">
        <f>Adverse_Stress[[#This Row],[CM Per Loan]]*Adverse_Stress[[#This Row],[Avg Loan Per User]]</f>
        <v>33.871476788516574</v>
      </c>
      <c r="AK46" s="134">
        <f>Adverse_Stress[[#This Row],[CM Per User]]*Adverse_Stress[[#This Row],[User Count(in M)]]</f>
        <v>35.247687798883824</v>
      </c>
      <c r="AL46" s="144">
        <f>(Base_Stress[[#This Row],[CM Per Segment]]-Adverse_Stress[[#This Row],[CM Per Segment]])/($B$68-$B$69)</f>
        <v>3.7270556392079414E-2</v>
      </c>
      <c r="AN46" s="74">
        <v>44</v>
      </c>
      <c r="AO46" s="74" t="s">
        <v>32</v>
      </c>
      <c r="AP46" s="74" t="s">
        <v>37</v>
      </c>
      <c r="AQ46" s="74" t="s">
        <v>61</v>
      </c>
      <c r="AR46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9.7843200000000009E-3</v>
      </c>
      <c r="AS46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0.53625</v>
      </c>
      <c r="AT46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327.7828571428571</v>
      </c>
      <c r="AU46" s="134">
        <f>Severely_Adverse_Stress[[#This Row],[ATS]]*INDEX(Portfolio_Stresser[[Base]:[Severely Adverse]],MATCH("MDR",Portfolio_Stresser[Scenario],0),MATCH("Severely Adverse",Portfolio_Stresser[[#Headers],[Base]:[Severely Adverse]],0))</f>
        <v>14.750228571428568</v>
      </c>
      <c r="AV46" s="130" cm="1">
        <f t="array" ref="AV46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5.3264714285714279</v>
      </c>
      <c r="AW46" s="130">
        <f>Severely_Adverse_Stress[[#This Row],[PD]]*Severely_Adverse_Stress[[#This Row],[ATS]]*Severely_Adverse_Stress[[#This Row],[EAD]]</f>
        <v>1.7198247306239998</v>
      </c>
      <c r="AX46" s="134" cm="1">
        <f t="array" ref="AX46">Severely_Adverse_Stress[[#This Row],[Revenue Per Loan]]-Severely_Adverse_Stress[[#This Row],[Funding Cost]]-Severely_Adverse_Stress[[#This Row],[ECL]]-Fixed_Cost[Fixed Cost]</f>
        <v>4.7039324122331418</v>
      </c>
      <c r="AY46" s="130">
        <f>Base_Stress[[#This Row],[User Count(in M)]]</f>
        <v>1.0406303811008861</v>
      </c>
      <c r="AZ46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3.9715093464938089</v>
      </c>
      <c r="BA46" s="130">
        <f>Severely_Adverse_Stress[[#This Row],[Loan Count(in M)]]/Severely_Adverse_Stress[[#This Row],[User Count(in M)]]</f>
        <v>3.8164457031250008</v>
      </c>
      <c r="BB46" s="134">
        <f>Severely_Adverse_Stress[[#This Row],[Revenue Per Loan]]*Severely_Adverse_Stress[[#This Row],[Avg Loan Per User]]</f>
        <v>56.293446451540177</v>
      </c>
      <c r="BC46" s="134">
        <f>Severely_Adverse_Stress[[#This Row],[CM Per Loan]]*Severely_Adverse_Stress[[#This Row],[Avg Loan Per User]]</f>
        <v>17.952302642457592</v>
      </c>
      <c r="BD46" s="134">
        <f>Severely_Adverse_Stress[[#This Row],[CM Per User]]*Severely_Adverse_Stress[[#This Row],[User Count(in M)]]</f>
        <v>18.681711540459091</v>
      </c>
      <c r="BE46" s="134"/>
    </row>
    <row r="47" spans="1:57" x14ac:dyDescent="0.2">
      <c r="A47">
        <v>45</v>
      </c>
      <c r="B47" t="s">
        <v>32</v>
      </c>
      <c r="C47" s="9" t="s">
        <v>37</v>
      </c>
      <c r="D47" t="s">
        <v>62</v>
      </c>
      <c r="E47" s="65" cm="1">
        <f t="array" ref="E47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47" s="64">
        <f>VLOOKUP(Base_Stress[[#This Row],[Credit Category]],
  EAD_Table[#All],
  MATCH("EAD",EAD_Table[#Headers],0),
  FALSE)</f>
        <v>0.4425</v>
      </c>
      <c r="G47" s="98" cm="1">
        <f t="array" ref="G47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454.56349206349205</v>
      </c>
      <c r="H47" s="98">
        <f>Base_Stress[[#This Row],[ATS]]*INDEX(Portfolio_Stresser[[Base]:[Severely Adverse]],MATCH("MDR",Portfolio_Stresser[Scenario],0),MATCH("Base",Portfolio_Stresser[[#Headers],[Base]:[Severely Adverse]],0))</f>
        <v>22.728174603174605</v>
      </c>
      <c r="I47" s="98" cm="1">
        <f t="array" ref="I47">Base_Stress[[#This Row],[ATS]]*INDEX(Portfolio_Stresser[[Base]:[Severely Adverse]],MATCH("Funding Rate",Portfolio_Stresser[Scenario],0),MATCH("Base",Portfolio_Stresser[[#Headers],[Base]:[Severely Adverse]],0))*Dynamic_Row_Table[Tenure (in months)]/12</f>
        <v>5.3979414682539684</v>
      </c>
      <c r="J47" s="98">
        <f>Base_Stress[[#This Row],[PD]]*Base_Stress[[#This Row],[ATS]]*Base_Stress[[#This Row],[EAD]]</f>
        <v>1.6091547619047619</v>
      </c>
      <c r="K47" s="98" cm="1">
        <f t="array" ref="K47">Base_Stress[[#This Row],[Revenue Per Loan]]-Base_Stress[[#This Row],[Funding Cost]]-Base_Stress[[#This Row],[ECL]]-Fixed_Cost[Fixed Cost]</f>
        <v>12.721078373015875</v>
      </c>
      <c r="L47" s="10" cm="1">
        <f t="array" ref="L47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1.518469889920288</v>
      </c>
      <c r="M47" s="10" cm="1">
        <f t="array" ref="M47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5.859239699459402</v>
      </c>
      <c r="N47" s="10">
        <f>Base_Stress[[#This Row],[Loan Count(in M)]]/Base_Stress[[#This Row],[User Count(in M)]]</f>
        <v>3.8586472727272731</v>
      </c>
      <c r="O47" s="98">
        <f>Base_Stress[[#This Row],[Revenue Per Loan]]*Base_Stress[[#This Row],[Avg Loan Per User]]</f>
        <v>87.700008946608961</v>
      </c>
      <c r="P47" s="98">
        <f>Base_Stress[[#This Row],[CM Per Loan]]*Base_Stress[[#This Row],[Avg Loan Per User]]</f>
        <v>49.0861543701876</v>
      </c>
      <c r="Q47" s="98">
        <f>Base_Stress[[#This Row],[CM Per User]]*Base_Stress[[#This Row],[User Count(in M)]]</f>
        <v>74.535847423109033</v>
      </c>
      <c r="R47" s="124">
        <f>Base_Stress[[#This Row],[CM Per Segment]]/SUM(Base_Stress[CM Per Segment])</f>
        <v>0.17993168525180328</v>
      </c>
      <c r="S47" s="10"/>
      <c r="U47" s="73">
        <v>45</v>
      </c>
      <c r="V47" s="73" t="s">
        <v>32</v>
      </c>
      <c r="W47" s="73" t="s">
        <v>37</v>
      </c>
      <c r="X47" s="73" t="s">
        <v>62</v>
      </c>
      <c r="Y47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8.5688400000000029E-3</v>
      </c>
      <c r="Z47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0.45135000000000003</v>
      </c>
      <c r="AA47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397.28849206349201</v>
      </c>
      <c r="AB47" s="101">
        <f>Adverse_Stress[[#This Row],[ATS]]*INDEX(Portfolio_Stresser[[Base]:[Severely Adverse]],MATCH("MDR",Portfolio_Stresser[Scenario],0),MATCH("Adverse",Portfolio_Stresser[[#Headers],[Base]:[Severely Adverse]],0))</f>
        <v>18.87120337301587</v>
      </c>
      <c r="AC47" s="101" cm="1">
        <f t="array" ref="AC47">Adverse_Stress[[#This Row],[ATS]]*INDEX(Portfolio_Stresser[[Base]:[Severely Adverse]],MATCH("Funding Rate",Portfolio_Stresser[Scenario],0),MATCH("Adverse",Portfolio_Stresser[[#Headers],[Base]:[Severely Adverse]],0))*Dynamic_Row_Table[Tenure (in months)]/12</f>
        <v>5.5868694196428565</v>
      </c>
      <c r="AD47" s="101">
        <f>Adverse_Stress[[#This Row],[PD]]*Adverse_Stress[[#This Row],[ATS]]*Adverse_Stress[[#This Row],[EAD]]</f>
        <v>1.5365314921051505</v>
      </c>
      <c r="AE47" s="101" cm="1">
        <f t="array" ref="AE47">Adverse_Stress[[#This Row],[Revenue Per Loan]]-Adverse_Stress[[#This Row],[Funding Cost]]-Adverse_Stress[[#This Row],[ECL]]-Fixed_Cost[Fixed Cost]</f>
        <v>8.7478024612678631</v>
      </c>
      <c r="AF47" s="72">
        <f>Base_Stress[[#This Row],[User Count(in M)]]</f>
        <v>1.518469889920288</v>
      </c>
      <c r="AG47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5.5697932583061069</v>
      </c>
      <c r="AH47" s="72">
        <f>Adverse_Stress[[#This Row],[Loan Count(in M)]]/Adverse_Stress[[#This Row],[User Count(in M)]]</f>
        <v>3.6680300974545457</v>
      </c>
      <c r="AI47" s="101">
        <f>Adverse_Stress[[#This Row],[Revenue Per Loan]]*Adverse_Stress[[#This Row],[Avg Loan Per User]]</f>
        <v>69.220141947407953</v>
      </c>
      <c r="AJ47" s="101">
        <f>Adverse_Stress[[#This Row],[CM Per Loan]]*Adverse_Stress[[#This Row],[Avg Loan Per User]]</f>
        <v>32.087202714517474</v>
      </c>
      <c r="AK47" s="101">
        <f>Adverse_Stress[[#This Row],[CM Per User]]*Adverse_Stress[[#This Row],[User Count(in M)]]</f>
        <v>48.723451173763316</v>
      </c>
      <c r="AL47" s="145">
        <f>(Base_Stress[[#This Row],[CM Per Segment]]-Adverse_Stress[[#This Row],[CM Per Segment]])/($B$68-$B$69)</f>
        <v>4.8949728165638411E-2</v>
      </c>
      <c r="AN47" s="73">
        <v>45</v>
      </c>
      <c r="AO47" s="73" t="s">
        <v>32</v>
      </c>
      <c r="AP47" s="73" t="s">
        <v>37</v>
      </c>
      <c r="AQ47" s="73" t="s">
        <v>62</v>
      </c>
      <c r="AR47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1.00464E-2</v>
      </c>
      <c r="AS47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0.46462500000000001</v>
      </c>
      <c r="AT47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351.83214285714286</v>
      </c>
      <c r="AU47" s="101">
        <f>Severely_Adverse_Stress[[#This Row],[ATS]]*INDEX(Portfolio_Stresser[[Base]:[Severely Adverse]],MATCH("MDR",Portfolio_Stresser[Scenario],0),MATCH("Severely Adverse",Portfolio_Stresser[[#Headers],[Base]:[Severely Adverse]],0))</f>
        <v>15.832446428571428</v>
      </c>
      <c r="AV47" s="72" cm="1">
        <f t="array" ref="AV47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5.7172723214285712</v>
      </c>
      <c r="AW47" s="72">
        <f>Severely_Adverse_Stress[[#This Row],[PD]]*Severely_Adverse_Stress[[#This Row],[ATS]]*Severely_Adverse_Stress[[#This Row],[EAD]]</f>
        <v>1.642285102185</v>
      </c>
      <c r="AX47" s="101" cm="1">
        <f t="array" ref="AX47">Severely_Adverse_Stress[[#This Row],[Revenue Per Loan]]-Severely_Adverse_Stress[[#This Row],[Funding Cost]]-Severely_Adverse_Stress[[#This Row],[ECL]]-Fixed_Cost[Fixed Cost]</f>
        <v>5.4728890049578567</v>
      </c>
      <c r="AY47" s="72">
        <f>Base_Stress[[#This Row],[User Count(in M)]]</f>
        <v>1.518469889920288</v>
      </c>
      <c r="AZ47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4.9592604816224384</v>
      </c>
      <c r="BA47" s="72">
        <f>Severely_Adverse_Stress[[#This Row],[Loan Count(in M)]]/Severely_Adverse_Stress[[#This Row],[User Count(in M)]]</f>
        <v>3.2659590516363646</v>
      </c>
      <c r="BB47" s="101">
        <f>Severely_Adverse_Stress[[#This Row],[Revenue Per Loan]]*Severely_Adverse_Stress[[#This Row],[Avg Loan Per User]]</f>
        <v>51.708121722940689</v>
      </c>
      <c r="BC47" s="101">
        <f>Severely_Adverse_Stress[[#This Row],[CM Per Loan]]*Severely_Adverse_Stress[[#This Row],[Avg Loan Per User]]</f>
        <v>17.874231384343247</v>
      </c>
      <c r="BD47" s="101">
        <f>Severely_Adverse_Stress[[#This Row],[CM Per User]]*Severely_Adverse_Stress[[#This Row],[User Count(in M)]]</f>
        <v>27.141482162593448</v>
      </c>
      <c r="BE47" s="101"/>
    </row>
    <row r="48" spans="1:57" x14ac:dyDescent="0.2">
      <c r="A48">
        <v>46</v>
      </c>
      <c r="B48" t="s">
        <v>51</v>
      </c>
      <c r="C48" s="9" t="s">
        <v>35</v>
      </c>
      <c r="D48" t="s">
        <v>58</v>
      </c>
      <c r="E48" s="65" cm="1">
        <f t="array" ref="E48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3.6750000000000005E-2</v>
      </c>
      <c r="F48" s="64">
        <f>VLOOKUP(Base_Stress[[#This Row],[Credit Category]],
  EAD_Table[#All],
  MATCH("EAD",EAD_Table[#Headers],0),
  FALSE)</f>
        <v>0.63750000000000007</v>
      </c>
      <c r="G48" s="98" cm="1">
        <f t="array" ref="G48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62.580158730158729</v>
      </c>
      <c r="H48" s="98">
        <f>Base_Stress[[#This Row],[ATS]]*INDEX(Portfolio_Stresser[[Base]:[Severely Adverse]],MATCH("MDR",Portfolio_Stresser[Scenario],0),MATCH("Base",Portfolio_Stresser[[#Headers],[Base]:[Severely Adverse]],0))</f>
        <v>3.1290079365079366</v>
      </c>
      <c r="I48" s="98" cm="1">
        <f t="array" ref="I48">Base_Stress[[#This Row],[ATS]]*INDEX(Portfolio_Stresser[[Base]:[Severely Adverse]],MATCH("Funding Rate",Portfolio_Stresser[Scenario],0),MATCH("Base",Portfolio_Stresser[[#Headers],[Base]:[Severely Adverse]],0))*Dynamic_Row_Table[Tenure (in months)]/12</f>
        <v>0.7431393849206348</v>
      </c>
      <c r="J48" s="98">
        <f>Base_Stress[[#This Row],[PD]]*Base_Stress[[#This Row],[ATS]]*Base_Stress[[#This Row],[EAD]]</f>
        <v>1.4661357812500002</v>
      </c>
      <c r="K48" s="98" cm="1">
        <f t="array" ref="K48">Base_Stress[[#This Row],[Revenue Per Loan]]-Base_Stress[[#This Row],[Funding Cost]]-Base_Stress[[#This Row],[ECL]]-Fixed_Cost[Fixed Cost]</f>
        <v>-2.0802672296626983</v>
      </c>
      <c r="L48" s="10" cm="1">
        <f t="array" ref="L48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1.0705882844137222</v>
      </c>
      <c r="M48" s="10" cm="1">
        <f t="array" ref="M48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14.079804705162307</v>
      </c>
      <c r="N48" s="10">
        <f>Base_Stress[[#This Row],[Loan Count(in M)]]/Base_Stress[[#This Row],[User Count(in M)]]</f>
        <v>13.151465329991648</v>
      </c>
      <c r="O48" s="98">
        <f>Base_Stress[[#This Row],[Revenue Per Loan]]*Base_Stress[[#This Row],[Avg Loan Per User]]</f>
        <v>41.151039394252834</v>
      </c>
      <c r="P48" s="98">
        <f>Base_Stress[[#This Row],[CM Per Loan]]*Base_Stress[[#This Row],[Avg Loan Per User]]</f>
        <v>-27.358562348026751</v>
      </c>
      <c r="Q48" s="98">
        <f>Base_Stress[[#This Row],[CM Per User]]*Base_Stress[[#This Row],[User Count(in M)]]</f>
        <v>-29.289756328199815</v>
      </c>
      <c r="R48" s="124">
        <f>Base_Stress[[#This Row],[CM Per Segment]]/SUM(Base_Stress[CM Per Segment])</f>
        <v>-7.0706316476569747E-2</v>
      </c>
      <c r="S48" s="10"/>
      <c r="U48" s="74">
        <v>46</v>
      </c>
      <c r="V48" s="74" t="s">
        <v>51</v>
      </c>
      <c r="W48" s="74" t="s">
        <v>35</v>
      </c>
      <c r="X48" s="74" t="s">
        <v>58</v>
      </c>
      <c r="Y48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5.7049597500000014E-2</v>
      </c>
      <c r="Z48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0.73312500000000003</v>
      </c>
      <c r="AA48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57.667616269841261</v>
      </c>
      <c r="AB48" s="134">
        <f>Adverse_Stress[[#This Row],[ATS]]*INDEX(Portfolio_Stresser[[Base]:[Severely Adverse]],MATCH("MDR",Portfolio_Stresser[Scenario],0),MATCH("Adverse",Portfolio_Stresser[[#Headers],[Base]:[Severely Adverse]],0))</f>
        <v>2.7392117728174599</v>
      </c>
      <c r="AC48" s="134" cm="1">
        <f t="array" ref="AC48">Adverse_Stress[[#This Row],[ATS]]*INDEX(Portfolio_Stresser[[Base]:[Severely Adverse]],MATCH("Funding Rate",Portfolio_Stresser[Scenario],0),MATCH("Adverse",Portfolio_Stresser[[#Headers],[Base]:[Severely Adverse]],0))*Dynamic_Row_Table[Tenure (in months)]/12</f>
        <v>0.81095085379464271</v>
      </c>
      <c r="AD48" s="134">
        <f>Adverse_Stress[[#This Row],[PD]]*Adverse_Stress[[#This Row],[ATS]]*Adverse_Stress[[#This Row],[EAD]]</f>
        <v>2.4119184189726535</v>
      </c>
      <c r="AE48" s="134" cm="1">
        <f t="array" ref="AE48">Adverse_Stress[[#This Row],[Revenue Per Loan]]-Adverse_Stress[[#This Row],[Funding Cost]]-Adverse_Stress[[#This Row],[ECL]]-Fixed_Cost[Fixed Cost]</f>
        <v>-3.4836574999498362</v>
      </c>
      <c r="AF48" s="130">
        <f>Base_Stress[[#This Row],[User Count(in M)]]</f>
        <v>1.0705882844137222</v>
      </c>
      <c r="AG48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11.151205326488547</v>
      </c>
      <c r="AH48" s="130">
        <f>Adverse_Stress[[#This Row],[Loan Count(in M)]]/Adverse_Stress[[#This Row],[User Count(in M)]]</f>
        <v>10.415960541353387</v>
      </c>
      <c r="AI48" s="134">
        <f>Adverse_Stress[[#This Row],[Revenue Per Loan]]*Adverse_Stress[[#This Row],[Avg Loan Per User]]</f>
        <v>28.53152174007732</v>
      </c>
      <c r="AJ48" s="134">
        <f>Adverse_Stress[[#This Row],[CM Per Loan]]*Adverse_Stress[[#This Row],[Avg Loan Per User]]</f>
        <v>-36.285639059067286</v>
      </c>
      <c r="AK48" s="134">
        <f>Adverse_Stress[[#This Row],[CM Per User]]*Adverse_Stress[[#This Row],[User Count(in M)]]</f>
        <v>-38.846980069102393</v>
      </c>
      <c r="AL48" s="144">
        <f>(Base_Stress[[#This Row],[CM Per Segment]]-Adverse_Stress[[#This Row],[CM Per Segment]])/($B$68-$B$69)</f>
        <v>1.812398584061041E-2</v>
      </c>
      <c r="AN48" s="74">
        <v>46</v>
      </c>
      <c r="AO48" s="74" t="s">
        <v>51</v>
      </c>
      <c r="AP48" s="74" t="s">
        <v>35</v>
      </c>
      <c r="AQ48" s="74" t="s">
        <v>58</v>
      </c>
      <c r="AR48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7.9879800000000029E-2</v>
      </c>
      <c r="AS48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0.75</v>
      </c>
      <c r="AT48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53.506035714285709</v>
      </c>
      <c r="AU48" s="134">
        <f>Severely_Adverse_Stress[[#This Row],[ATS]]*INDEX(Portfolio_Stresser[[Base]:[Severely Adverse]],MATCH("MDR",Portfolio_Stresser[Scenario],0),MATCH("Severely Adverse",Portfolio_Stresser[[#Headers],[Base]:[Severely Adverse]],0))</f>
        <v>2.4077716071428568</v>
      </c>
      <c r="AV48" s="130" cm="1">
        <f t="array" ref="AV48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0.86947308035714277</v>
      </c>
      <c r="AW48" s="130">
        <f>Severely_Adverse_Stress[[#This Row],[PD]]*Severely_Adverse_Stress[[#This Row],[ATS]]*Severely_Adverse_Stress[[#This Row],[EAD]]</f>
        <v>3.2055385737375008</v>
      </c>
      <c r="AX48" s="134" cm="1">
        <f t="array" ref="AX48">Severely_Adverse_Stress[[#This Row],[Revenue Per Loan]]-Severely_Adverse_Stress[[#This Row],[Funding Cost]]-Severely_Adverse_Stress[[#This Row],[ECL]]-Fixed_Cost[Fixed Cost]</f>
        <v>-4.667240046951787</v>
      </c>
      <c r="AY48" s="130">
        <f>Base_Stress[[#This Row],[User Count(in M)]]</f>
        <v>1.0705882844137222</v>
      </c>
      <c r="AZ48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9.929078278080457</v>
      </c>
      <c r="BA48" s="130">
        <f>Severely_Adverse_Stress[[#This Row],[Loan Count(in M)]]/Severely_Adverse_Stress[[#This Row],[User Count(in M)]]</f>
        <v>9.274413350710109</v>
      </c>
      <c r="BB48" s="134">
        <f>Severely_Adverse_Stress[[#This Row],[Revenue Per Loan]]*Severely_Adverse_Stress[[#This Row],[Avg Loan Per User]]</f>
        <v>22.330669138746448</v>
      </c>
      <c r="BC48" s="134">
        <f>Severely_Adverse_Stress[[#This Row],[CM Per Loan]]*Severely_Adverse_Stress[[#This Row],[Avg Loan Per User]]</f>
        <v>-43.285913402418529</v>
      </c>
      <c r="BD48" s="134">
        <f>Severely_Adverse_Stress[[#This Row],[CM Per User]]*Severely_Adverse_Stress[[#This Row],[User Count(in M)]]</f>
        <v>-46.341391768776198</v>
      </c>
      <c r="BE48" s="134"/>
    </row>
    <row r="49" spans="1:57" x14ac:dyDescent="0.2">
      <c r="A49">
        <v>47</v>
      </c>
      <c r="B49" t="s">
        <v>51</v>
      </c>
      <c r="C49" s="9" t="s">
        <v>35</v>
      </c>
      <c r="D49" t="s">
        <v>83</v>
      </c>
      <c r="E49" s="65" cm="1">
        <f t="array" ref="E49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1.155E-2</v>
      </c>
      <c r="F49" s="64">
        <f>VLOOKUP(Base_Stress[[#This Row],[Credit Category]],
  EAD_Table[#All],
  MATCH("EAD",EAD_Table[#Headers],0),
  FALSE)</f>
        <v>0.5625</v>
      </c>
      <c r="G49" s="98" cm="1">
        <f t="array" ref="G49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78.219444444444434</v>
      </c>
      <c r="H49" s="98">
        <f>Base_Stress[[#This Row],[ATS]]*INDEX(Portfolio_Stresser[[Base]:[Severely Adverse]],MATCH("MDR",Portfolio_Stresser[Scenario],0),MATCH("Base",Portfolio_Stresser[[#Headers],[Base]:[Severely Adverse]],0))</f>
        <v>3.9109722222222221</v>
      </c>
      <c r="I49" s="98" cm="1">
        <f t="array" ref="I49">Base_Stress[[#This Row],[ATS]]*INDEX(Portfolio_Stresser[[Base]:[Severely Adverse]],MATCH("Funding Rate",Portfolio_Stresser[Scenario],0),MATCH("Base",Portfolio_Stresser[[#Headers],[Base]:[Severely Adverse]],0))*Dynamic_Row_Table[Tenure (in months)]/12</f>
        <v>0.92885590277777774</v>
      </c>
      <c r="J49" s="98">
        <f>Base_Stress[[#This Row],[PD]]*Base_Stress[[#This Row],[ATS]]*Base_Stress[[#This Row],[EAD]]</f>
        <v>0.50818195312499992</v>
      </c>
      <c r="K49" s="98" cm="1">
        <f t="array" ref="K49">Base_Stress[[#This Row],[Revenue Per Loan]]-Base_Stress[[#This Row],[Funding Cost]]-Base_Stress[[#This Row],[ECL]]-Fixed_Cost[Fixed Cost]</f>
        <v>-0.52606563368055559</v>
      </c>
      <c r="L49" s="10" cm="1">
        <f t="array" ref="L49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0.88801445738325013</v>
      </c>
      <c r="M49" s="10" cm="1">
        <f t="array" ref="M49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4.1772394095273553</v>
      </c>
      <c r="N49" s="10">
        <f>Base_Stress[[#This Row],[Loan Count(in M)]]/Base_Stress[[#This Row],[User Count(in M)]]</f>
        <v>4.7040218487394947</v>
      </c>
      <c r="O49" s="98">
        <f>Base_Stress[[#This Row],[Revenue Per Loan]]*Base_Stress[[#This Row],[Avg Loan Per User]]</f>
        <v>18.397298783146589</v>
      </c>
      <c r="P49" s="98">
        <f>Base_Stress[[#This Row],[CM Per Loan]]*Base_Stress[[#This Row],[Avg Loan Per User]]</f>
        <v>-2.4746242347043208</v>
      </c>
      <c r="Q49" s="98">
        <f>Base_Stress[[#This Row],[CM Per User]]*Base_Stress[[#This Row],[User Count(in M)]]</f>
        <v>-2.1975020970083983</v>
      </c>
      <c r="R49" s="124">
        <f>Base_Stress[[#This Row],[CM Per Segment]]/SUM(Base_Stress[CM Per Segment])</f>
        <v>-5.3048334369175396E-3</v>
      </c>
      <c r="S49" s="10"/>
      <c r="U49" s="73">
        <v>47</v>
      </c>
      <c r="V49" s="73" t="s">
        <v>51</v>
      </c>
      <c r="W49" s="73" t="s">
        <v>35</v>
      </c>
      <c r="X49" s="73" t="s">
        <v>83</v>
      </c>
      <c r="Y49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1.6075059000000003E-2</v>
      </c>
      <c r="Z49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0.61875000000000002</v>
      </c>
      <c r="AA49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72.079218055555529</v>
      </c>
      <c r="AB49" s="101">
        <f>Adverse_Stress[[#This Row],[ATS]]*INDEX(Portfolio_Stresser[[Base]:[Severely Adverse]],MATCH("MDR",Portfolio_Stresser[Scenario],0),MATCH("Adverse",Portfolio_Stresser[[#Headers],[Base]:[Severely Adverse]],0))</f>
        <v>3.4237628576388879</v>
      </c>
      <c r="AC49" s="101" cm="1">
        <f t="array" ref="AC49">Adverse_Stress[[#This Row],[ATS]]*INDEX(Portfolio_Stresser[[Base]:[Severely Adverse]],MATCH("Funding Rate",Portfolio_Stresser[Scenario],0),MATCH("Adverse",Portfolio_Stresser[[#Headers],[Base]:[Severely Adverse]],0))*Dynamic_Row_Table[Tenure (in months)]/12</f>
        <v>1.0136140039062496</v>
      </c>
      <c r="AD49" s="101">
        <f>Adverse_Stress[[#This Row],[PD]]*Adverse_Stress[[#This Row],[ATS]]*Adverse_Stress[[#This Row],[EAD]]</f>
        <v>0.71693181630484459</v>
      </c>
      <c r="AE49" s="101" cm="1">
        <f t="array" ref="AE49">Adverse_Stress[[#This Row],[Revenue Per Loan]]-Adverse_Stress[[#This Row],[Funding Cost]]-Adverse_Stress[[#This Row],[ECL]]-Fixed_Cost[Fixed Cost]</f>
        <v>-1.3067829625722063</v>
      </c>
      <c r="AF49" s="72">
        <f>Base_Stress[[#This Row],[User Count(in M)]]</f>
        <v>0.88801445738325013</v>
      </c>
      <c r="AG49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3.3083736123456657</v>
      </c>
      <c r="AH49" s="72">
        <f>Adverse_Stress[[#This Row],[Loan Count(in M)]]/Adverse_Stress[[#This Row],[User Count(in M)]]</f>
        <v>3.72558530420168</v>
      </c>
      <c r="AI49" s="101">
        <f>Adverse_Stress[[#This Row],[Revenue Per Loan]]*Adverse_Stress[[#This Row],[Avg Loan Per User]]</f>
        <v>12.75552058749099</v>
      </c>
      <c r="AJ49" s="101">
        <f>Adverse_Stress[[#This Row],[CM Per Loan]]*Adverse_Stress[[#This Row],[Avg Loan Per User]]</f>
        <v>-4.8685314011401459</v>
      </c>
      <c r="AK49" s="101">
        <f>Adverse_Stress[[#This Row],[CM Per User]]*Adverse_Stress[[#This Row],[User Count(in M)]]</f>
        <v>-4.3233262704367812</v>
      </c>
      <c r="AL49" s="145">
        <f>(Base_Stress[[#This Row],[CM Per Segment]]-Adverse_Stress[[#This Row],[CM Per Segment]])/($B$68-$B$69)</f>
        <v>4.0313388347236433E-3</v>
      </c>
      <c r="AN49" s="73">
        <v>47</v>
      </c>
      <c r="AO49" s="73" t="s">
        <v>51</v>
      </c>
      <c r="AP49" s="73" t="s">
        <v>35</v>
      </c>
      <c r="AQ49" s="73" t="s">
        <v>83</v>
      </c>
      <c r="AR49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2.180178E-2</v>
      </c>
      <c r="AS49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0.65812499999999996</v>
      </c>
      <c r="AT49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66.877624999999995</v>
      </c>
      <c r="AU49" s="101">
        <f>Severely_Adverse_Stress[[#This Row],[ATS]]*INDEX(Portfolio_Stresser[[Base]:[Severely Adverse]],MATCH("MDR",Portfolio_Stresser[Scenario],0),MATCH("Severely Adverse",Portfolio_Stresser[[#Headers],[Base]:[Severely Adverse]],0))</f>
        <v>3.0094931249999997</v>
      </c>
      <c r="AV49" s="72" cm="1">
        <f t="array" ref="AV49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1.08676140625</v>
      </c>
      <c r="AW49" s="72">
        <f>Severely_Adverse_Stress[[#This Row],[PD]]*Severely_Adverse_Stress[[#This Row],[ATS]]*Severely_Adverse_Stress[[#This Row],[EAD]]</f>
        <v>0.95957999020790141</v>
      </c>
      <c r="AX49" s="101" cm="1">
        <f t="array" ref="AX49">Severely_Adverse_Stress[[#This Row],[Revenue Per Loan]]-Severely_Adverse_Stress[[#This Row],[Funding Cost]]-Severely_Adverse_Stress[[#This Row],[ECL]]-Fixed_Cost[Fixed Cost]</f>
        <v>-2.0368482714579015</v>
      </c>
      <c r="AY49" s="72">
        <f>Base_Stress[[#This Row],[User Count(in M)]]</f>
        <v>0.88801445738325013</v>
      </c>
      <c r="AZ49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2.9457892315986909</v>
      </c>
      <c r="BA49" s="72">
        <f>Severely_Adverse_Stress[[#This Row],[Loan Count(in M)]]/Severely_Adverse_Stress[[#This Row],[User Count(in M)]]</f>
        <v>3.3172762077310916</v>
      </c>
      <c r="BB49" s="101">
        <f>Severely_Adverse_Stress[[#This Row],[Revenue Per Loan]]*Severely_Adverse_Stress[[#This Row],[Avg Loan Per User]]</f>
        <v>9.9833199408927911</v>
      </c>
      <c r="BC49" s="101">
        <f>Severely_Adverse_Stress[[#This Row],[CM Per Loan]]*Severely_Adverse_Stress[[#This Row],[Avg Loan Per User]]</f>
        <v>-6.7567883096654962</v>
      </c>
      <c r="BD49" s="101">
        <f>Severely_Adverse_Stress[[#This Row],[CM Per User]]*Severely_Adverse_Stress[[#This Row],[User Count(in M)]]</f>
        <v>-6.0001257044610936</v>
      </c>
      <c r="BE49" s="101"/>
    </row>
    <row r="50" spans="1:57" x14ac:dyDescent="0.2">
      <c r="A50">
        <v>48</v>
      </c>
      <c r="B50" t="s">
        <v>51</v>
      </c>
      <c r="C50" s="9" t="s">
        <v>35</v>
      </c>
      <c r="D50" t="s">
        <v>60</v>
      </c>
      <c r="E50" s="65" cm="1">
        <f t="array" ref="E50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8.4000000000000012E-3</v>
      </c>
      <c r="F50" s="64">
        <f>VLOOKUP(Base_Stress[[#This Row],[Credit Category]],
  EAD_Table[#All],
  MATCH("EAD",EAD_Table[#Headers],0),
  FALSE)</f>
        <v>0.51749999999999996</v>
      </c>
      <c r="G50" s="98" cm="1">
        <f t="array" ref="G50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99.071825396825389</v>
      </c>
      <c r="H50" s="98">
        <f>Base_Stress[[#This Row],[ATS]]*INDEX(Portfolio_Stresser[[Base]:[Severely Adverse]],MATCH("MDR",Portfolio_Stresser[Scenario],0),MATCH("Base",Portfolio_Stresser[[#Headers],[Base]:[Severely Adverse]],0))</f>
        <v>4.9535912698412696</v>
      </c>
      <c r="I50" s="98" cm="1">
        <f t="array" ref="I50">Base_Stress[[#This Row],[ATS]]*INDEX(Portfolio_Stresser[[Base]:[Severely Adverse]],MATCH("Funding Rate",Portfolio_Stresser[Scenario],0),MATCH("Base",Portfolio_Stresser[[#Headers],[Base]:[Severely Adverse]],0))*Dynamic_Row_Table[Tenure (in months)]/12</f>
        <v>1.1764779265873015</v>
      </c>
      <c r="J50" s="98">
        <f>Base_Stress[[#This Row],[PD]]*Base_Stress[[#This Row],[ATS]]*Base_Stress[[#This Row],[EAD]]</f>
        <v>0.43066522499999998</v>
      </c>
      <c r="K50" s="98" cm="1">
        <f t="array" ref="K50">Base_Stress[[#This Row],[Revenue Per Loan]]-Base_Stress[[#This Row],[Funding Cost]]-Base_Stress[[#This Row],[ECL]]-Fixed_Cost[Fixed Cost]</f>
        <v>0.34644811825396848</v>
      </c>
      <c r="L50" s="10" cm="1">
        <f t="array" ref="L50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0.40299316386295725</v>
      </c>
      <c r="M50" s="10" cm="1">
        <f t="array" ref="M50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1.9481513944996143</v>
      </c>
      <c r="N50" s="10">
        <f>Base_Stress[[#This Row],[Loan Count(in M)]]/Base_Stress[[#This Row],[User Count(in M)]]</f>
        <v>4.8342045701849843</v>
      </c>
      <c r="O50" s="98">
        <f>Base_Stress[[#This Row],[Revenue Per Loan]]*Base_Stress[[#This Row],[Avg Loan Per User]]</f>
        <v>23.946673555495106</v>
      </c>
      <c r="P50" s="98">
        <f>Base_Stress[[#This Row],[CM Per Loan]]*Base_Stress[[#This Row],[Avg Loan Per User]]</f>
        <v>1.6748010765953223</v>
      </c>
      <c r="Q50" s="98">
        <f>Base_Stress[[#This Row],[CM Per User]]*Base_Stress[[#This Row],[User Count(in M)]]</f>
        <v>0.67493338469823594</v>
      </c>
      <c r="R50" s="124">
        <f>Base_Stress[[#This Row],[CM Per Segment]]/SUM(Base_Stress[CM Per Segment])</f>
        <v>1.6293086553652773E-3</v>
      </c>
      <c r="S50" s="10"/>
      <c r="U50" s="74">
        <v>48</v>
      </c>
      <c r="V50" s="74" t="s">
        <v>51</v>
      </c>
      <c r="W50" s="74" t="s">
        <v>35</v>
      </c>
      <c r="X50" s="74" t="s">
        <v>60</v>
      </c>
      <c r="Y50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1.06117872E-2</v>
      </c>
      <c r="Z50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0.55372500000000002</v>
      </c>
      <c r="AA50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91.294687103174596</v>
      </c>
      <c r="AB50" s="134">
        <f>Adverse_Stress[[#This Row],[ATS]]*INDEX(Portfolio_Stresser[[Base]:[Severely Adverse]],MATCH("MDR",Portfolio_Stresser[Scenario],0),MATCH("Adverse",Portfolio_Stresser[[#Headers],[Base]:[Severely Adverse]],0))</f>
        <v>4.3364976374007931</v>
      </c>
      <c r="AC50" s="134" cm="1">
        <f t="array" ref="AC50">Adverse_Stress[[#This Row],[ATS]]*INDEX(Portfolio_Stresser[[Base]:[Severely Adverse]],MATCH("Funding Rate",Portfolio_Stresser[Scenario],0),MATCH("Adverse",Portfolio_Stresser[[#Headers],[Base]:[Severely Adverse]],0))*Dynamic_Row_Table[Tenure (in months)]/12</f>
        <v>1.2838315373883928</v>
      </c>
      <c r="AD50" s="134">
        <f>Adverse_Stress[[#This Row],[PD]]*Adverse_Stress[[#This Row],[ATS]]*Adverse_Stress[[#This Row],[EAD]]</f>
        <v>0.5364486648415201</v>
      </c>
      <c r="AE50" s="134" cm="1">
        <f t="array" ref="AE50">Adverse_Stress[[#This Row],[Revenue Per Loan]]-Adverse_Stress[[#This Row],[Funding Cost]]-Adverse_Stress[[#This Row],[ECL]]-Fixed_Cost[Fixed Cost]</f>
        <v>-0.48378256482911963</v>
      </c>
      <c r="AF50" s="130">
        <f>Base_Stress[[#This Row],[User Count(in M)]]</f>
        <v>0.40299316386295725</v>
      </c>
      <c r="AG50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1.5429359044436946</v>
      </c>
      <c r="AH50" s="130">
        <f>Adverse_Stress[[#This Row],[Loan Count(in M)]]/Adverse_Stress[[#This Row],[User Count(in M)]]</f>
        <v>3.8286900195865079</v>
      </c>
      <c r="AI50" s="134">
        <f>Adverse_Stress[[#This Row],[Revenue Per Loan]]*Adverse_Stress[[#This Row],[Avg Loan Per User]]</f>
        <v>16.603105224276888</v>
      </c>
      <c r="AJ50" s="134">
        <f>Adverse_Stress[[#This Row],[CM Per Loan]]*Adverse_Stress[[#This Row],[Avg Loan Per User]]</f>
        <v>-1.8522534776112132</v>
      </c>
      <c r="AK50" s="134">
        <f>Adverse_Stress[[#This Row],[CM Per User]]*Adverse_Stress[[#This Row],[User Count(in M)]]</f>
        <v>-0.74644548921870801</v>
      </c>
      <c r="AL50" s="144">
        <f>(Base_Stress[[#This Row],[CM Per Segment]]-Adverse_Stress[[#This Row],[CM Per Segment]])/($B$68-$B$69)</f>
        <v>2.6954533328295404E-3</v>
      </c>
      <c r="AN50" s="74">
        <v>48</v>
      </c>
      <c r="AO50" s="74" t="s">
        <v>51</v>
      </c>
      <c r="AP50" s="74" t="s">
        <v>35</v>
      </c>
      <c r="AQ50" s="74" t="s">
        <v>60</v>
      </c>
      <c r="AR50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1.3933920000000002E-2</v>
      </c>
      <c r="AS50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0.58994999999999986</v>
      </c>
      <c r="AT50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84.70641071428571</v>
      </c>
      <c r="AU50" s="134">
        <f>Severely_Adverse_Stress[[#This Row],[ATS]]*INDEX(Portfolio_Stresser[[Base]:[Severely Adverse]],MATCH("MDR",Portfolio_Stresser[Scenario],0),MATCH("Severely Adverse",Portfolio_Stresser[[#Headers],[Base]:[Severely Adverse]],0))</f>
        <v>3.8117884821428567</v>
      </c>
      <c r="AV50" s="130" cm="1">
        <f t="array" ref="AV50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1.3764791741071429</v>
      </c>
      <c r="AW50" s="130">
        <f>Severely_Adverse_Stress[[#This Row],[PD]]*Severely_Adverse_Stress[[#This Row],[ATS]]*Severely_Adverse_Stress[[#This Row],[EAD]]</f>
        <v>0.69631347210668093</v>
      </c>
      <c r="AX50" s="134" cm="1">
        <f t="array" ref="AX50">Severely_Adverse_Stress[[#This Row],[Revenue Per Loan]]-Severely_Adverse_Stress[[#This Row],[Funding Cost]]-Severely_Adverse_Stress[[#This Row],[ECL]]-Fixed_Cost[Fixed Cost]</f>
        <v>-1.2610041640709673</v>
      </c>
      <c r="AY50" s="130">
        <f>Base_Stress[[#This Row],[User Count(in M)]]</f>
        <v>0.40299316386295725</v>
      </c>
      <c r="AZ50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1.3738363634011279</v>
      </c>
      <c r="BA50" s="130">
        <f>Severely_Adverse_Stress[[#This Row],[Loan Count(in M)]]/Severely_Adverse_Stress[[#This Row],[User Count(in M)]]</f>
        <v>3.409081062894451</v>
      </c>
      <c r="BB50" s="134">
        <f>Severely_Adverse_Stress[[#This Row],[Revenue Per Loan]]*Severely_Adverse_Stress[[#This Row],[Avg Loan Per User]]</f>
        <v>12.994695930232396</v>
      </c>
      <c r="BC50" s="134">
        <f>Severely_Adverse_Stress[[#This Row],[CM Per Loan]]*Severely_Adverse_Stress[[#This Row],[Avg Loan Per User]]</f>
        <v>-4.2988654159653814</v>
      </c>
      <c r="BD50" s="134">
        <f>Severely_Adverse_Stress[[#This Row],[CM Per User]]*Severely_Adverse_Stress[[#This Row],[User Count(in M)]]</f>
        <v>-1.7324133750009367</v>
      </c>
      <c r="BE50" s="134"/>
    </row>
    <row r="51" spans="1:57" x14ac:dyDescent="0.2">
      <c r="A51">
        <v>49</v>
      </c>
      <c r="B51" t="s">
        <v>51</v>
      </c>
      <c r="C51" s="9" t="s">
        <v>35</v>
      </c>
      <c r="D51" t="s">
        <v>61</v>
      </c>
      <c r="E51" s="65" cm="1">
        <f t="array" ref="E51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7.3500000000000006E-3</v>
      </c>
      <c r="F51" s="64">
        <f>VLOOKUP(Base_Stress[[#This Row],[Credit Category]],
  EAD_Table[#All],
  MATCH("EAD",EAD_Table[#Headers],0),
  FALSE)</f>
        <v>0.48749999999999999</v>
      </c>
      <c r="G51" s="98" cm="1">
        <f t="array" ref="G51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125.14880952380952</v>
      </c>
      <c r="H51" s="98">
        <f>Base_Stress[[#This Row],[ATS]]*INDEX(Portfolio_Stresser[[Base]:[Severely Adverse]],MATCH("MDR",Portfolio_Stresser[Scenario],0),MATCH("Base",Portfolio_Stresser[[#Headers],[Base]:[Severely Adverse]],0))</f>
        <v>6.2574404761904763</v>
      </c>
      <c r="I51" s="98" cm="1">
        <f t="array" ref="I51">Base_Stress[[#This Row],[ATS]]*INDEX(Portfolio_Stresser[[Base]:[Severely Adverse]],MATCH("Funding Rate",Portfolio_Stresser[Scenario],0),MATCH("Base",Portfolio_Stresser[[#Headers],[Base]:[Severely Adverse]],0))*Dynamic_Row_Table[Tenure (in months)]/12</f>
        <v>1.4861421130952381</v>
      </c>
      <c r="J51" s="98">
        <f>Base_Stress[[#This Row],[PD]]*Base_Stress[[#This Row],[ATS]]*Base_Stress[[#This Row],[EAD]]</f>
        <v>0.44842382812500003</v>
      </c>
      <c r="K51" s="98" cm="1">
        <f t="array" ref="K51">Base_Stress[[#This Row],[Revenue Per Loan]]-Base_Stress[[#This Row],[Funding Cost]]-Base_Stress[[#This Row],[ECL]]-Fixed_Cost[Fixed Cost]</f>
        <v>1.3228745349702384</v>
      </c>
      <c r="L51" s="10" cm="1">
        <f t="array" ref="L51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0.28923991207153171</v>
      </c>
      <c r="M51" s="10" cm="1">
        <f t="array" ref="M51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1.3041923671994922</v>
      </c>
      <c r="N51" s="10">
        <f>Base_Stress[[#This Row],[Loan Count(in M)]]/Base_Stress[[#This Row],[User Count(in M)]]</f>
        <v>4.5090332031250009</v>
      </c>
      <c r="O51" s="98">
        <f>Base_Stress[[#This Row],[Revenue Per Loan]]*Base_Stress[[#This Row],[Avg Loan Per User]]</f>
        <v>28.215006873721173</v>
      </c>
      <c r="P51" s="98">
        <f>Base_Stress[[#This Row],[CM Per Loan]]*Base_Stress[[#This Row],[Avg Loan Per User]]</f>
        <v>5.9648852017493503</v>
      </c>
      <c r="Q51" s="98">
        <f>Base_Stress[[#This Row],[CM Per User]]*Base_Stress[[#This Row],[User Count(in M)]]</f>
        <v>1.7252828712707629</v>
      </c>
      <c r="R51" s="124">
        <f>Base_Stress[[#This Row],[CM Per Segment]]/SUM(Base_Stress[CM Per Segment])</f>
        <v>4.1648826074468419E-3</v>
      </c>
      <c r="S51" s="10"/>
      <c r="U51" s="73">
        <v>49</v>
      </c>
      <c r="V51" s="73" t="s">
        <v>51</v>
      </c>
      <c r="W51" s="73" t="s">
        <v>35</v>
      </c>
      <c r="X51" s="73" t="s">
        <v>61</v>
      </c>
      <c r="Y51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8.6558010000000029E-3</v>
      </c>
      <c r="Z51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0.50700000000000001</v>
      </c>
      <c r="AA51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115.32462797619046</v>
      </c>
      <c r="AB51" s="101">
        <f>Adverse_Stress[[#This Row],[ATS]]*INDEX(Portfolio_Stresser[[Base]:[Severely Adverse]],MATCH("MDR",Portfolio_Stresser[Scenario],0),MATCH("Adverse",Portfolio_Stresser[[#Headers],[Base]:[Severely Adverse]],0))</f>
        <v>5.4779198288690472</v>
      </c>
      <c r="AC51" s="101" cm="1">
        <f t="array" ref="AC51">Adverse_Stress[[#This Row],[ATS]]*INDEX(Portfolio_Stresser[[Base]:[Severely Adverse]],MATCH("Funding Rate",Portfolio_Stresser[Scenario],0),MATCH("Adverse",Portfolio_Stresser[[#Headers],[Base]:[Severely Adverse]],0))*Dynamic_Row_Table[Tenure (in months)]/12</f>
        <v>1.6217525809151783</v>
      </c>
      <c r="AD51" s="101">
        <f>Adverse_Stress[[#This Row],[PD]]*Adverse_Stress[[#This Row],[ATS]]*Adverse_Stress[[#This Row],[EAD]]</f>
        <v>0.50610110429159538</v>
      </c>
      <c r="AE51" s="101" cm="1">
        <f t="array" ref="AE51">Adverse_Stress[[#This Row],[Revenue Per Loan]]-Adverse_Stress[[#This Row],[Funding Cost]]-Adverse_Stress[[#This Row],[ECL]]-Fixed_Cost[Fixed Cost]</f>
        <v>0.35006614366227362</v>
      </c>
      <c r="AF51" s="72">
        <f>Base_Stress[[#This Row],[User Count(in M)]]</f>
        <v>0.28923991207153171</v>
      </c>
      <c r="AG51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1.0329203548219978</v>
      </c>
      <c r="AH51" s="72">
        <f>Adverse_Stress[[#This Row],[Loan Count(in M)]]/Adverse_Stress[[#This Row],[User Count(in M)]]</f>
        <v>3.5711542968750005</v>
      </c>
      <c r="AI51" s="101">
        <f>Adverse_Stress[[#This Row],[Revenue Per Loan]]*Adverse_Stress[[#This Row],[Avg Loan Per User]]</f>
        <v>19.562496934802464</v>
      </c>
      <c r="AJ51" s="101">
        <f>Adverse_Stress[[#This Row],[CM Per Loan]]*Adverse_Stress[[#This Row],[Avg Loan Per User]]</f>
        <v>1.2501402131299897</v>
      </c>
      <c r="AK51" s="101">
        <f>Adverse_Stress[[#This Row],[CM Per User]]*Adverse_Stress[[#This Row],[User Count(in M)]]</f>
        <v>0.36159044532280415</v>
      </c>
      <c r="AL51" s="145">
        <f>(Base_Stress[[#This Row],[CM Per Segment]]-Adverse_Stress[[#This Row],[CM Per Segment]])/($B$68-$B$69)</f>
        <v>2.5860587644351142E-3</v>
      </c>
      <c r="AN51" s="73">
        <v>49</v>
      </c>
      <c r="AO51" s="73" t="s">
        <v>51</v>
      </c>
      <c r="AP51" s="73" t="s">
        <v>35</v>
      </c>
      <c r="AQ51" s="73" t="s">
        <v>61</v>
      </c>
      <c r="AR51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1.0762752000000004E-2</v>
      </c>
      <c r="AS51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0.53625</v>
      </c>
      <c r="AT51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107.00223214285714</v>
      </c>
      <c r="AU51" s="101">
        <f>Severely_Adverse_Stress[[#This Row],[ATS]]*INDEX(Portfolio_Stresser[[Base]:[Severely Adverse]],MATCH("MDR",Portfolio_Stresser[Scenario],0),MATCH("Severely Adverse",Portfolio_Stresser[[#Headers],[Base]:[Severely Adverse]],0))</f>
        <v>4.8151004464285707</v>
      </c>
      <c r="AV51" s="72" cm="1">
        <f t="array" ref="AV51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1.7387862723214285</v>
      </c>
      <c r="AW51" s="72">
        <f>Severely_Adverse_Stress[[#This Row],[PD]]*Severely_Adverse_Stress[[#This Row],[ATS]]*Severely_Adverse_Stress[[#This Row],[EAD]]</f>
        <v>0.61756613919000014</v>
      </c>
      <c r="AX51" s="101" cm="1">
        <f t="array" ref="AX51">Severely_Adverse_Stress[[#This Row],[Revenue Per Loan]]-Severely_Adverse_Stress[[#This Row],[Funding Cost]]-Severely_Adverse_Stress[[#This Row],[ECL]]-Fixed_Cost[Fixed Cost]</f>
        <v>-0.541251965082858</v>
      </c>
      <c r="AY51" s="72">
        <f>Base_Stress[[#This Row],[User Count(in M)]]</f>
        <v>0.28923991207153171</v>
      </c>
      <c r="AZ51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0.91971645734908181</v>
      </c>
      <c r="BA51" s="72">
        <f>Severely_Adverse_Stress[[#This Row],[Loan Count(in M)]]/Severely_Adverse_Stress[[#This Row],[User Count(in M)]]</f>
        <v>3.1797702148437503</v>
      </c>
      <c r="BB51" s="101">
        <f>Severely_Adverse_Stress[[#This Row],[Revenue Per Loan]]*Severely_Adverse_Stress[[#This Row],[Avg Loan Per User]]</f>
        <v>15.310912981034415</v>
      </c>
      <c r="BC51" s="101">
        <f>Severely_Adverse_Stress[[#This Row],[CM Per Loan]]*Severely_Adverse_Stress[[#This Row],[Avg Loan Per User]]</f>
        <v>-1.7210568772961214</v>
      </c>
      <c r="BD51" s="101">
        <f>Severely_Adverse_Stress[[#This Row],[CM Per User]]*Severely_Adverse_Stress[[#This Row],[User Count(in M)]]</f>
        <v>-0.49779833985923511</v>
      </c>
      <c r="BE51" s="101"/>
    </row>
    <row r="52" spans="1:57" x14ac:dyDescent="0.2">
      <c r="A52">
        <v>50</v>
      </c>
      <c r="B52" t="s">
        <v>51</v>
      </c>
      <c r="C52" s="9" t="s">
        <v>35</v>
      </c>
      <c r="D52" t="s">
        <v>62</v>
      </c>
      <c r="E52" s="65" cm="1">
        <f t="array" ref="E52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8.4000000000000012E-3</v>
      </c>
      <c r="F52" s="64">
        <f>VLOOKUP(Base_Stress[[#This Row],[Credit Category]],
  EAD_Table[#All],
  MATCH("EAD",EAD_Table[#Headers],0),
  FALSE)</f>
        <v>0.4425</v>
      </c>
      <c r="G52" s="98" cm="1">
        <f t="array" ref="G52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156.43888888888887</v>
      </c>
      <c r="H52" s="98">
        <f>Base_Stress[[#This Row],[ATS]]*INDEX(Portfolio_Stresser[[Base]:[Severely Adverse]],MATCH("MDR",Portfolio_Stresser[Scenario],0),MATCH("Base",Portfolio_Stresser[[#Headers],[Base]:[Severely Adverse]],0))</f>
        <v>7.8219444444444441</v>
      </c>
      <c r="I52" s="98" cm="1">
        <f t="array" ref="I52">Base_Stress[[#This Row],[ATS]]*INDEX(Portfolio_Stresser[[Base]:[Severely Adverse]],MATCH("Funding Rate",Portfolio_Stresser[Scenario],0),MATCH("Base",Portfolio_Stresser[[#Headers],[Base]:[Severely Adverse]],0))*Dynamic_Row_Table[Tenure (in months)]/12</f>
        <v>1.8577118055555555</v>
      </c>
      <c r="J52" s="98">
        <f>Base_Stress[[#This Row],[PD]]*Base_Stress[[#This Row],[ATS]]*Base_Stress[[#This Row],[EAD]]</f>
        <v>0.58148334999999995</v>
      </c>
      <c r="K52" s="98" cm="1">
        <f t="array" ref="K52">Base_Stress[[#This Row],[Revenue Per Loan]]-Base_Stress[[#This Row],[Funding Cost]]-Base_Stress[[#This Row],[ECL]]-Fixed_Cost[Fixed Cost]</f>
        <v>2.3827492888888884</v>
      </c>
      <c r="L52" s="10" cm="1">
        <f t="array" ref="L52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0.10231609385775969</v>
      </c>
      <c r="M52" s="10" cm="1">
        <f t="array" ref="M52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0.39480171652035212</v>
      </c>
      <c r="N52" s="10">
        <f>Base_Stress[[#This Row],[Loan Count(in M)]]/Base_Stress[[#This Row],[User Count(in M)]]</f>
        <v>3.8586472727272727</v>
      </c>
      <c r="O52" s="98">
        <f>Base_Stress[[#This Row],[Revenue Per Loan]]*Base_Stress[[#This Row],[Avg Loan Per User]]</f>
        <v>30.182124597979797</v>
      </c>
      <c r="P52" s="98">
        <f>Base_Stress[[#This Row],[CM Per Loan]]*Base_Stress[[#This Row],[Avg Loan Per User]]</f>
        <v>9.1941890451639576</v>
      </c>
      <c r="Q52" s="98">
        <f>Base_Stress[[#This Row],[CM Per User]]*Base_Stress[[#This Row],[User Count(in M)]]</f>
        <v>0.94071350929098152</v>
      </c>
      <c r="R52" s="124">
        <f>Base_Stress[[#This Row],[CM Per Segment]]/SUM(Base_Stress[CM Per Segment])</f>
        <v>2.2709095410832574E-3</v>
      </c>
      <c r="S52" s="10"/>
      <c r="U52" s="74">
        <v>50</v>
      </c>
      <c r="V52" s="74" t="s">
        <v>51</v>
      </c>
      <c r="W52" s="74" t="s">
        <v>35</v>
      </c>
      <c r="X52" s="74" t="s">
        <v>62</v>
      </c>
      <c r="Y52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9.4426920000000025E-3</v>
      </c>
      <c r="Z52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0.45135000000000003</v>
      </c>
      <c r="AA52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144.15843611111106</v>
      </c>
      <c r="AB52" s="134">
        <f>Adverse_Stress[[#This Row],[ATS]]*INDEX(Portfolio_Stresser[[Base]:[Severely Adverse]],MATCH("MDR",Portfolio_Stresser[Scenario],0),MATCH("Adverse",Portfolio_Stresser[[#Headers],[Base]:[Severely Adverse]],0))</f>
        <v>6.8475257152777758</v>
      </c>
      <c r="AC52" s="134" cm="1">
        <f t="array" ref="AC52">Adverse_Stress[[#This Row],[ATS]]*INDEX(Portfolio_Stresser[[Base]:[Severely Adverse]],MATCH("Funding Rate",Portfolio_Stresser[Scenario],0),MATCH("Adverse",Portfolio_Stresser[[#Headers],[Base]:[Severely Adverse]],0))*Dynamic_Row_Table[Tenure (in months)]/12</f>
        <v>2.0272280078124991</v>
      </c>
      <c r="AD52" s="134">
        <f>Adverse_Stress[[#This Row],[PD]]*Adverse_Stress[[#This Row],[ATS]]*Adverse_Stress[[#This Row],[EAD]]</f>
        <v>0.61439734913989341</v>
      </c>
      <c r="AE52" s="134" cm="1">
        <f t="array" ref="AE52">Adverse_Stress[[#This Row],[Revenue Per Loan]]-Adverse_Stress[[#This Row],[Funding Cost]]-Adverse_Stress[[#This Row],[ECL]]-Fixed_Cost[Fixed Cost]</f>
        <v>1.2059003583253833</v>
      </c>
      <c r="AF52" s="130">
        <f>Base_Stress[[#This Row],[User Count(in M)]]</f>
        <v>0.10231609385775969</v>
      </c>
      <c r="AG52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0.31268295948411889</v>
      </c>
      <c r="AH52" s="130">
        <f>Adverse_Stress[[#This Row],[Loan Count(in M)]]/Adverse_Stress[[#This Row],[User Count(in M)]]</f>
        <v>3.0560486400000002</v>
      </c>
      <c r="AI52" s="134">
        <f>Adverse_Stress[[#This Row],[Revenue Per Loan]]*Adverse_Stress[[#This Row],[Avg Loan Per User]]</f>
        <v>20.926371649539675</v>
      </c>
      <c r="AJ52" s="134">
        <f>Adverse_Stress[[#This Row],[CM Per Loan]]*Adverse_Stress[[#This Row],[Avg Loan Per User]]</f>
        <v>3.6852901500358008</v>
      </c>
      <c r="AK52" s="134">
        <f>Adverse_Stress[[#This Row],[CM Per User]]*Adverse_Stress[[#This Row],[User Count(in M)]]</f>
        <v>0.37706449288414029</v>
      </c>
      <c r="AL52" s="144">
        <f>(Base_Stress[[#This Row],[CM Per Segment]]-Adverse_Stress[[#This Row],[CM Per Segment]])/($B$68-$B$69)</f>
        <v>1.068884340199283E-3</v>
      </c>
      <c r="AN52" s="74">
        <v>50</v>
      </c>
      <c r="AO52" s="74" t="s">
        <v>51</v>
      </c>
      <c r="AP52" s="74" t="s">
        <v>35</v>
      </c>
      <c r="AQ52" s="74" t="s">
        <v>62</v>
      </c>
      <c r="AR52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1.1051040000000002E-2</v>
      </c>
      <c r="AS52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0.46462500000000001</v>
      </c>
      <c r="AT52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133.75524999999999</v>
      </c>
      <c r="AU52" s="134">
        <f>Severely_Adverse_Stress[[#This Row],[ATS]]*INDEX(Portfolio_Stresser[[Base]:[Severely Adverse]],MATCH("MDR",Portfolio_Stresser[Scenario],0),MATCH("Severely Adverse",Portfolio_Stresser[[#Headers],[Base]:[Severely Adverse]],0))</f>
        <v>6.0189862499999993</v>
      </c>
      <c r="AV52" s="130" cm="1">
        <f t="array" ref="AV52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2.1735228124999999</v>
      </c>
      <c r="AW52" s="130">
        <f>Severely_Adverse_Stress[[#This Row],[PD]]*Severely_Adverse_Stress[[#This Row],[ATS]]*Severely_Adverse_Stress[[#This Row],[EAD]]</f>
        <v>0.68677829686966507</v>
      </c>
      <c r="AX52" s="134" cm="1">
        <f t="array" ref="AX52">Severely_Adverse_Stress[[#This Row],[Revenue Per Loan]]-Severely_Adverse_Stress[[#This Row],[Funding Cost]]-Severely_Adverse_Stress[[#This Row],[ECL]]-Fixed_Cost[Fixed Cost]</f>
        <v>0.15868514063033423</v>
      </c>
      <c r="AY52" s="130">
        <f>Base_Stress[[#This Row],[User Count(in M)]]</f>
        <v>0.10231609385775969</v>
      </c>
      <c r="AZ52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0.27841417049015232</v>
      </c>
      <c r="BA52" s="130">
        <f>Severely_Adverse_Stress[[#This Row],[Loan Count(in M)]]/Severely_Adverse_Stress[[#This Row],[User Count(in M)]]</f>
        <v>2.7211180567272728</v>
      </c>
      <c r="BB52" s="134">
        <f>Severely_Adverse_Stress[[#This Row],[Revenue Per Loan]]*Severely_Adverse_Stress[[#This Row],[Avg Loan Per User]]</f>
        <v>16.378372168068172</v>
      </c>
      <c r="BC52" s="134">
        <f>Severely_Adverse_Stress[[#This Row],[CM Per Loan]]*Severely_Adverse_Stress[[#This Row],[Avg Loan Per User]]</f>
        <v>0.43180100150350909</v>
      </c>
      <c r="BD52" s="134">
        <f>Severely_Adverse_Stress[[#This Row],[CM Per User]]*Severely_Adverse_Stress[[#This Row],[User Count(in M)]]</f>
        <v>4.4180191797707671E-2</v>
      </c>
      <c r="BE52" s="134"/>
    </row>
    <row r="53" spans="1:57" x14ac:dyDescent="0.2">
      <c r="A53">
        <v>51</v>
      </c>
      <c r="B53" t="s">
        <v>51</v>
      </c>
      <c r="C53" s="9" t="s">
        <v>36</v>
      </c>
      <c r="D53" t="s">
        <v>58</v>
      </c>
      <c r="E53" s="65" cm="1">
        <f t="array" ref="E53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3.5000000000000003E-2</v>
      </c>
      <c r="F53" s="64">
        <f>VLOOKUP(Base_Stress[[#This Row],[Credit Category]],
  EAD_Table[#All],
  MATCH("EAD",EAD_Table[#Headers],0),
  FALSE)</f>
        <v>0.63750000000000007</v>
      </c>
      <c r="G53" s="98" cm="1">
        <f t="array" ref="G53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93.858730158730154</v>
      </c>
      <c r="H53" s="98">
        <f>Base_Stress[[#This Row],[ATS]]*INDEX(Portfolio_Stresser[[Base]:[Severely Adverse]],MATCH("MDR",Portfolio_Stresser[Scenario],0),MATCH("Base",Portfolio_Stresser[[#Headers],[Base]:[Severely Adverse]],0))</f>
        <v>4.6929365079365075</v>
      </c>
      <c r="I53" s="98" cm="1">
        <f t="array" ref="I53">Base_Stress[[#This Row],[ATS]]*INDEX(Portfolio_Stresser[[Base]:[Severely Adverse]],MATCH("Funding Rate",Portfolio_Stresser[Scenario],0),MATCH("Base",Portfolio_Stresser[[#Headers],[Base]:[Severely Adverse]],0))*Dynamic_Row_Table[Tenure (in months)]/12</f>
        <v>1.1145724206349206</v>
      </c>
      <c r="J53" s="98">
        <f>Base_Stress[[#This Row],[PD]]*Base_Stress[[#This Row],[ATS]]*Base_Stress[[#This Row],[EAD]]</f>
        <v>2.0942229166666668</v>
      </c>
      <c r="K53" s="98" cm="1">
        <f t="array" ref="K53">Base_Stress[[#This Row],[Revenue Per Loan]]-Base_Stress[[#This Row],[Funding Cost]]-Base_Stress[[#This Row],[ECL]]-Fixed_Cost[Fixed Cost]</f>
        <v>-1.5158588293650799</v>
      </c>
      <c r="L53" s="10" cm="1">
        <f t="array" ref="L53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0.21310402048964042</v>
      </c>
      <c r="M53" s="10" cm="1">
        <f t="array" ref="M53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2.8026301371513358</v>
      </c>
      <c r="N53" s="10">
        <f>Base_Stress[[#This Row],[Loan Count(in M)]]/Base_Stress[[#This Row],[User Count(in M)]]</f>
        <v>13.151465329991648</v>
      </c>
      <c r="O53" s="98">
        <f>Base_Stress[[#This Row],[Revenue Per Loan]]*Base_Stress[[#This Row],[Avg Loan Per User]]</f>
        <v>61.718991779979056</v>
      </c>
      <c r="P53" s="98">
        <f>Base_Stress[[#This Row],[CM Per Loan]]*Base_Stress[[#This Row],[Avg Loan Per User]]</f>
        <v>-19.935764839556573</v>
      </c>
      <c r="Q53" s="98">
        <f>Base_Stress[[#This Row],[CM Per User]]*Base_Stress[[#This Row],[User Count(in M)]]</f>
        <v>-4.2483916388455167</v>
      </c>
      <c r="R53" s="124">
        <f>Base_Stress[[#This Row],[CM Per Segment]]/SUM(Base_Stress[CM Per Segment])</f>
        <v>-1.0255739937426995E-2</v>
      </c>
      <c r="S53" s="10"/>
      <c r="U53" s="73">
        <v>51</v>
      </c>
      <c r="V53" s="73" t="s">
        <v>51</v>
      </c>
      <c r="W53" s="73" t="s">
        <v>36</v>
      </c>
      <c r="X53" s="73" t="s">
        <v>58</v>
      </c>
      <c r="Y53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5.2795225000000008E-2</v>
      </c>
      <c r="Z53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0.73312500000000003</v>
      </c>
      <c r="AA53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84.669960476190468</v>
      </c>
      <c r="AB53" s="101">
        <f>Adverse_Stress[[#This Row],[ATS]]*INDEX(Portfolio_Stresser[[Base]:[Severely Adverse]],MATCH("MDR",Portfolio_Stresser[Scenario],0),MATCH("Adverse",Portfolio_Stresser[[#Headers],[Base]:[Severely Adverse]],0))</f>
        <v>4.0218231226190468</v>
      </c>
      <c r="AC53" s="101" cm="1">
        <f t="array" ref="AC53">Adverse_Stress[[#This Row],[ATS]]*INDEX(Portfolio_Stresser[[Base]:[Severely Adverse]],MATCH("Funding Rate",Portfolio_Stresser[Scenario],0),MATCH("Adverse",Portfolio_Stresser[[#Headers],[Base]:[Severely Adverse]],0))*Dynamic_Row_Table[Tenure (in months)]/12</f>
        <v>1.1906713191964284</v>
      </c>
      <c r="AD53" s="101">
        <f>Adverse_Stress[[#This Row],[PD]]*Adverse_Stress[[#This Row],[ATS]]*Adverse_Stress[[#This Row],[EAD]]</f>
        <v>3.2771930983235609</v>
      </c>
      <c r="AE53" s="101" cm="1">
        <f t="array" ref="AE53">Adverse_Stress[[#This Row],[Revenue Per Loan]]-Adverse_Stress[[#This Row],[Funding Cost]]-Adverse_Stress[[#This Row],[ECL]]-Fixed_Cost[Fixed Cost]</f>
        <v>-3.4460412949009425</v>
      </c>
      <c r="AF53" s="72">
        <f>Base_Stress[[#This Row],[User Count(in M)]]</f>
        <v>0.21310402048964042</v>
      </c>
      <c r="AG53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2.3458014247956682</v>
      </c>
      <c r="AH53" s="72">
        <f>Adverse_Stress[[#This Row],[Loan Count(in M)]]/Adverse_Stress[[#This Row],[User Count(in M)]]</f>
        <v>11.00777648120301</v>
      </c>
      <c r="AI53" s="101">
        <f>Adverse_Stress[[#This Row],[Revenue Per Loan]]*Adverse_Stress[[#This Row],[Avg Loan Per User]]</f>
        <v>44.271329980724389</v>
      </c>
      <c r="AJ53" s="101">
        <f>Adverse_Stress[[#This Row],[CM Per Loan]]*Adverse_Stress[[#This Row],[Avg Loan Per User]]</f>
        <v>-37.933252319264959</v>
      </c>
      <c r="AK53" s="101">
        <f>Adverse_Stress[[#This Row],[CM Per User]]*Adverse_Stress[[#This Row],[User Count(in M)]]</f>
        <v>-8.0837285794833402</v>
      </c>
      <c r="AL53" s="145">
        <f>(Base_Stress[[#This Row],[CM Per Segment]]-Adverse_Stress[[#This Row],[CM Per Segment]])/($B$68-$B$69)</f>
        <v>7.2731992355266686E-3</v>
      </c>
      <c r="AN53" s="73">
        <v>51</v>
      </c>
      <c r="AO53" s="73" t="s">
        <v>51</v>
      </c>
      <c r="AP53" s="73" t="s">
        <v>36</v>
      </c>
      <c r="AQ53" s="73" t="s">
        <v>58</v>
      </c>
      <c r="AR53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7.4692800000000004E-2</v>
      </c>
      <c r="AS53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0.75</v>
      </c>
      <c r="AT53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78.465898412698408</v>
      </c>
      <c r="AU53" s="101">
        <f>Severely_Adverse_Stress[[#This Row],[ATS]]*INDEX(Portfolio_Stresser[[Base]:[Severely Adverse]],MATCH("MDR",Portfolio_Stresser[Scenario],0),MATCH("Severely Adverse",Portfolio_Stresser[[#Headers],[Base]:[Severely Adverse]],0))</f>
        <v>3.5309654285714283</v>
      </c>
      <c r="AV53" s="72" cm="1">
        <f t="array" ref="AV53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1.2750708492063492</v>
      </c>
      <c r="AW53" s="72">
        <f>Severely_Adverse_Stress[[#This Row],[PD]]*Severely_Adverse_Stress[[#This Row],[ATS]]*Severely_Adverse_Stress[[#This Row],[EAD]]</f>
        <v>4.39562824272</v>
      </c>
      <c r="AX53" s="101" cm="1">
        <f t="array" ref="AX53">Severely_Adverse_Stress[[#This Row],[Revenue Per Loan]]-Severely_Adverse_Stress[[#This Row],[Funding Cost]]-Severely_Adverse_Stress[[#This Row],[ECL]]-Fixed_Cost[Fixed Cost]</f>
        <v>-5.1397336633549209</v>
      </c>
      <c r="AY53" s="72">
        <f>Base_Stress[[#This Row],[User Count(in M)]]</f>
        <v>0.21310402048964042</v>
      </c>
      <c r="AZ53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2.0487226302576262</v>
      </c>
      <c r="BA53" s="72">
        <f>Severely_Adverse_Stress[[#This Row],[Loan Count(in M)]]/Severely_Adverse_Stress[[#This Row],[User Count(in M)]]</f>
        <v>9.6137211562238942</v>
      </c>
      <c r="BB53" s="101">
        <f>Severely_Adverse_Stress[[#This Row],[Revenue Per Loan]]*Severely_Adverse_Stress[[#This Row],[Avg Loan Per User]]</f>
        <v>33.94571704255231</v>
      </c>
      <c r="BC53" s="101">
        <f>Severely_Adverse_Stress[[#This Row],[CM Per Loan]]*Severely_Adverse_Stress[[#This Row],[Avg Loan Per User]]</f>
        <v>-49.411966256751342</v>
      </c>
      <c r="BD53" s="101">
        <f>Severely_Adverse_Stress[[#This Row],[CM Per User]]*Severely_Adverse_Stress[[#This Row],[User Count(in M)]]</f>
        <v>-10.529888669612159</v>
      </c>
      <c r="BE53" s="101"/>
    </row>
    <row r="54" spans="1:57" x14ac:dyDescent="0.2">
      <c r="A54">
        <v>52</v>
      </c>
      <c r="B54" t="s">
        <v>51</v>
      </c>
      <c r="C54" s="9" t="s">
        <v>36</v>
      </c>
      <c r="D54" t="s">
        <v>83</v>
      </c>
      <c r="E54" s="65" cm="1">
        <f t="array" ref="E54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1.0999999999999999E-2</v>
      </c>
      <c r="F54" s="64">
        <f>VLOOKUP(Base_Stress[[#This Row],[Credit Category]],
  EAD_Table[#All],
  MATCH("EAD",EAD_Table[#Headers],0),
  FALSE)</f>
        <v>0.5625</v>
      </c>
      <c r="G54" s="98" cm="1">
        <f t="array" ref="G54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119.93571428571427</v>
      </c>
      <c r="H54" s="98">
        <f>Base_Stress[[#This Row],[ATS]]*INDEX(Portfolio_Stresser[[Base]:[Severely Adverse]],MATCH("MDR",Portfolio_Stresser[Scenario],0),MATCH("Base",Portfolio_Stresser[[#Headers],[Base]:[Severely Adverse]],0))</f>
        <v>5.9967857142857142</v>
      </c>
      <c r="I54" s="98" cm="1">
        <f t="array" ref="I54">Base_Stress[[#This Row],[ATS]]*INDEX(Portfolio_Stresser[[Base]:[Severely Adverse]],MATCH("Funding Rate",Portfolio_Stresser[Scenario],0),MATCH("Base",Portfolio_Stresser[[#Headers],[Base]:[Severely Adverse]],0))*Dynamic_Row_Table[Tenure (in months)]/12</f>
        <v>1.4242366071428567</v>
      </c>
      <c r="J54" s="98">
        <f>Base_Stress[[#This Row],[PD]]*Base_Stress[[#This Row],[ATS]]*Base_Stress[[#This Row],[EAD]]</f>
        <v>0.74210223214285698</v>
      </c>
      <c r="K54" s="98" cm="1">
        <f t="array" ref="K54">Base_Stress[[#This Row],[Revenue Per Loan]]-Base_Stress[[#This Row],[Funding Cost]]-Base_Stress[[#This Row],[ECL]]-Fixed_Cost[Fixed Cost]</f>
        <v>0.83044687500000069</v>
      </c>
      <c r="L54" s="10" cm="1">
        <f t="array" ref="L54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0.35683852281302036</v>
      </c>
      <c r="M54" s="10" cm="1">
        <f t="array" ref="M54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1.6785762077843744</v>
      </c>
      <c r="N54" s="10">
        <f>Base_Stress[[#This Row],[Loan Count(in M)]]/Base_Stress[[#This Row],[User Count(in M)]]</f>
        <v>4.7040218487394947</v>
      </c>
      <c r="O54" s="98">
        <f>Base_Stress[[#This Row],[Revenue Per Loan]]*Base_Stress[[#This Row],[Avg Loan Per User]]</f>
        <v>28.209011022208877</v>
      </c>
      <c r="P54" s="98">
        <f>Base_Stress[[#This Row],[CM Per Loan]]*Base_Stress[[#This Row],[Avg Loan Per User]]</f>
        <v>3.9064402442174395</v>
      </c>
      <c r="Q54" s="98">
        <f>Base_Stress[[#This Row],[CM Per User]]*Base_Stress[[#This Row],[User Count(in M)]]</f>
        <v>1.3939683662038855</v>
      </c>
      <c r="R54" s="124">
        <f>Base_Stress[[#This Row],[CM Per Segment]]/SUM(Base_Stress[CM Per Segment])</f>
        <v>3.365079837289195E-3</v>
      </c>
      <c r="S54" s="10"/>
      <c r="U54" s="74">
        <v>52</v>
      </c>
      <c r="V54" s="74" t="s">
        <v>51</v>
      </c>
      <c r="W54" s="74" t="s">
        <v>36</v>
      </c>
      <c r="X54" s="74" t="s">
        <v>83</v>
      </c>
      <c r="Y54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1.4876290000000002E-2</v>
      </c>
      <c r="Z54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0.61875000000000002</v>
      </c>
      <c r="AA54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108.19400785714285</v>
      </c>
      <c r="AB54" s="134">
        <f>Adverse_Stress[[#This Row],[ATS]]*INDEX(Portfolio_Stresser[[Base]:[Severely Adverse]],MATCH("MDR",Portfolio_Stresser[Scenario],0),MATCH("Adverse",Portfolio_Stresser[[#Headers],[Base]:[Severely Adverse]],0))</f>
        <v>5.1392153732142853</v>
      </c>
      <c r="AC54" s="134" cm="1">
        <f t="array" ref="AC54">Adverse_Stress[[#This Row],[ATS]]*INDEX(Portfolio_Stresser[[Base]:[Severely Adverse]],MATCH("Funding Rate",Portfolio_Stresser[Scenario],0),MATCH("Adverse",Portfolio_Stresser[[#Headers],[Base]:[Severely Adverse]],0))*Dynamic_Row_Table[Tenure (in months)]/12</f>
        <v>1.5214782354910714</v>
      </c>
      <c r="AD54" s="134">
        <f>Adverse_Stress[[#This Row],[PD]]*Adverse_Stress[[#This Row],[ATS]]*Adverse_Stress[[#This Row],[EAD]]</f>
        <v>0.99589386423355275</v>
      </c>
      <c r="AE54" s="134" cm="1">
        <f t="array" ref="AE54">Adverse_Stress[[#This Row],[Revenue Per Loan]]-Adverse_Stress[[#This Row],[Funding Cost]]-Adverse_Stress[[#This Row],[ECL]]-Fixed_Cost[Fixed Cost]</f>
        <v>-0.37815672651033871</v>
      </c>
      <c r="AF54" s="130">
        <f>Base_Stress[[#This Row],[User Count(in M)]]</f>
        <v>0.35683852281302036</v>
      </c>
      <c r="AG54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1.4049682859155215</v>
      </c>
      <c r="AH54" s="130">
        <f>Adverse_Stress[[#This Row],[Loan Count(in M)]]/Adverse_Stress[[#This Row],[User Count(in M)]]</f>
        <v>3.9372662873949573</v>
      </c>
      <c r="AI54" s="134">
        <f>Adverse_Stress[[#This Row],[Revenue Per Loan]]*Adverse_Stress[[#This Row],[Avg Loan Per User]]</f>
        <v>20.2344594326185</v>
      </c>
      <c r="AJ54" s="134">
        <f>Adverse_Stress[[#This Row],[CM Per Loan]]*Adverse_Stress[[#This Row],[Avg Loan Per User]]</f>
        <v>-1.4889037306407915</v>
      </c>
      <c r="AK54" s="134">
        <f>Adverse_Stress[[#This Row],[CM Per User]]*Adverse_Stress[[#This Row],[User Count(in M)]]</f>
        <v>-0.53129820785265525</v>
      </c>
      <c r="AL54" s="144">
        <f>(Base_Stress[[#This Row],[CM Per Segment]]-Adverse_Stress[[#This Row],[CM Per Segment]])/($B$68-$B$69)</f>
        <v>3.6510083967445065E-3</v>
      </c>
      <c r="AN54" s="74">
        <v>52</v>
      </c>
      <c r="AO54" s="74" t="s">
        <v>51</v>
      </c>
      <c r="AP54" s="74" t="s">
        <v>36</v>
      </c>
      <c r="AQ54" s="74" t="s">
        <v>83</v>
      </c>
      <c r="AR54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2.0386080000000001E-2</v>
      </c>
      <c r="AS54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0.65812499999999996</v>
      </c>
      <c r="AT54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100.26625714285713</v>
      </c>
      <c r="AU54" s="134">
        <f>Severely_Adverse_Stress[[#This Row],[ATS]]*INDEX(Portfolio_Stresser[[Base]:[Severely Adverse]],MATCH("MDR",Portfolio_Stresser[Scenario],0),MATCH("Severely Adverse",Portfolio_Stresser[[#Headers],[Base]:[Severely Adverse]],0))</f>
        <v>4.5119815714285707</v>
      </c>
      <c r="AV54" s="130" cm="1">
        <f t="array" ref="AV54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1.6293266785714284</v>
      </c>
      <c r="AW54" s="130">
        <f>Severely_Adverse_Stress[[#This Row],[PD]]*Severely_Adverse_Stress[[#This Row],[ATS]]*Severely_Adverse_Stress[[#This Row],[EAD]]</f>
        <v>1.3452311526274028</v>
      </c>
      <c r="AX54" s="134" cm="1">
        <f t="array" ref="AX54">Severely_Adverse_Stress[[#This Row],[Revenue Per Loan]]-Severely_Adverse_Stress[[#This Row],[Funding Cost]]-Severely_Adverse_Stress[[#This Row],[ECL]]-Fixed_Cost[Fixed Cost]</f>
        <v>-1.4625762597702603</v>
      </c>
      <c r="AY54" s="130">
        <f>Base_Stress[[#This Row],[User Count(in M)]]</f>
        <v>0.35683852281302036</v>
      </c>
      <c r="AZ54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1.2270392078903776</v>
      </c>
      <c r="BA54" s="130">
        <f>Severely_Adverse_Stress[[#This Row],[Loan Count(in M)]]/Severely_Adverse_Stress[[#This Row],[User Count(in M)]]</f>
        <v>3.4386399714285703</v>
      </c>
      <c r="BB54" s="134">
        <f>Severely_Adverse_Stress[[#This Row],[Revenue Per Loan]]*Severely_Adverse_Stress[[#This Row],[Avg Loan Per User]]</f>
        <v>15.515080181863375</v>
      </c>
      <c r="BC54" s="134">
        <f>Severely_Adverse_Stress[[#This Row],[CM Per Loan]]*Severely_Adverse_Stress[[#This Row],[Avg Loan Per User]]</f>
        <v>-5.0292731881085126</v>
      </c>
      <c r="BD54" s="134">
        <f>Severely_Adverse_Stress[[#This Row],[CM Per User]]*Severely_Adverse_Stress[[#This Row],[User Count(in M)]]</f>
        <v>-1.7946384152677712</v>
      </c>
      <c r="BE54" s="134"/>
    </row>
    <row r="55" spans="1:57" x14ac:dyDescent="0.2">
      <c r="A55">
        <v>53</v>
      </c>
      <c r="B55" t="s">
        <v>51</v>
      </c>
      <c r="C55" s="9" t="s">
        <v>36</v>
      </c>
      <c r="D55" t="s">
        <v>60</v>
      </c>
      <c r="E55" s="65" cm="1">
        <f t="array" ref="E55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55" s="64">
        <f>VLOOKUP(Base_Stress[[#This Row],[Credit Category]],
  EAD_Table[#All],
  MATCH("EAD",EAD_Table[#Headers],0),
  FALSE)</f>
        <v>0.51749999999999996</v>
      </c>
      <c r="G55" s="98" cm="1">
        <f t="array" ref="G55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166.86507936507934</v>
      </c>
      <c r="H55" s="98">
        <f>Base_Stress[[#This Row],[ATS]]*INDEX(Portfolio_Stresser[[Base]:[Severely Adverse]],MATCH("MDR",Portfolio_Stresser[Scenario],0),MATCH("Base",Portfolio_Stresser[[#Headers],[Base]:[Severely Adverse]],0))</f>
        <v>8.3432539682539666</v>
      </c>
      <c r="I55" s="98" cm="1">
        <f t="array" ref="I55">Base_Stress[[#This Row],[ATS]]*INDEX(Portfolio_Stresser[[Base]:[Severely Adverse]],MATCH("Funding Rate",Portfolio_Stresser[Scenario],0),MATCH("Base",Portfolio_Stresser[[#Headers],[Base]:[Severely Adverse]],0))*Dynamic_Row_Table[Tenure (in months)]/12</f>
        <v>1.9815228174603172</v>
      </c>
      <c r="J55" s="98">
        <f>Base_Stress[[#This Row],[PD]]*Base_Stress[[#This Row],[ATS]]*Base_Stress[[#This Row],[EAD]]</f>
        <v>0.69082142857142848</v>
      </c>
      <c r="K55" s="98" cm="1">
        <f t="array" ref="K55">Base_Stress[[#This Row],[Revenue Per Loan]]-Base_Stress[[#This Row],[Funding Cost]]-Base_Stress[[#This Row],[ECL]]-Fixed_Cost[Fixed Cost]</f>
        <v>2.6709097222222207</v>
      </c>
      <c r="L55" s="10" cm="1">
        <f t="array" ref="L55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0.50804149123341003</v>
      </c>
      <c r="M55" s="10" cm="1">
        <f t="array" ref="M55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2.4559764987641453</v>
      </c>
      <c r="N55" s="10">
        <f>Base_Stress[[#This Row],[Loan Count(in M)]]/Base_Stress[[#This Row],[User Count(in M)]]</f>
        <v>4.8342045701849843</v>
      </c>
      <c r="O55" s="98">
        <f>Base_Stress[[#This Row],[Revenue Per Loan]]*Base_Stress[[#This Row],[Avg Loan Per User]]</f>
        <v>40.332996463547332</v>
      </c>
      <c r="P55" s="98">
        <f>Base_Stress[[#This Row],[CM Per Loan]]*Base_Stress[[#This Row],[Avg Loan Per User]]</f>
        <v>12.911723985718167</v>
      </c>
      <c r="Q55" s="98">
        <f>Base_Stress[[#This Row],[CM Per User]]*Base_Stress[[#This Row],[User Count(in M)]]</f>
        <v>6.5596915080984459</v>
      </c>
      <c r="R55" s="124">
        <f>Base_Stress[[#This Row],[CM Per Segment]]/SUM(Base_Stress[CM Per Segment])</f>
        <v>1.5835284478407343E-2</v>
      </c>
      <c r="S55" s="10"/>
      <c r="U55" s="73">
        <v>53</v>
      </c>
      <c r="V55" s="73" t="s">
        <v>51</v>
      </c>
      <c r="W55" s="73" t="s">
        <v>36</v>
      </c>
      <c r="X55" s="73" t="s">
        <v>60</v>
      </c>
      <c r="Y55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9.8204320000000005E-3</v>
      </c>
      <c r="Z55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0.55372500000000002</v>
      </c>
      <c r="AA55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150.52898809523808</v>
      </c>
      <c r="AB55" s="101">
        <f>Adverse_Stress[[#This Row],[ATS]]*INDEX(Portfolio_Stresser[[Base]:[Severely Adverse]],MATCH("MDR",Portfolio_Stresser[Scenario],0),MATCH("Adverse",Portfolio_Stresser[[#Headers],[Base]:[Severely Adverse]],0))</f>
        <v>7.1501269345238088</v>
      </c>
      <c r="AC55" s="101" cm="1">
        <f t="array" ref="AC55">Adverse_Stress[[#This Row],[ATS]]*INDEX(Portfolio_Stresser[[Base]:[Severely Adverse]],MATCH("Funding Rate",Portfolio_Stresser[Scenario],0),MATCH("Adverse",Portfolio_Stresser[[#Headers],[Base]:[Severely Adverse]],0))*Dynamic_Row_Table[Tenure (in months)]/12</f>
        <v>2.1168138950892854</v>
      </c>
      <c r="AD55" s="101">
        <f>Adverse_Stress[[#This Row],[PD]]*Adverse_Stress[[#This Row],[ATS]]*Adverse_Stress[[#This Row],[EAD]]</f>
        <v>0.81854934774122978</v>
      </c>
      <c r="AE55" s="101" cm="1">
        <f t="array" ref="AE55">Adverse_Stress[[#This Row],[Revenue Per Loan]]-Adverse_Stress[[#This Row],[Funding Cost]]-Adverse_Stress[[#This Row],[ECL]]-Fixed_Cost[Fixed Cost]</f>
        <v>1.2147636916932933</v>
      </c>
      <c r="AF55" s="72">
        <f>Base_Stress[[#This Row],[User Count(in M)]]</f>
        <v>0.50804149123341003</v>
      </c>
      <c r="AG55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2.0556523294655897</v>
      </c>
      <c r="AH55" s="72">
        <f>Adverse_Stress[[#This Row],[Loan Count(in M)]]/Adverse_Stress[[#This Row],[User Count(in M)]]</f>
        <v>4.046229225244832</v>
      </c>
      <c r="AI55" s="101">
        <f>Adverse_Stress[[#This Row],[Revenue Per Loan]]*Adverse_Stress[[#This Row],[Avg Loan Per User]]</f>
        <v>28.931052566680478</v>
      </c>
      <c r="AJ55" s="101">
        <f>Adverse_Stress[[#This Row],[CM Per Loan]]*Adverse_Stress[[#This Row],[Avg Loan Per User]]</f>
        <v>4.9152123510957066</v>
      </c>
      <c r="AK55" s="101">
        <f>Adverse_Stress[[#This Row],[CM Per User]]*Adverse_Stress[[#This Row],[User Count(in M)]]</f>
        <v>2.4971318125795383</v>
      </c>
      <c r="AL55" s="145">
        <f>(Base_Stress[[#This Row],[CM Per Segment]]-Adverse_Stress[[#This Row],[CM Per Segment]])/($B$68-$B$69)</f>
        <v>7.7040965445960849E-3</v>
      </c>
      <c r="AN55" s="73">
        <v>53</v>
      </c>
      <c r="AO55" s="73" t="s">
        <v>51</v>
      </c>
      <c r="AP55" s="73" t="s">
        <v>36</v>
      </c>
      <c r="AQ55" s="73" t="s">
        <v>60</v>
      </c>
      <c r="AR55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1.3029120000000002E-2</v>
      </c>
      <c r="AS55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0.58994999999999986</v>
      </c>
      <c r="AT55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139.49920634920633</v>
      </c>
      <c r="AU55" s="101">
        <f>Severely_Adverse_Stress[[#This Row],[ATS]]*INDEX(Portfolio_Stresser[[Base]:[Severely Adverse]],MATCH("MDR",Portfolio_Stresser[Scenario],0),MATCH("Severely Adverse",Portfolio_Stresser[[#Headers],[Base]:[Severely Adverse]],0))</f>
        <v>6.2774642857142844</v>
      </c>
      <c r="AV55" s="72" cm="1">
        <f t="array" ref="AV55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2.2668621031746028</v>
      </c>
      <c r="AW55" s="72">
        <f>Severely_Adverse_Stress[[#This Row],[PD]]*Severely_Adverse_Stress[[#This Row],[ATS]]*Severely_Adverse_Stress[[#This Row],[EAD]]</f>
        <v>1.0722647430678856</v>
      </c>
      <c r="AX55" s="101" cm="1">
        <f t="array" ref="AX55">Severely_Adverse_Stress[[#This Row],[Revenue Per Loan]]-Severely_Adverse_Stress[[#This Row],[Funding Cost]]-Severely_Adverse_Stress[[#This Row],[ECL]]-Fixed_Cost[Fixed Cost]</f>
        <v>-6.1662560528203958E-2</v>
      </c>
      <c r="AY55" s="72">
        <f>Base_Stress[[#This Row],[User Count(in M)]]</f>
        <v>0.50804149123341003</v>
      </c>
      <c r="AZ55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1.7953188205965902</v>
      </c>
      <c r="BA55" s="72">
        <f>Severely_Adverse_Stress[[#This Row],[Loan Count(in M)]]/Severely_Adverse_Stress[[#This Row],[User Count(in M)]]</f>
        <v>3.5338035408052235</v>
      </c>
      <c r="BB55" s="101">
        <f>Severely_Adverse_Stress[[#This Row],[Revenue Per Loan]]*Severely_Adverse_Stress[[#This Row],[Avg Loan Per User]]</f>
        <v>22.183325520135472</v>
      </c>
      <c r="BC55" s="101">
        <f>Severely_Adverse_Stress[[#This Row],[CM Per Loan]]*Severely_Adverse_Stress[[#This Row],[Avg Loan Per User]]</f>
        <v>-0.21790337472968355</v>
      </c>
      <c r="BD55" s="101">
        <f>Severely_Adverse_Stress[[#This Row],[CM Per User]]*Severely_Adverse_Stress[[#This Row],[User Count(in M)]]</f>
        <v>-0.11070395544246098</v>
      </c>
      <c r="BE55" s="101"/>
    </row>
    <row r="56" spans="1:57" x14ac:dyDescent="0.2">
      <c r="A56">
        <v>54</v>
      </c>
      <c r="B56" t="s">
        <v>51</v>
      </c>
      <c r="C56" s="9" t="s">
        <v>36</v>
      </c>
      <c r="D56" t="s">
        <v>61</v>
      </c>
      <c r="E56" s="65" cm="1">
        <f t="array" ref="E56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7.0000000000000001E-3</v>
      </c>
      <c r="F56" s="64">
        <f>VLOOKUP(Base_Stress[[#This Row],[Credit Category]],
  EAD_Table[#All],
  MATCH("EAD",EAD_Table[#Headers],0),
  FALSE)</f>
        <v>0.48749999999999999</v>
      </c>
      <c r="G56" s="98" cm="1">
        <f t="array" ref="G56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220.95238095238093</v>
      </c>
      <c r="H56" s="98">
        <f>Base_Stress[[#This Row],[ATS]]*INDEX(Portfolio_Stresser[[Base]:[Severely Adverse]],MATCH("MDR",Portfolio_Stresser[Scenario],0),MATCH("Base",Portfolio_Stresser[[#Headers],[Base]:[Severely Adverse]],0))</f>
        <v>11.047619047619047</v>
      </c>
      <c r="I56" s="98" cm="1">
        <f t="array" ref="I56">Base_Stress[[#This Row],[ATS]]*INDEX(Portfolio_Stresser[[Base]:[Severely Adverse]],MATCH("Funding Rate",Portfolio_Stresser[Scenario],0),MATCH("Base",Portfolio_Stresser[[#Headers],[Base]:[Severely Adverse]],0))*Dynamic_Row_Table[Tenure (in months)]/12</f>
        <v>2.6238095238095238</v>
      </c>
      <c r="J56" s="98">
        <f>Base_Stress[[#This Row],[PD]]*Base_Stress[[#This Row],[ATS]]*Base_Stress[[#This Row],[EAD]]</f>
        <v>0.754</v>
      </c>
      <c r="K56" s="98" cm="1">
        <f t="array" ref="K56">Base_Stress[[#This Row],[Revenue Per Loan]]-Base_Stress[[#This Row],[Funding Cost]]-Base_Stress[[#This Row],[ECL]]-Fixed_Cost[Fixed Cost]</f>
        <v>4.6698095238095245</v>
      </c>
      <c r="L56" s="10" cm="1">
        <f t="array" ref="L56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0.57678809380327334</v>
      </c>
      <c r="M56" s="10" cm="1">
        <f t="array" ref="M56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2.600756666126137</v>
      </c>
      <c r="N56" s="10">
        <f>Base_Stress[[#This Row],[Loan Count(in M)]]/Base_Stress[[#This Row],[User Count(in M)]]</f>
        <v>4.5090332031250009</v>
      </c>
      <c r="O56" s="98">
        <f>Base_Stress[[#This Row],[Revenue Per Loan]]*Base_Stress[[#This Row],[Avg Loan Per User]]</f>
        <v>49.814081101190489</v>
      </c>
      <c r="P56" s="98">
        <f>Base_Stress[[#This Row],[CM Per Loan]]*Base_Stress[[#This Row],[Avg Loan Per User]]</f>
        <v>21.056326195126495</v>
      </c>
      <c r="Q56" s="98">
        <f>Base_Stress[[#This Row],[CM Per User]]*Base_Stress[[#This Row],[User Count(in M)]]</f>
        <v>12.145038248586943</v>
      </c>
      <c r="R56" s="124">
        <f>Base_Stress[[#This Row],[CM Per Segment]]/SUM(Base_Stress[CM Per Segment])</f>
        <v>2.931847258824264E-2</v>
      </c>
      <c r="S56" s="10"/>
      <c r="U56" s="74">
        <v>54</v>
      </c>
      <c r="V56" s="74" t="s">
        <v>51</v>
      </c>
      <c r="W56" s="74" t="s">
        <v>36</v>
      </c>
      <c r="X56" s="74" t="s">
        <v>61</v>
      </c>
      <c r="Y56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8.0103100000000014E-3</v>
      </c>
      <c r="Z56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0.50700000000000001</v>
      </c>
      <c r="AA56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199.32114285714286</v>
      </c>
      <c r="AB56" s="134">
        <f>Adverse_Stress[[#This Row],[ATS]]*INDEX(Portfolio_Stresser[[Base]:[Severely Adverse]],MATCH("MDR",Portfolio_Stresser[Scenario],0),MATCH("Adverse",Portfolio_Stresser[[#Headers],[Base]:[Severely Adverse]],0))</f>
        <v>9.4677542857142853</v>
      </c>
      <c r="AC56" s="134" cm="1">
        <f t="array" ref="AC56">Adverse_Stress[[#This Row],[ATS]]*INDEX(Portfolio_Stresser[[Base]:[Severely Adverse]],MATCH("Funding Rate",Portfolio_Stresser[Scenario],0),MATCH("Adverse",Portfolio_Stresser[[#Headers],[Base]:[Severely Adverse]],0))*Dynamic_Row_Table[Tenure (in months)]/12</f>
        <v>2.802953571428572</v>
      </c>
      <c r="AD56" s="134">
        <f>Adverse_Stress[[#This Row],[PD]]*Adverse_Stress[[#This Row],[ATS]]*Adverse_Stress[[#This Row],[EAD]]</f>
        <v>0.80948844092688022</v>
      </c>
      <c r="AE56" s="134" cm="1">
        <f t="array" ref="AE56">Adverse_Stress[[#This Row],[Revenue Per Loan]]-Adverse_Stress[[#This Row],[Funding Cost]]-Adverse_Stress[[#This Row],[ECL]]-Fixed_Cost[Fixed Cost]</f>
        <v>2.855312273358833</v>
      </c>
      <c r="AF56" s="130">
        <f>Base_Stress[[#This Row],[User Count(in M)]]</f>
        <v>0.57678809380327334</v>
      </c>
      <c r="AG56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2.176833329547577</v>
      </c>
      <c r="AH56" s="130">
        <f>Adverse_Stress[[#This Row],[Loan Count(in M)]]/Adverse_Stress[[#This Row],[User Count(in M)]]</f>
        <v>3.7740607910156263</v>
      </c>
      <c r="AI56" s="134">
        <f>Adverse_Stress[[#This Row],[Revenue Per Loan]]*Adverse_Stress[[#This Row],[Avg Loan Per User]]</f>
        <v>35.731880228684439</v>
      </c>
      <c r="AJ56" s="134">
        <f>Adverse_Stress[[#This Row],[CM Per Loan]]*Adverse_Stress[[#This Row],[Avg Loan Per User]]</f>
        <v>10.776122096989264</v>
      </c>
      <c r="AK56" s="134">
        <f>Adverse_Stress[[#This Row],[CM Per User]]*Adverse_Stress[[#This Row],[User Count(in M)]]</f>
        <v>6.2155389229137699</v>
      </c>
      <c r="AL56" s="144">
        <f>(Base_Stress[[#This Row],[CM Per Segment]]-Adverse_Stress[[#This Row],[CM Per Segment]])/($B$68-$B$69)</f>
        <v>1.1244495758792451E-2</v>
      </c>
      <c r="AN56" s="74">
        <v>54</v>
      </c>
      <c r="AO56" s="74" t="s">
        <v>51</v>
      </c>
      <c r="AP56" s="74" t="s">
        <v>36</v>
      </c>
      <c r="AQ56" s="74" t="s">
        <v>61</v>
      </c>
      <c r="AR56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1.0063872000000001E-2</v>
      </c>
      <c r="AS56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0.53625</v>
      </c>
      <c r="AT56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184.71619047619043</v>
      </c>
      <c r="AU56" s="134">
        <f>Severely_Adverse_Stress[[#This Row],[ATS]]*INDEX(Portfolio_Stresser[[Base]:[Severely Adverse]],MATCH("MDR",Portfolio_Stresser[Scenario],0),MATCH("Severely Adverse",Portfolio_Stresser[[#Headers],[Base]:[Severely Adverse]],0))</f>
        <v>8.3122285714285695</v>
      </c>
      <c r="AV56" s="130" cm="1">
        <f t="array" ref="AV56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3.0016380952380946</v>
      </c>
      <c r="AW56" s="130">
        <f>Severely_Adverse_Stress[[#This Row],[PD]]*Severely_Adverse_Stress[[#This Row],[ATS]]*Severely_Adverse_Stress[[#This Row],[EAD]]</f>
        <v>0.99686735216639988</v>
      </c>
      <c r="AX56" s="134" cm="1">
        <f t="array" ref="AX56">Severely_Adverse_Stress[[#This Row],[Revenue Per Loan]]-Severely_Adverse_Stress[[#This Row],[Funding Cost]]-Severely_Adverse_Stress[[#This Row],[ECL]]-Fixed_Cost[Fixed Cost]</f>
        <v>1.313723124024075</v>
      </c>
      <c r="AY56" s="130">
        <f>Base_Stress[[#This Row],[User Count(in M)]]</f>
        <v>0.57678809380327334</v>
      </c>
      <c r="AZ56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1.9011531229382062</v>
      </c>
      <c r="BA56" s="130">
        <f>Severely_Adverse_Stress[[#This Row],[Loan Count(in M)]]/Severely_Adverse_Stress[[#This Row],[User Count(in M)]]</f>
        <v>3.2961032714843754</v>
      </c>
      <c r="BB56" s="134">
        <f>Severely_Adverse_Stress[[#This Row],[Revenue Per Loan]]*Severely_Adverse_Stress[[#This Row],[Avg Loan Per User]]</f>
        <v>27.397963787611605</v>
      </c>
      <c r="BC56" s="134">
        <f>Severely_Adverse_Stress[[#This Row],[CM Per Loan]]*Severely_Adverse_Stress[[#This Row],[Avg Loan Per User]]</f>
        <v>4.3301670869204276</v>
      </c>
      <c r="BD56" s="134">
        <f>Severely_Adverse_Stress[[#This Row],[CM Per User]]*Severely_Adverse_Stress[[#This Row],[User Count(in M)]]</f>
        <v>2.4975888199145064</v>
      </c>
      <c r="BE56" s="134"/>
    </row>
    <row r="57" spans="1:57" x14ac:dyDescent="0.2">
      <c r="A57">
        <v>55</v>
      </c>
      <c r="B57" t="s">
        <v>51</v>
      </c>
      <c r="C57" s="9" t="s">
        <v>36</v>
      </c>
      <c r="D57" t="s">
        <v>62</v>
      </c>
      <c r="E57" s="65" cm="1">
        <f t="array" ref="E57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57" s="64">
        <f>VLOOKUP(Base_Stress[[#This Row],[Credit Category]],
  EAD_Table[#All],
  MATCH("EAD",EAD_Table[#Headers],0),
  FALSE)</f>
        <v>0.4425</v>
      </c>
      <c r="G57" s="98" cm="1">
        <f t="array" ref="G57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293.45238095238091</v>
      </c>
      <c r="H57" s="98">
        <f>Base_Stress[[#This Row],[ATS]]*INDEX(Portfolio_Stresser[[Base]:[Severely Adverse]],MATCH("MDR",Portfolio_Stresser[Scenario],0),MATCH("Base",Portfolio_Stresser[[#Headers],[Base]:[Severely Adverse]],0))</f>
        <v>14.672619047619046</v>
      </c>
      <c r="I57" s="98" cm="1">
        <f t="array" ref="I57">Base_Stress[[#This Row],[ATS]]*INDEX(Portfolio_Stresser[[Base]:[Severely Adverse]],MATCH("Funding Rate",Portfolio_Stresser[Scenario],0),MATCH("Base",Portfolio_Stresser[[#Headers],[Base]:[Severely Adverse]],0))*Dynamic_Row_Table[Tenure (in months)]/12</f>
        <v>3.4847470238095233</v>
      </c>
      <c r="J57" s="98">
        <f>Base_Stress[[#This Row],[PD]]*Base_Stress[[#This Row],[ATS]]*Base_Stress[[#This Row],[EAD]]</f>
        <v>1.0388214285714283</v>
      </c>
      <c r="K57" s="98" cm="1">
        <f t="array" ref="K57">Base_Stress[[#This Row],[Revenue Per Loan]]-Base_Stress[[#This Row],[Funding Cost]]-Base_Stress[[#This Row],[ECL]]-Fixed_Cost[Fixed Cost]</f>
        <v>7.1490505952380943</v>
      </c>
      <c r="L57" s="10" cm="1">
        <f t="array" ref="L57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0.36761253751018674</v>
      </c>
      <c r="M57" s="10" cm="1">
        <f t="array" ref="M57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1.4184871152840344</v>
      </c>
      <c r="N57" s="10">
        <f>Base_Stress[[#This Row],[Loan Count(in M)]]/Base_Stress[[#This Row],[User Count(in M)]]</f>
        <v>3.8586472727272727</v>
      </c>
      <c r="O57" s="98">
        <f>Base_Stress[[#This Row],[Revenue Per Loan]]*Base_Stress[[#This Row],[Avg Loan Per User]]</f>
        <v>56.616461471861463</v>
      </c>
      <c r="P57" s="98">
        <f>Base_Stress[[#This Row],[CM Per Loan]]*Base_Stress[[#This Row],[Avg Loan Per User]]</f>
        <v>27.585664581904759</v>
      </c>
      <c r="Q57" s="98">
        <f>Base_Stress[[#This Row],[CM Per User]]*Base_Stress[[#This Row],[User Count(in M)]]</f>
        <v>10.140836155858892</v>
      </c>
      <c r="R57" s="124">
        <f>Base_Stress[[#This Row],[CM Per Segment]]/SUM(Base_Stress[CM Per Segment])</f>
        <v>2.4480270936322563E-2</v>
      </c>
      <c r="S57" s="10"/>
      <c r="U57" s="73">
        <v>55</v>
      </c>
      <c r="V57" s="73" t="s">
        <v>51</v>
      </c>
      <c r="W57" s="73" t="s">
        <v>36</v>
      </c>
      <c r="X57" s="73" t="s">
        <v>62</v>
      </c>
      <c r="Y57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8.7385200000000031E-3</v>
      </c>
      <c r="Z57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0.45135000000000003</v>
      </c>
      <c r="AA57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264.72339285714281</v>
      </c>
      <c r="AB57" s="101">
        <f>Adverse_Stress[[#This Row],[ATS]]*INDEX(Portfolio_Stresser[[Base]:[Severely Adverse]],MATCH("MDR",Portfolio_Stresser[Scenario],0),MATCH("Adverse",Portfolio_Stresser[[#Headers],[Base]:[Severely Adverse]],0))</f>
        <v>12.574361160714284</v>
      </c>
      <c r="AC57" s="101" cm="1">
        <f t="array" ref="AC57">Adverse_Stress[[#This Row],[ATS]]*INDEX(Portfolio_Stresser[[Base]:[Severely Adverse]],MATCH("Funding Rate",Portfolio_Stresser[Scenario],0),MATCH("Adverse",Portfolio_Stresser[[#Headers],[Base]:[Severely Adverse]],0))*Dynamic_Row_Table[Tenure (in months)]/12</f>
        <v>3.722672712053571</v>
      </c>
      <c r="AD57" s="101">
        <f>Adverse_Stress[[#This Row],[PD]]*Adverse_Stress[[#This Row],[ATS]]*Adverse_Stress[[#This Row],[EAD]]</f>
        <v>1.0441037407224829</v>
      </c>
      <c r="AE57" s="101" cm="1">
        <f t="array" ref="AE57">Adverse_Stress[[#This Row],[Revenue Per Loan]]-Adverse_Stress[[#This Row],[Funding Cost]]-Adverse_Stress[[#This Row],[ECL]]-Fixed_Cost[Fixed Cost]</f>
        <v>4.8075847079382301</v>
      </c>
      <c r="AF57" s="72">
        <f>Base_Stress[[#This Row],[User Count(in M)]]</f>
        <v>0.36761253751018674</v>
      </c>
      <c r="AG57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1.1872737154927369</v>
      </c>
      <c r="AH57" s="72">
        <f>Adverse_Stress[[#This Row],[Loan Count(in M)]]/Adverse_Stress[[#This Row],[User Count(in M)]]</f>
        <v>3.2296877672727278</v>
      </c>
      <c r="AI57" s="101">
        <f>Adverse_Stress[[#This Row],[Revenue Per Loan]]*Adverse_Stress[[#This Row],[Avg Loan Per User]]</f>
        <v>40.611260422028224</v>
      </c>
      <c r="AJ57" s="101">
        <f>Adverse_Stress[[#This Row],[CM Per Loan]]*Adverse_Stress[[#This Row],[Avg Loan Per User]]</f>
        <v>15.526997521355531</v>
      </c>
      <c r="AK57" s="101">
        <f>Adverse_Stress[[#This Row],[CM Per User]]*Adverse_Stress[[#This Row],[User Count(in M)]]</f>
        <v>5.7079189587398869</v>
      </c>
      <c r="AL57" s="145">
        <f>(Base_Stress[[#This Row],[CM Per Segment]]-Adverse_Stress[[#This Row],[CM Per Segment]])/($B$68-$B$69)</f>
        <v>8.4064295962161684E-3</v>
      </c>
      <c r="AN57" s="73">
        <v>55</v>
      </c>
      <c r="AO57" s="73" t="s">
        <v>51</v>
      </c>
      <c r="AP57" s="73" t="s">
        <v>36</v>
      </c>
      <c r="AQ57" s="73" t="s">
        <v>62</v>
      </c>
      <c r="AR57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1.0333440000000001E-2</v>
      </c>
      <c r="AS57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0.46462500000000001</v>
      </c>
      <c r="AT57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245.32619047619045</v>
      </c>
      <c r="AU57" s="101">
        <f>Severely_Adverse_Stress[[#This Row],[ATS]]*INDEX(Portfolio_Stresser[[Base]:[Severely Adverse]],MATCH("MDR",Portfolio_Stresser[Scenario],0),MATCH("Severely Adverse",Portfolio_Stresser[[#Headers],[Base]:[Severely Adverse]],0))</f>
        <v>11.039678571428571</v>
      </c>
      <c r="AV57" s="72" cm="1">
        <f t="array" ref="AV57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3.9865505952380951</v>
      </c>
      <c r="AW57" s="72">
        <f>Severely_Adverse_Stress[[#This Row],[PD]]*Severely_Adverse_Stress[[#This Row],[ATS]]*Severely_Adverse_Stress[[#This Row],[EAD]]</f>
        <v>1.1778538646159999</v>
      </c>
      <c r="AX57" s="101" cm="1">
        <f t="array" ref="AX57">Severely_Adverse_Stress[[#This Row],[Revenue Per Loan]]-Severely_Adverse_Stress[[#This Row],[Funding Cost]]-Severely_Adverse_Stress[[#This Row],[ECL]]-Fixed_Cost[Fixed Cost]</f>
        <v>2.875274111574476</v>
      </c>
      <c r="AY57" s="72">
        <f>Base_Stress[[#This Row],[User Count(in M)]]</f>
        <v>0.36761253751018674</v>
      </c>
      <c r="AZ57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1.036914081272629</v>
      </c>
      <c r="BA57" s="72">
        <f>Severely_Adverse_Stress[[#This Row],[Loan Count(in M)]]/Severely_Adverse_Stress[[#This Row],[User Count(in M)]]</f>
        <v>2.8206711563636362</v>
      </c>
      <c r="BB57" s="101">
        <f>Severely_Adverse_Stress[[#This Row],[Revenue Per Loan]]*Severely_Adverse_Stress[[#This Row],[Avg Loan Per User]]</f>
        <v>31.139302921954283</v>
      </c>
      <c r="BC57" s="101">
        <f>Severely_Adverse_Stress[[#This Row],[CM Per Loan]]*Severely_Adverse_Stress[[#This Row],[Avg Loan Per User]]</f>
        <v>8.1102027531572034</v>
      </c>
      <c r="BD57" s="101">
        <f>Severely_Adverse_Stress[[#This Row],[CM Per User]]*Severely_Adverse_Stress[[#This Row],[User Count(in M)]]</f>
        <v>2.9814122138102221</v>
      </c>
      <c r="BE57" s="101"/>
    </row>
    <row r="58" spans="1:57" x14ac:dyDescent="0.2">
      <c r="A58">
        <v>56</v>
      </c>
      <c r="B58" t="s">
        <v>51</v>
      </c>
      <c r="C58" s="9" t="s">
        <v>37</v>
      </c>
      <c r="D58" t="s">
        <v>58</v>
      </c>
      <c r="E58" s="65" cm="1">
        <f t="array" ref="E58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3.5000000000000003E-2</v>
      </c>
      <c r="F58" s="64">
        <f>VLOOKUP(Base_Stress[[#This Row],[Credit Category]],
  EAD_Table[#All],
  MATCH("EAD",EAD_Table[#Headers],0),
  FALSE)</f>
        <v>0.63750000000000007</v>
      </c>
      <c r="G58" s="98" cm="1">
        <f t="array" ref="G58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142.69841269841268</v>
      </c>
      <c r="H58" s="98">
        <f>Base_Stress[[#This Row],[ATS]]*INDEX(Portfolio_Stresser[[Base]:[Severely Adverse]],MATCH("MDR",Portfolio_Stresser[Scenario],0),MATCH("Base",Portfolio_Stresser[[#Headers],[Base]:[Severely Adverse]],0))</f>
        <v>7.1349206349206344</v>
      </c>
      <c r="I58" s="98" cm="1">
        <f t="array" ref="I58">Base_Stress[[#This Row],[ATS]]*INDEX(Portfolio_Stresser[[Base]:[Severely Adverse]],MATCH("Funding Rate",Portfolio_Stresser[Scenario],0),MATCH("Base",Portfolio_Stresser[[#Headers],[Base]:[Severely Adverse]],0))*Dynamic_Row_Table[Tenure (in months)]/12</f>
        <v>1.6945436507936507</v>
      </c>
      <c r="J58" s="98">
        <f>Base_Stress[[#This Row],[PD]]*Base_Stress[[#This Row],[ATS]]*Base_Stress[[#This Row],[EAD]]</f>
        <v>3.1839583333333339</v>
      </c>
      <c r="K58" s="98" cm="1">
        <f t="array" ref="K58">Base_Stress[[#This Row],[Revenue Per Loan]]-Base_Stress[[#This Row],[Funding Cost]]-Base_Stress[[#This Row],[ECL]]-Fixed_Cost[Fixed Cost]</f>
        <v>-0.74358134920634988</v>
      </c>
      <c r="L58" s="10" cm="1">
        <f t="array" ref="L58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2.5278513216210045E-2</v>
      </c>
      <c r="M58" s="10" cm="1">
        <f t="array" ref="M58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0.33244949015672209</v>
      </c>
      <c r="N58" s="10">
        <f>Base_Stress[[#This Row],[Loan Count(in M)]]/Base_Stress[[#This Row],[User Count(in M)]]</f>
        <v>13.151465329991648</v>
      </c>
      <c r="O58" s="98">
        <f>Base_Stress[[#This Row],[Revenue Per Loan]]*Base_Stress[[#This Row],[Avg Loan Per User]]</f>
        <v>93.834661362400723</v>
      </c>
      <c r="P58" s="98">
        <f>Base_Stress[[#This Row],[CM Per Loan]]*Base_Stress[[#This Row],[Avg Loan Per User]]</f>
        <v>-9.7791843341157225</v>
      </c>
      <c r="Q58" s="98">
        <f>Base_Stress[[#This Row],[CM Per User]]*Base_Stress[[#This Row],[User Count(in M)]]</f>
        <v>-0.24720324043369851</v>
      </c>
      <c r="R58" s="124">
        <f>Base_Stress[[#This Row],[CM Per Segment]]/SUM(Base_Stress[CM Per Segment])</f>
        <v>-5.9675575161102475E-4</v>
      </c>
      <c r="S58" s="10"/>
      <c r="U58" s="74">
        <v>56</v>
      </c>
      <c r="V58" s="74" t="s">
        <v>51</v>
      </c>
      <c r="W58" s="74" t="s">
        <v>37</v>
      </c>
      <c r="X58" s="74" t="s">
        <v>58</v>
      </c>
      <c r="Y58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5.1770075000000006E-2</v>
      </c>
      <c r="Z58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0.73312500000000003</v>
      </c>
      <c r="AA58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127.34406349206348</v>
      </c>
      <c r="AB58" s="134">
        <f>Adverse_Stress[[#This Row],[ATS]]*INDEX(Portfolio_Stresser[[Base]:[Severely Adverse]],MATCH("MDR",Portfolio_Stresser[Scenario],0),MATCH("Adverse",Portfolio_Stresser[[#Headers],[Base]:[Severely Adverse]],0))</f>
        <v>6.0488430158730155</v>
      </c>
      <c r="AC58" s="134" cm="1">
        <f t="array" ref="AC58">Adverse_Stress[[#This Row],[ATS]]*INDEX(Portfolio_Stresser[[Base]:[Severely Adverse]],MATCH("Funding Rate",Portfolio_Stresser[Scenario],0),MATCH("Adverse",Portfolio_Stresser[[#Headers],[Base]:[Severely Adverse]],0))*Dynamic_Row_Table[Tenure (in months)]/12</f>
        <v>1.7907758928571427</v>
      </c>
      <c r="AD58" s="134">
        <f>Adverse_Stress[[#This Row],[PD]]*Adverse_Stress[[#This Row],[ATS]]*Adverse_Stress[[#This Row],[EAD]]</f>
        <v>4.8332084656039793</v>
      </c>
      <c r="AE58" s="134" cm="1">
        <f t="array" ref="AE58">Adverse_Stress[[#This Row],[Revenue Per Loan]]-Adverse_Stress[[#This Row],[Funding Cost]]-Adverse_Stress[[#This Row],[ECL]]-Fixed_Cost[Fixed Cost]</f>
        <v>-3.5751413425881067</v>
      </c>
      <c r="AF58" s="130">
        <f>Base_Stress[[#This Row],[User Count(in M)]]</f>
        <v>2.5278513216210045E-2</v>
      </c>
      <c r="AG58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0.29322045031822891</v>
      </c>
      <c r="AH58" s="130">
        <f>Adverse_Stress[[#This Row],[Loan Count(in M)]]/Adverse_Stress[[#This Row],[User Count(in M)]]</f>
        <v>11.599592421052636</v>
      </c>
      <c r="AI58" s="134">
        <f>Adverse_Stress[[#This Row],[Revenue Per Loan]]*Adverse_Stress[[#This Row],[Avg Loan Per User]]</f>
        <v>70.1641136030578</v>
      </c>
      <c r="AJ58" s="134">
        <f>Adverse_Stress[[#This Row],[CM Per Loan]]*Adverse_Stress[[#This Row],[Avg Loan Per User]]</f>
        <v>-41.470182421676945</v>
      </c>
      <c r="AK58" s="134">
        <f>Adverse_Stress[[#This Row],[CM Per User]]*Adverse_Stress[[#This Row],[User Count(in M)]]</f>
        <v>-1.0483045544250023</v>
      </c>
      <c r="AL58" s="144">
        <f>(Base_Stress[[#This Row],[CM Per Segment]]-Adverse_Stress[[#This Row],[CM Per Segment]])/($B$68-$B$69)</f>
        <v>1.5191805973458986E-3</v>
      </c>
      <c r="AN58" s="74">
        <v>56</v>
      </c>
      <c r="AO58" s="74" t="s">
        <v>51</v>
      </c>
      <c r="AP58" s="74" t="s">
        <v>37</v>
      </c>
      <c r="AQ58" s="74" t="s">
        <v>58</v>
      </c>
      <c r="AR58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7.2618000000000002E-2</v>
      </c>
      <c r="AS58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0.75</v>
      </c>
      <c r="AT58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116.58460317460316</v>
      </c>
      <c r="AU58" s="134">
        <f>Severely_Adverse_Stress[[#This Row],[ATS]]*INDEX(Portfolio_Stresser[[Base]:[Severely Adverse]],MATCH("MDR",Portfolio_Stresser[Scenario],0),MATCH("Severely Adverse",Portfolio_Stresser[[#Headers],[Base]:[Severely Adverse]],0))</f>
        <v>5.2463071428571419</v>
      </c>
      <c r="AV58" s="130" cm="1">
        <f t="array" ref="AV58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1.8944998015873014</v>
      </c>
      <c r="AW58" s="130">
        <f>Severely_Adverse_Stress[[#This Row],[PD]]*Severely_Adverse_Stress[[#This Row],[ATS]]*Severely_Adverse_Stress[[#This Row],[EAD]]</f>
        <v>6.3496055350000002</v>
      </c>
      <c r="AX58" s="134" cm="1">
        <f t="array" ref="AX58">Severely_Adverse_Stress[[#This Row],[Revenue Per Loan]]-Severely_Adverse_Stress[[#This Row],[Funding Cost]]-Severely_Adverse_Stress[[#This Row],[ECL]]-Fixed_Cost[Fixed Cost]</f>
        <v>-5.9977981937301594</v>
      </c>
      <c r="AY58" s="130">
        <f>Base_Stress[[#This Row],[User Count(in M)]]</f>
        <v>2.5278513216210045E-2</v>
      </c>
      <c r="AZ58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0.26303403661199853</v>
      </c>
      <c r="BA58" s="130">
        <f>Severely_Adverse_Stress[[#This Row],[Loan Count(in M)]]/Severely_Adverse_Stress[[#This Row],[User Count(in M)]]</f>
        <v>10.405439369089393</v>
      </c>
      <c r="BB58" s="134">
        <f>Severely_Adverse_Stress[[#This Row],[Revenue Per Loan]]*Severely_Adverse_Stress[[#This Row],[Avg Loan Per User]]</f>
        <v>54.590130886620599</v>
      </c>
      <c r="BC58" s="134">
        <f>Severely_Adverse_Stress[[#This Row],[CM Per Loan]]*Severely_Adverse_Stress[[#This Row],[Avg Loan Per User]]</f>
        <v>-62.409725452893049</v>
      </c>
      <c r="BD58" s="134">
        <f>Severely_Adverse_Stress[[#This Row],[CM Per User]]*Severely_Adverse_Stress[[#This Row],[User Count(in M)]]</f>
        <v>-1.5776250696809975</v>
      </c>
      <c r="BE58" s="134"/>
    </row>
    <row r="59" spans="1:57" x14ac:dyDescent="0.2">
      <c r="A59">
        <v>57</v>
      </c>
      <c r="B59" t="s">
        <v>51</v>
      </c>
      <c r="C59" s="9" t="s">
        <v>37</v>
      </c>
      <c r="D59" t="s">
        <v>83</v>
      </c>
      <c r="E59" s="65" cm="1">
        <f t="array" ref="E59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1.0999999999999999E-2</v>
      </c>
      <c r="F59" s="64">
        <f>VLOOKUP(Base_Stress[[#This Row],[Credit Category]],
  EAD_Table[#All],
  MATCH("EAD",EAD_Table[#Headers],0),
  FALSE)</f>
        <v>0.5625</v>
      </c>
      <c r="G59" s="98" cm="1">
        <f t="array" ref="G59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193.33333333333331</v>
      </c>
      <c r="H59" s="98">
        <f>Base_Stress[[#This Row],[ATS]]*INDEX(Portfolio_Stresser[[Base]:[Severely Adverse]],MATCH("MDR",Portfolio_Stresser[Scenario],0),MATCH("Base",Portfolio_Stresser[[#Headers],[Base]:[Severely Adverse]],0))</f>
        <v>9.6666666666666661</v>
      </c>
      <c r="I59" s="98" cm="1">
        <f t="array" ref="I59">Base_Stress[[#This Row],[ATS]]*INDEX(Portfolio_Stresser[[Base]:[Severely Adverse]],MATCH("Funding Rate",Portfolio_Stresser[Scenario],0),MATCH("Base",Portfolio_Stresser[[#Headers],[Base]:[Severely Adverse]],0))*Dynamic_Row_Table[Tenure (in months)]/12</f>
        <v>2.2958333333333329</v>
      </c>
      <c r="J59" s="98">
        <f>Base_Stress[[#This Row],[PD]]*Base_Stress[[#This Row],[ATS]]*Base_Stress[[#This Row],[EAD]]</f>
        <v>1.1962499999999998</v>
      </c>
      <c r="K59" s="98" cm="1">
        <f t="array" ref="K59">Base_Stress[[#This Row],[Revenue Per Loan]]-Base_Stress[[#This Row],[Funding Cost]]-Base_Stress[[#This Row],[ECL]]-Fixed_Cost[Fixed Cost]</f>
        <v>3.1745833333333335</v>
      </c>
      <c r="L59" s="10" cm="1">
        <f t="array" ref="L59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8.7146658485749109E-2</v>
      </c>
      <c r="M59" s="10" cm="1">
        <f t="array" ref="M59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0.40993978556160288</v>
      </c>
      <c r="N59" s="10">
        <f>Base_Stress[[#This Row],[Loan Count(in M)]]/Base_Stress[[#This Row],[User Count(in M)]]</f>
        <v>4.7040218487394947</v>
      </c>
      <c r="O59" s="98">
        <f>Base_Stress[[#This Row],[Revenue Per Loan]]*Base_Stress[[#This Row],[Avg Loan Per User]]</f>
        <v>45.472211204481781</v>
      </c>
      <c r="P59" s="98">
        <f>Base_Stress[[#This Row],[CM Per Loan]]*Base_Stress[[#This Row],[Avg Loan Per User]]</f>
        <v>14.933309360644255</v>
      </c>
      <c r="Q59" s="98">
        <f>Base_Stress[[#This Row],[CM Per User]]*Base_Stress[[#This Row],[User Count(in M)]]</f>
        <v>1.3013880109141054</v>
      </c>
      <c r="R59" s="124">
        <f>Base_Stress[[#This Row],[CM Per Segment]]/SUM(Base_Stress[CM Per Segment])</f>
        <v>3.1415881896536685E-3</v>
      </c>
      <c r="S59" s="10"/>
      <c r="U59" s="73">
        <v>57</v>
      </c>
      <c r="V59" s="73" t="s">
        <v>51</v>
      </c>
      <c r="W59" s="73" t="s">
        <v>37</v>
      </c>
      <c r="X59" s="73" t="s">
        <v>83</v>
      </c>
      <c r="Y59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1.4587430000000002E-2</v>
      </c>
      <c r="Z59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0.61875000000000002</v>
      </c>
      <c r="AA59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172.53066666666663</v>
      </c>
      <c r="AB59" s="101">
        <f>Adverse_Stress[[#This Row],[ATS]]*INDEX(Portfolio_Stresser[[Base]:[Severely Adverse]],MATCH("MDR",Portfolio_Stresser[Scenario],0),MATCH("Adverse",Portfolio_Stresser[[#Headers],[Base]:[Severely Adverse]],0))</f>
        <v>8.1952066666666656</v>
      </c>
      <c r="AC59" s="101" cm="1">
        <f t="array" ref="AC59">Adverse_Stress[[#This Row],[ATS]]*INDEX(Portfolio_Stresser[[Base]:[Severely Adverse]],MATCH("Funding Rate",Portfolio_Stresser[Scenario],0),MATCH("Adverse",Portfolio_Stresser[[#Headers],[Base]:[Severely Adverse]],0))*Dynamic_Row_Table[Tenure (in months)]/12</f>
        <v>2.4262124999999997</v>
      </c>
      <c r="AD59" s="101">
        <f>Adverse_Stress[[#This Row],[PD]]*Adverse_Stress[[#This Row],[ATS]]*Adverse_Stress[[#This Row],[EAD]]</f>
        <v>1.5572570203904998</v>
      </c>
      <c r="AE59" s="101" cm="1">
        <f t="array" ref="AE59">Adverse_Stress[[#This Row],[Revenue Per Loan]]-Adverse_Stress[[#This Row],[Funding Cost]]-Adverse_Stress[[#This Row],[ECL]]-Fixed_Cost[Fixed Cost]</f>
        <v>1.2117371462761657</v>
      </c>
      <c r="AF59" s="72">
        <f>Base_Stress[[#This Row],[User Count(in M)]]</f>
        <v>8.7146658485749109E-2</v>
      </c>
      <c r="AG59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0.36156689086533372</v>
      </c>
      <c r="AH59" s="72">
        <f>Adverse_Stress[[#This Row],[Loan Count(in M)]]/Adverse_Stress[[#This Row],[User Count(in M)]]</f>
        <v>4.1489472705882342</v>
      </c>
      <c r="AI59" s="101">
        <f>Adverse_Stress[[#This Row],[Revenue Per Loan]]*Adverse_Stress[[#This Row],[Avg Loan Per User]]</f>
        <v>34.001480331573163</v>
      </c>
      <c r="AJ59" s="101">
        <f>Adverse_Stress[[#This Row],[CM Per Loan]]*Adverse_Stress[[#This Row],[Avg Loan Per User]]</f>
        <v>5.0274335257128735</v>
      </c>
      <c r="AK59" s="101">
        <f>Adverse_Stress[[#This Row],[CM Per User]]*Adverse_Stress[[#This Row],[User Count(in M)]]</f>
        <v>0.43812403252510534</v>
      </c>
      <c r="AL59" s="145">
        <f>(Base_Stress[[#This Row],[CM Per Segment]]-Adverse_Stress[[#This Row],[CM Per Segment]])/($B$68-$B$69)</f>
        <v>1.637063706489482E-3</v>
      </c>
      <c r="AN59" s="73">
        <v>57</v>
      </c>
      <c r="AO59" s="73" t="s">
        <v>51</v>
      </c>
      <c r="AP59" s="73" t="s">
        <v>37</v>
      </c>
      <c r="AQ59" s="73" t="s">
        <v>83</v>
      </c>
      <c r="AR59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1.9819800000000002E-2</v>
      </c>
      <c r="AS59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0.65812499999999996</v>
      </c>
      <c r="AT59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157.95333333333329</v>
      </c>
      <c r="AU59" s="101">
        <f>Severely_Adverse_Stress[[#This Row],[ATS]]*INDEX(Portfolio_Stresser[[Base]:[Severely Adverse]],MATCH("MDR",Portfolio_Stresser[Scenario],0),MATCH("Severely Adverse",Portfolio_Stresser[[#Headers],[Base]:[Severely Adverse]],0))</f>
        <v>7.1078999999999981</v>
      </c>
      <c r="AV59" s="72" cm="1">
        <f t="array" ref="AV59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2.5667416666666663</v>
      </c>
      <c r="AW59" s="72">
        <f>Severely_Adverse_Stress[[#This Row],[PD]]*Severely_Adverse_Stress[[#This Row],[ATS]]*Severely_Adverse_Stress[[#This Row],[EAD]]</f>
        <v>2.0603284126424994</v>
      </c>
      <c r="AX59" s="101" cm="1">
        <f t="array" ref="AX59">Severely_Adverse_Stress[[#This Row],[Revenue Per Loan]]-Severely_Adverse_Stress[[#This Row],[Funding Cost]]-Severely_Adverse_Stress[[#This Row],[ECL]]-Fixed_Cost[Fixed Cost]</f>
        <v>-0.51917007930916759</v>
      </c>
      <c r="AY59" s="72">
        <f>Base_Stress[[#This Row],[User Count(in M)]]</f>
        <v>8.7146658485749109E-2</v>
      </c>
      <c r="AZ59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0.32434435833634018</v>
      </c>
      <c r="BA59" s="72">
        <f>Severely_Adverse_Stress[[#This Row],[Loan Count(in M)]]/Severely_Adverse_Stress[[#This Row],[User Count(in M)]]</f>
        <v>3.7218220867226877</v>
      </c>
      <c r="BB59" s="101">
        <f>Severely_Adverse_Stress[[#This Row],[Revenue Per Loan]]*Severely_Adverse_Stress[[#This Row],[Avg Loan Per User]]</f>
        <v>26.454339210216183</v>
      </c>
      <c r="BC59" s="101">
        <f>Severely_Adverse_Stress[[#This Row],[CM Per Loan]]*Severely_Adverse_Stress[[#This Row],[Avg Loan Per User]]</f>
        <v>-1.9322586679384293</v>
      </c>
      <c r="BD59" s="101">
        <f>Severely_Adverse_Stress[[#This Row],[CM Per User]]*Severely_Adverse_Stress[[#This Row],[User Count(in M)]]</f>
        <v>-0.1683898862409588</v>
      </c>
      <c r="BE59" s="101"/>
    </row>
    <row r="60" spans="1:57" x14ac:dyDescent="0.2">
      <c r="A60">
        <v>58</v>
      </c>
      <c r="B60" t="s">
        <v>51</v>
      </c>
      <c r="C60" s="9" t="s">
        <v>37</v>
      </c>
      <c r="D60" t="s">
        <v>60</v>
      </c>
      <c r="E60" s="65" cm="1">
        <f t="array" ref="E60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60" s="64">
        <f>VLOOKUP(Base_Stress[[#This Row],[Credit Category]],
  EAD_Table[#All],
  MATCH("EAD",EAD_Table[#Headers],0),
  FALSE)</f>
        <v>0.51749999999999996</v>
      </c>
      <c r="G60" s="98" cm="1">
        <f t="array" ref="G60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281.9444444444444</v>
      </c>
      <c r="H60" s="98">
        <f>Base_Stress[[#This Row],[ATS]]*INDEX(Portfolio_Stresser[[Base]:[Severely Adverse]],MATCH("MDR",Portfolio_Stresser[Scenario],0),MATCH("Base",Portfolio_Stresser[[#Headers],[Base]:[Severely Adverse]],0))</f>
        <v>14.097222222222221</v>
      </c>
      <c r="I60" s="98" cm="1">
        <f t="array" ref="I60">Base_Stress[[#This Row],[ATS]]*INDEX(Portfolio_Stresser[[Base]:[Severely Adverse]],MATCH("Funding Rate",Portfolio_Stresser[Scenario],0),MATCH("Base",Portfolio_Stresser[[#Headers],[Base]:[Severely Adverse]],0))*Dynamic_Row_Table[Tenure (in months)]/12</f>
        <v>3.3480902777777772</v>
      </c>
      <c r="J60" s="98">
        <f>Base_Stress[[#This Row],[PD]]*Base_Stress[[#This Row],[ATS]]*Base_Stress[[#This Row],[EAD]]</f>
        <v>1.1672499999999997</v>
      </c>
      <c r="K60" s="98" cm="1">
        <f t="array" ref="K60">Base_Stress[[#This Row],[Revenue Per Loan]]-Base_Stress[[#This Row],[Funding Cost]]-Base_Stress[[#This Row],[ECL]]-Fixed_Cost[Fixed Cost]</f>
        <v>6.5818819444444454</v>
      </c>
      <c r="L60" s="10" cm="1">
        <f t="array" ref="L60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0.16873963174816381</v>
      </c>
      <c r="M60" s="10" cm="1">
        <f t="array" ref="M60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0.81572189896830472</v>
      </c>
      <c r="N60" s="10">
        <f>Base_Stress[[#This Row],[Loan Count(in M)]]/Base_Stress[[#This Row],[User Count(in M)]]</f>
        <v>4.8342045701849843</v>
      </c>
      <c r="O60" s="98">
        <f>Base_Stress[[#This Row],[Revenue Per Loan]]*Base_Stress[[#This Row],[Avg Loan Per User]]</f>
        <v>68.14885609357998</v>
      </c>
      <c r="P60" s="98">
        <f>Base_Stress[[#This Row],[CM Per Loan]]*Base_Stress[[#This Row],[Avg Loan Per User]]</f>
        <v>31.818163776251367</v>
      </c>
      <c r="Q60" s="98">
        <f>Base_Stress[[#This Row],[CM Per User]]*Base_Stress[[#This Row],[User Count(in M)]]</f>
        <v>5.3689852385074213</v>
      </c>
      <c r="R60" s="124">
        <f>Base_Stress[[#This Row],[CM Per Segment]]/SUM(Base_Stress[CM Per Segment])</f>
        <v>1.2960885204307502E-2</v>
      </c>
      <c r="S60" s="10"/>
      <c r="U60" s="74">
        <v>58</v>
      </c>
      <c r="V60" s="74" t="s">
        <v>51</v>
      </c>
      <c r="W60" s="74" t="s">
        <v>37</v>
      </c>
      <c r="X60" s="74" t="s">
        <v>60</v>
      </c>
      <c r="Y60" s="128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9.6297440000000008E-3</v>
      </c>
      <c r="Z60" s="129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0.55372500000000002</v>
      </c>
      <c r="AA60" s="134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251.60722222222222</v>
      </c>
      <c r="AB60" s="134">
        <f>Adverse_Stress[[#This Row],[ATS]]*INDEX(Portfolio_Stresser[[Base]:[Severely Adverse]],MATCH("MDR",Portfolio_Stresser[Scenario],0),MATCH("Adverse",Portfolio_Stresser[[#Headers],[Base]:[Severely Adverse]],0))</f>
        <v>11.951343055555556</v>
      </c>
      <c r="AC60" s="134" cm="1">
        <f t="array" ref="AC60">Adverse_Stress[[#This Row],[ATS]]*INDEX(Portfolio_Stresser[[Base]:[Severely Adverse]],MATCH("Funding Rate",Portfolio_Stresser[Scenario],0),MATCH("Adverse",Portfolio_Stresser[[#Headers],[Base]:[Severely Adverse]],0))*Dynamic_Row_Table[Tenure (in months)]/12</f>
        <v>3.5382265625000002</v>
      </c>
      <c r="AD60" s="134">
        <f>Adverse_Stress[[#This Row],[PD]]*Adverse_Stress[[#This Row],[ATS]]*Adverse_Stress[[#This Row],[EAD]]</f>
        <v>1.3416275776442141</v>
      </c>
      <c r="AE60" s="134" cm="1">
        <f t="array" ref="AE60">Adverse_Stress[[#This Row],[Revenue Per Loan]]-Adverse_Stress[[#This Row],[Funding Cost]]-Adverse_Stress[[#This Row],[ECL]]-Fixed_Cost[Fixed Cost]</f>
        <v>4.0714889154113418</v>
      </c>
      <c r="AF60" s="130">
        <f>Base_Stress[[#This Row],[User Count(in M)]]</f>
        <v>0.16873963174816381</v>
      </c>
      <c r="AG60" s="130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0.71946671489004477</v>
      </c>
      <c r="AH60" s="130">
        <f>Adverse_Stress[[#This Row],[Loan Count(in M)]]/Adverse_Stress[[#This Row],[User Count(in M)]]</f>
        <v>4.2637684309031556</v>
      </c>
      <c r="AI60" s="134">
        <f>Adverse_Stress[[#This Row],[Revenue Per Loan]]*Adverse_Stress[[#This Row],[Avg Loan Per User]]</f>
        <v>50.957759227171437</v>
      </c>
      <c r="AJ60" s="134">
        <f>Adverse_Stress[[#This Row],[CM Per Loan]]*Adverse_Stress[[#This Row],[Avg Loan Per User]]</f>
        <v>17.359885904303006</v>
      </c>
      <c r="AK60" s="134">
        <f>Adverse_Stress[[#This Row],[CM Per User]]*Adverse_Stress[[#This Row],[User Count(in M)]]</f>
        <v>2.9293007546822287</v>
      </c>
      <c r="AL60" s="144">
        <f>(Base_Stress[[#This Row],[CM Per Segment]]-Adverse_Stress[[#This Row],[CM Per Segment]])/($B$68-$B$69)</f>
        <v>4.6265325830102313E-3</v>
      </c>
      <c r="AN60" s="74">
        <v>58</v>
      </c>
      <c r="AO60" s="74" t="s">
        <v>51</v>
      </c>
      <c r="AP60" s="74" t="s">
        <v>37</v>
      </c>
      <c r="AQ60" s="74" t="s">
        <v>60</v>
      </c>
      <c r="AR60" s="128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1.26672E-2</v>
      </c>
      <c r="AS60" s="129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0.58994999999999986</v>
      </c>
      <c r="AT60" s="130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230.34861111111107</v>
      </c>
      <c r="AU60" s="134">
        <f>Severely_Adverse_Stress[[#This Row],[ATS]]*INDEX(Portfolio_Stresser[[Base]:[Severely Adverse]],MATCH("MDR",Portfolio_Stresser[Scenario],0),MATCH("Severely Adverse",Portfolio_Stresser[[#Headers],[Base]:[Severely Adverse]],0))</f>
        <v>10.365687499999998</v>
      </c>
      <c r="AV60" s="130" cm="1">
        <f t="array" ref="AV60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3.743164930555555</v>
      </c>
      <c r="AW60" s="130">
        <f>Severely_Adverse_Stress[[#This Row],[PD]]*Severely_Adverse_Stress[[#This Row],[ATS]]*Severely_Adverse_Stress[[#This Row],[EAD]]</f>
        <v>1.7213985431369991</v>
      </c>
      <c r="AX60" s="134" cm="1">
        <f t="array" ref="AX60">Severely_Adverse_Stress[[#This Row],[Revenue Per Loan]]-Severely_Adverse_Stress[[#This Row],[Funding Cost]]-Severely_Adverse_Stress[[#This Row],[ECL]]-Fixed_Cost[Fixed Cost]</f>
        <v>1.9011240263074445</v>
      </c>
      <c r="AY60" s="130">
        <f>Base_Stress[[#This Row],[User Count(in M)]]</f>
        <v>0.16873963174816381</v>
      </c>
      <c r="AZ60" s="130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0.64539916646372275</v>
      </c>
      <c r="BA60" s="130">
        <f>Severely_Adverse_Stress[[#This Row],[Loan Count(in M)]]/Severely_Adverse_Stress[[#This Row],[User Count(in M)]]</f>
        <v>3.8248226559303595</v>
      </c>
      <c r="BB60" s="134">
        <f>Severely_Adverse_Stress[[#This Row],[Revenue Per Loan]]*Severely_Adverse_Stress[[#This Row],[Avg Loan Per User]]</f>
        <v>39.646916394294124</v>
      </c>
      <c r="BC60" s="134">
        <f>Severely_Adverse_Stress[[#This Row],[CM Per Loan]]*Severely_Adverse_Stress[[#This Row],[Avg Loan Per User]]</f>
        <v>7.2714622475542585</v>
      </c>
      <c r="BD60" s="134">
        <f>Severely_Adverse_Stress[[#This Row],[CM Per User]]*Severely_Adverse_Stress[[#This Row],[User Count(in M)]]</f>
        <v>1.2269838619229811</v>
      </c>
      <c r="BE60" s="134"/>
    </row>
    <row r="61" spans="1:57" x14ac:dyDescent="0.2">
      <c r="A61">
        <v>59</v>
      </c>
      <c r="B61" t="s">
        <v>51</v>
      </c>
      <c r="C61" s="9" t="s">
        <v>37</v>
      </c>
      <c r="D61" t="s">
        <v>61</v>
      </c>
      <c r="E61" s="65" cm="1">
        <f t="array" ref="E61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7.0000000000000001E-3</v>
      </c>
      <c r="F61" s="64">
        <f>VLOOKUP(Base_Stress[[#This Row],[Credit Category]],
  EAD_Table[#All],
  MATCH("EAD",EAD_Table[#Headers],0),
  FALSE)</f>
        <v>0.48749999999999999</v>
      </c>
      <c r="G61" s="98" cm="1">
        <f t="array" ref="G61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365.95238095238091</v>
      </c>
      <c r="H61" s="98">
        <f>Base_Stress[[#This Row],[ATS]]*INDEX(Portfolio_Stresser[[Base]:[Severely Adverse]],MATCH("MDR",Portfolio_Stresser[Scenario],0),MATCH("Base",Portfolio_Stresser[[#Headers],[Base]:[Severely Adverse]],0))</f>
        <v>18.297619047619047</v>
      </c>
      <c r="I61" s="98" cm="1">
        <f t="array" ref="I61">Base_Stress[[#This Row],[ATS]]*INDEX(Portfolio_Stresser[[Base]:[Severely Adverse]],MATCH("Funding Rate",Portfolio_Stresser[Scenario],0),MATCH("Base",Portfolio_Stresser[[#Headers],[Base]:[Severely Adverse]],0))*Dynamic_Row_Table[Tenure (in months)]/12</f>
        <v>4.3456845238095232</v>
      </c>
      <c r="J61" s="98">
        <f>Base_Stress[[#This Row],[PD]]*Base_Stress[[#This Row],[ATS]]*Base_Stress[[#This Row],[EAD]]</f>
        <v>1.2488124999999999</v>
      </c>
      <c r="K61" s="98" cm="1">
        <f t="array" ref="K61">Base_Stress[[#This Row],[Revenue Per Loan]]-Base_Stress[[#This Row],[Funding Cost]]-Base_Stress[[#This Row],[ECL]]-Fixed_Cost[Fixed Cost]</f>
        <v>9.7031220238095237</v>
      </c>
      <c r="L61" s="10" cm="1">
        <f t="array" ref="L61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0.35389092965810415</v>
      </c>
      <c r="M61" s="10" cm="1">
        <f t="array" ref="M61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1.5957059521131658</v>
      </c>
      <c r="N61" s="10">
        <f>Base_Stress[[#This Row],[Loan Count(in M)]]/Base_Stress[[#This Row],[User Count(in M)]]</f>
        <v>4.5090332031250009</v>
      </c>
      <c r="O61" s="98">
        <f>Base_Stress[[#This Row],[Revenue Per Loan]]*Base_Stress[[#This Row],[Avg Loan Per User]]</f>
        <v>82.504571823846746</v>
      </c>
      <c r="P61" s="98">
        <f>Base_Stress[[#This Row],[CM Per Loan]]*Base_Stress[[#This Row],[Avg Loan Per User]]</f>
        <v>43.751699379330596</v>
      </c>
      <c r="Q61" s="98">
        <f>Base_Stress[[#This Row],[CM Per User]]*Base_Stress[[#This Row],[User Count(in M)]]</f>
        <v>15.483329567473202</v>
      </c>
      <c r="R61" s="124">
        <f>Base_Stress[[#This Row],[CM Per Segment]]/SUM(Base_Stress[CM Per Segment])</f>
        <v>3.7377204106500528E-2</v>
      </c>
      <c r="S61" s="10"/>
      <c r="U61" s="73">
        <v>59</v>
      </c>
      <c r="V61" s="73" t="s">
        <v>51</v>
      </c>
      <c r="W61" s="73" t="s">
        <v>37</v>
      </c>
      <c r="X61" s="73" t="s">
        <v>61</v>
      </c>
      <c r="Y61" s="126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7.8547700000000005E-3</v>
      </c>
      <c r="Z61" s="127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0.50700000000000001</v>
      </c>
      <c r="AA61" s="101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326.57590476190472</v>
      </c>
      <c r="AB61" s="101">
        <f>Adverse_Stress[[#This Row],[ATS]]*INDEX(Portfolio_Stresser[[Base]:[Severely Adverse]],MATCH("MDR",Portfolio_Stresser[Scenario],0),MATCH("Adverse",Portfolio_Stresser[[#Headers],[Base]:[Severely Adverse]],0))</f>
        <v>15.512355476190475</v>
      </c>
      <c r="AC61" s="101" cm="1">
        <f t="array" ref="AC61">Adverse_Stress[[#This Row],[ATS]]*INDEX(Portfolio_Stresser[[Base]:[Severely Adverse]],MATCH("Funding Rate",Portfolio_Stresser[Scenario],0),MATCH("Adverse",Portfolio_Stresser[[#Headers],[Base]:[Severely Adverse]],0))*Dynamic_Row_Table[Tenure (in months)]/12</f>
        <v>4.5924736607142851</v>
      </c>
      <c r="AD61" s="101">
        <f>Adverse_Stress[[#This Row],[PD]]*Adverse_Stress[[#This Row],[ATS]]*Adverse_Stress[[#This Row],[EAD]]</f>
        <v>1.3005455600594598</v>
      </c>
      <c r="AE61" s="101" cm="1">
        <f t="array" ref="AE61">Adverse_Stress[[#This Row],[Revenue Per Loan]]-Adverse_Stress[[#This Row],[Funding Cost]]-Adverse_Stress[[#This Row],[ECL]]-Fixed_Cost[Fixed Cost]</f>
        <v>6.6193362554167301</v>
      </c>
      <c r="AF61" s="72">
        <f>Base_Stress[[#This Row],[User Count(in M)]]</f>
        <v>0.35389092965810415</v>
      </c>
      <c r="AG61" s="72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1.4074126497638124</v>
      </c>
      <c r="AH61" s="72">
        <f>Adverse_Stress[[#This Row],[Loan Count(in M)]]/Adverse_Stress[[#This Row],[User Count(in M)]]</f>
        <v>3.9769672851562516</v>
      </c>
      <c r="AI61" s="101">
        <f>Adverse_Stress[[#This Row],[Revenue Per Loan]]*Adverse_Stress[[#This Row],[Avg Loan Per User]]</f>
        <v>61.692130244523945</v>
      </c>
      <c r="AJ61" s="101">
        <f>Adverse_Stress[[#This Row],[CM Per Loan]]*Adverse_Stress[[#This Row],[Avg Loan Per User]]</f>
        <v>26.32488373724102</v>
      </c>
      <c r="AK61" s="101">
        <f>Adverse_Stress[[#This Row],[CM Per User]]*Adverse_Stress[[#This Row],[User Count(in M)]]</f>
        <v>9.3161375789137324</v>
      </c>
      <c r="AL61" s="145">
        <f>(Base_Stress[[#This Row],[CM Per Segment]]-Adverse_Stress[[#This Row],[CM Per Segment]])/($B$68-$B$69)</f>
        <v>1.1695247836315896E-2</v>
      </c>
      <c r="AN61" s="73">
        <v>59</v>
      </c>
      <c r="AO61" s="73" t="s">
        <v>51</v>
      </c>
      <c r="AP61" s="73" t="s">
        <v>37</v>
      </c>
      <c r="AQ61" s="73" t="s">
        <v>61</v>
      </c>
      <c r="AR61" s="126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9.7843200000000009E-3</v>
      </c>
      <c r="AS61" s="127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0.53625</v>
      </c>
      <c r="AT61" s="72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298.98309523809519</v>
      </c>
      <c r="AU61" s="101">
        <f>Severely_Adverse_Stress[[#This Row],[ATS]]*INDEX(Portfolio_Stresser[[Base]:[Severely Adverse]],MATCH("MDR",Portfolio_Stresser[Scenario],0),MATCH("Severely Adverse",Portfolio_Stresser[[#Headers],[Base]:[Severely Adverse]],0))</f>
        <v>13.454239285714284</v>
      </c>
      <c r="AV61" s="72" cm="1">
        <f t="array" ref="AV61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4.8584752976190471</v>
      </c>
      <c r="AW61" s="72">
        <f>Severely_Adverse_Stress[[#This Row],[PD]]*Severely_Adverse_Stress[[#This Row],[ATS]]*Severely_Adverse_Stress[[#This Row],[EAD]]</f>
        <v>1.5687169417919999</v>
      </c>
      <c r="AX61" s="101" cm="1">
        <f t="array" ref="AX61">Severely_Adverse_Stress[[#This Row],[Revenue Per Loan]]-Severely_Adverse_Stress[[#This Row],[Funding Cost]]-Severely_Adverse_Stress[[#This Row],[ECL]]-Fixed_Cost[Fixed Cost]</f>
        <v>4.0270470463032355</v>
      </c>
      <c r="AY61" s="72">
        <f>Base_Stress[[#This Row],[User Count(in M)]]</f>
        <v>0.35389092965810415</v>
      </c>
      <c r="AZ61" s="72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1.2625225493119367</v>
      </c>
      <c r="BA61" s="72">
        <f>Severely_Adverse_Stress[[#This Row],[Loan Count(in M)]]/Severely_Adverse_Stress[[#This Row],[User Count(in M)]]</f>
        <v>3.567547070312501</v>
      </c>
      <c r="BB61" s="101">
        <f>Severely_Adverse_Stress[[#This Row],[Revenue Per Loan]]*Severely_Adverse_Stress[[#This Row],[Avg Loan Per User]]</f>
        <v>47.998631947033346</v>
      </c>
      <c r="BC61" s="101">
        <f>Severely_Adverse_Stress[[#This Row],[CM Per Loan]]*Severely_Adverse_Stress[[#This Row],[Avg Loan Per User]]</f>
        <v>14.366679892049719</v>
      </c>
      <c r="BD61" s="101">
        <f>Severely_Adverse_Stress[[#This Row],[CM Per User]]*Severely_Adverse_Stress[[#This Row],[User Count(in M)]]</f>
        <v>5.084237703097866</v>
      </c>
      <c r="BE61" s="101"/>
    </row>
    <row r="62" spans="1:57" x14ac:dyDescent="0.2">
      <c r="A62">
        <v>60</v>
      </c>
      <c r="B62" t="s">
        <v>51</v>
      </c>
      <c r="C62" s="9" t="s">
        <v>37</v>
      </c>
      <c r="D62" t="s">
        <v>62</v>
      </c>
      <c r="E62" s="65" cm="1">
        <f t="array" ref="E62">INDEX(Portfolio_Default[],
  MATCH(Base_Stress[[#This Row],[Age]]&amp;Base_Stress[[#This Row],[Income]],
    Portfolio_Default[Generation]&amp;Portfolio_Default[Income Bracket],0),
  MATCH(Base_Stress[[#This Row],[Credit Category]],
    Portfolio_Default[[#Headers],[Deep Subprime]:[Super Prime]],0)+2)</f>
        <v>8.0000000000000002E-3</v>
      </c>
      <c r="F62" s="64">
        <f>VLOOKUP(Base_Stress[[#This Row],[Credit Category]],
  EAD_Table[#All],
  MATCH("EAD",EAD_Table[#Headers],0),
  FALSE)</f>
        <v>0.4425</v>
      </c>
      <c r="G62" s="98" cm="1">
        <f t="array" ref="G62">INDEX(ATS_Table[],
  MATCH(Base_Stress[[#This Row],[Age]]&amp;Base_Stress[[#This Row],[Income]],
    ATS_Table[Generation]&amp;ATS_Table[Income Bracket],0),
  MATCH(Base_Stress[[#This Row],[Credit Category]],
    ATS_Table[[#Headers],[Deep Subprime]:[Super Prime]],0)+2)</f>
        <v>431.54761904761904</v>
      </c>
      <c r="H62" s="98">
        <f>Base_Stress[[#This Row],[ATS]]*INDEX(Portfolio_Stresser[[Base]:[Severely Adverse]],MATCH("MDR",Portfolio_Stresser[Scenario],0),MATCH("Base",Portfolio_Stresser[[#Headers],[Base]:[Severely Adverse]],0))</f>
        <v>21.577380952380953</v>
      </c>
      <c r="I62" s="98" cm="1">
        <f t="array" ref="I62">Base_Stress[[#This Row],[ATS]]*INDEX(Portfolio_Stresser[[Base]:[Severely Adverse]],MATCH("Funding Rate",Portfolio_Stresser[Scenario],0),MATCH("Base",Portfolio_Stresser[[#Headers],[Base]:[Severely Adverse]],0))*Dynamic_Row_Table[Tenure (in months)]/12</f>
        <v>5.1246279761904763</v>
      </c>
      <c r="J62" s="98">
        <f>Base_Stress[[#This Row],[PD]]*Base_Stress[[#This Row],[ATS]]*Base_Stress[[#This Row],[EAD]]</f>
        <v>1.5276785714285714</v>
      </c>
      <c r="K62" s="98" cm="1">
        <f t="array" ref="K62">Base_Stress[[#This Row],[Revenue Per Loan]]-Base_Stress[[#This Row],[Funding Cost]]-Base_Stress[[#This Row],[ECL]]-Fixed_Cost[Fixed Cost]</f>
        <v>11.925074404761903</v>
      </c>
      <c r="L62" s="10" cm="1">
        <f t="array" ref="L62">INDEX(Portfolio_Num[],
  MATCH(Base_Stress[[#This Row],[Age]]&amp;Base_Stress[[#This Row],[Income]],
    Portfolio_Num[Generation]&amp;Portfolio_Num[Income Bracket],0),
  MATCH(Base_Stress[[#This Row],[Credit Category]],
    Portfolio_Num[[#Headers],[Deep Subprime]:[Super Prime]],0)+2)</f>
        <v>0.51639153609299915</v>
      </c>
      <c r="M62" s="10" cm="1">
        <f t="array" ref="M62">INDEX(Portfolio_Loans[],
  MATCH(Base_Stress[[#This Row],[Age]]&amp;Base_Stress[[#This Row],[Income]],
    Portfolio_Loans[Generation]&amp;Portfolio_Loans[Income Bracket],0),
  MATCH(Base_Stress[[#This Row],[Credit Category]],
    Portfolio_Loans[[#Headers],[Deep Subprime]:[Super Prime]],0)+2)</f>
        <v>1.9925727924046983</v>
      </c>
      <c r="N62" s="10">
        <f>Base_Stress[[#This Row],[Loan Count(in M)]]/Base_Stress[[#This Row],[User Count(in M)]]</f>
        <v>3.8586472727272731</v>
      </c>
      <c r="O62" s="98">
        <f>Base_Stress[[#This Row],[Revenue Per Loan]]*Base_Stress[[#This Row],[Avg Loan Per User]]</f>
        <v>83.25950216450218</v>
      </c>
      <c r="P62" s="98">
        <f>Base_Stress[[#This Row],[CM Per Loan]]*Base_Stress[[#This Row],[Avg Loan Per User]]</f>
        <v>46.014655829004326</v>
      </c>
      <c r="Q62" s="98">
        <f>Base_Stress[[#This Row],[CM Per User]]*Base_Stress[[#This Row],[User Count(in M)]]</f>
        <v>23.76157880633022</v>
      </c>
      <c r="R62" s="124">
        <f>Base_Stress[[#This Row],[CM Per Segment]]/SUM(Base_Stress[CM Per Segment])</f>
        <v>5.7361136509208967E-2</v>
      </c>
      <c r="S62" s="10"/>
      <c r="U62" s="103">
        <v>60</v>
      </c>
      <c r="V62" s="103" t="s">
        <v>51</v>
      </c>
      <c r="W62" s="103" t="s">
        <v>37</v>
      </c>
      <c r="X62" s="103" t="s">
        <v>62</v>
      </c>
      <c r="Y62" s="131">
        <f>INDEX(Base_Stress[],MATCH(Adverse_Stress[[#This Row],[Segment]],Base_Stress[Segment],0),MATCH("PD",Base_Stress[#Headers],0))
*VLOOKUP(Adverse_Stress[[#This Row],[Credit Category]],Credit_Category_Stresser[],MATCH("PD Adv",Credit_Category_Stresser[#Headers],0),FALSE)
*VLOOKUP(Adverse_Stress[[#This Row],[Age]],Age_Stresser[],MATCH("PD Adv",Age_Stresser[#Headers],0),FALSE)
*VLOOKUP(Adverse_Stress[[#This Row],[Income]],Income_Stresser[],MATCH("PD Adv",Income_Stresser[#Headers],0),FALSE)</f>
        <v>8.5688400000000029E-3</v>
      </c>
      <c r="Z62" s="132">
        <f>MIN(
  INDEX(Base_Stress[],MATCH(Adverse_Stress[[#This Row],[Segment]],Base_Stress[Segment],0),MATCH("EAD",Base_Stress[#Headers],0))
  *VLOOKUP(Adverse_Stress[[#This Row],[Credit Category]],Credit_Category_Stresser[],MATCH("EAD Adv",Credit_Category_Stresser[#Headers],0),FALSE),
  0.75)</f>
        <v>0.45135000000000003</v>
      </c>
      <c r="AA62" s="135">
        <f>INDEX(Base_Stress[],MATCH(Adverse_Stress[[#This Row],[Segment]],Base_Stress[Segment],0),MATCH("ATS",Base_Stress[#Headers],0))
*VLOOKUP(Adverse_Stress[[#This Row],[Age]],Age_Stresser[],MATCH("ATS Adv",Age_Stresser[#Headers],0),FALSE)
*VLOOKUP(Adverse_Stress[[#This Row],[Income]],Income_Stresser[],MATCH("ATS Adv",Income_Stresser[#Headers],0),FALSE)</f>
        <v>385.11309523809524</v>
      </c>
      <c r="AB62" s="135">
        <f>Adverse_Stress[[#This Row],[ATS]]*INDEX(Portfolio_Stresser[[Base]:[Severely Adverse]],MATCH("MDR",Portfolio_Stresser[Scenario],0),MATCH("Adverse",Portfolio_Stresser[[#Headers],[Base]:[Severely Adverse]],0))</f>
        <v>18.292872023809526</v>
      </c>
      <c r="AC62" s="135" cm="1">
        <f t="array" ref="AC62">Adverse_Stress[[#This Row],[ATS]]*INDEX(Portfolio_Stresser[[Base]:[Severely Adverse]],MATCH("Funding Rate",Portfolio_Stresser[Scenario],0),MATCH("Adverse",Portfolio_Stresser[[#Headers],[Base]:[Severely Adverse]],0))*Dynamic_Row_Table[Tenure (in months)]/12</f>
        <v>5.4156529017857151</v>
      </c>
      <c r="AD62" s="135">
        <f>Adverse_Stress[[#This Row],[PD]]*Adverse_Stress[[#This Row],[ATS]]*Adverse_Stress[[#This Row],[EAD]]</f>
        <v>1.4894425856182507</v>
      </c>
      <c r="AE62" s="135" cm="1">
        <f t="array" ref="AE62">Adverse_Stress[[#This Row],[Revenue Per Loan]]-Adverse_Stress[[#This Row],[Funding Cost]]-Adverse_Stress[[#This Row],[ECL]]-Fixed_Cost[Fixed Cost]</f>
        <v>8.3877765364055588</v>
      </c>
      <c r="AF62" s="133">
        <f>Base_Stress[[#This Row],[User Count(in M)]]</f>
        <v>0.51639153609299915</v>
      </c>
      <c r="AG62" s="133">
        <f>INDEX(Base_Stress[],MATCH(Adverse_Stress[[#This Row],[Segment]],Base_Stress[Segment],0),MATCH("Loan Count(in M)",Base_Stress[#Headers],0))
*VLOOKUP(Adverse_Stress[[#This Row],[Age]],Age_Stresser[],MATCH("LC Adv",Age_Stresser[#Headers],0),FALSE)
*VLOOKUP(Adverse_Stress[[#This Row],[Income]],Income_Stresser[],MATCH("LC Adv",Income_Stresser[#Headers],0),FALSE)</f>
        <v>1.7574492029009439</v>
      </c>
      <c r="AH62" s="133">
        <f>Adverse_Stress[[#This Row],[Loan Count(in M)]]/Adverse_Stress[[#This Row],[User Count(in M)]]</f>
        <v>3.4033268945454549</v>
      </c>
      <c r="AI62" s="135">
        <f>Adverse_Stress[[#This Row],[Revenue Per Loan]]*Adverse_Stress[[#This Row],[Avg Loan Per User]]</f>
        <v>62.256623337109104</v>
      </c>
      <c r="AJ62" s="135">
        <f>Adverse_Stress[[#This Row],[CM Per Loan]]*Adverse_Stress[[#This Row],[Avg Loan Per User]]</f>
        <v>28.546345471786363</v>
      </c>
      <c r="AK62" s="135">
        <f>Adverse_Stress[[#This Row],[CM Per User]]*Adverse_Stress[[#This Row],[User Count(in M)]]</f>
        <v>14.74109118801719</v>
      </c>
      <c r="AL62" s="146">
        <f>(Base_Stress[[#This Row],[CM Per Segment]]-Adverse_Stress[[#This Row],[CM Per Segment]])/($B$68-$B$69)</f>
        <v>1.7106138173790128E-2</v>
      </c>
      <c r="AN62" s="103">
        <v>60</v>
      </c>
      <c r="AO62" s="103" t="s">
        <v>51</v>
      </c>
      <c r="AP62" s="103" t="s">
        <v>37</v>
      </c>
      <c r="AQ62" s="103" t="s">
        <v>62</v>
      </c>
      <c r="AR62" s="131">
        <f>INDEX(Base_Stress[],MATCH(Severely_Adverse_Stress[[#This Row],[Segment]],Base_Stress[Segment],0),MATCH("PD",Base_Stress[#Headers],0))
*VLOOKUP(Severely_Adverse_Stress[[#This Row],[Credit Category]],Credit_Category_Stresser[],MATCH("PD Sev",Credit_Category_Stresser[#Headers],0),FALSE)
*VLOOKUP(Severely_Adverse_Stress[[#This Row],[Age]],Age_Stresser[],MATCH("PD Sev",Age_Stresser[#Headers],0),FALSE)
*VLOOKUP(Severely_Adverse_Stress[[#This Row],[Income]],Income_Stresser[],MATCH("PD Sev",Income_Stresser[#Headers],0),FALSE)</f>
        <v>1.00464E-2</v>
      </c>
      <c r="AS62" s="132">
        <f>MIN(
  INDEX(Base_Stress[],MATCH(Severely_Adverse_Stress[[#This Row],[Segment]],Base_Stress[Segment],0),MATCH("EAD",Base_Stress[#Headers],0))
  *VLOOKUP(Severely_Adverse_Stress[[#This Row],[Credit Category]],Credit_Category_Stresser[],MATCH("EAD Sev",Credit_Category_Stresser[#Headers],0),FALSE),
  0.75)</f>
        <v>0.46462500000000001</v>
      </c>
      <c r="AT62" s="133">
        <f>INDEX(Base_Stress[],MATCH(Severely_Adverse_Stress[[#This Row],[Segment]],Base_Stress[Segment],0),MATCH("ATS",Base_Stress[#Headers],0))
*VLOOKUP(Severely_Adverse_Stress[[#This Row],[Age]],Age_Stresser[],MATCH("ATS Sev",Age_Stresser[#Headers],0),FALSE)
*VLOOKUP(Severely_Adverse_Stress[[#This Row],[Income]],Income_Stresser[],MATCH("ATS Sev",Income_Stresser[#Headers],0),FALSE)</f>
        <v>352.57440476190476</v>
      </c>
      <c r="AU62" s="135">
        <f>Severely_Adverse_Stress[[#This Row],[ATS]]*INDEX(Portfolio_Stresser[[Base]:[Severely Adverse]],MATCH("MDR",Portfolio_Stresser[Scenario],0),MATCH("Severely Adverse",Portfolio_Stresser[[#Headers],[Base]:[Severely Adverse]],0))</f>
        <v>15.865848214285714</v>
      </c>
      <c r="AV62" s="133" cm="1">
        <f t="array" ref="AV62">Severely_Adverse_Stress[[#This Row],[ATS]]*INDEX(Portfolio_Stresser[[Base]:[Severely Adverse]],MATCH("Funding Rate",Portfolio_Stresser[Scenario],0),MATCH("Severely Adverse",Portfolio_Stresser[[#Headers],[Base]:[Severely Adverse]],0))*Dynamic_Row_Table[Tenure (in months)]/12</f>
        <v>5.729334077380952</v>
      </c>
      <c r="AW62" s="133">
        <f>Severely_Adverse_Stress[[#This Row],[PD]]*Severely_Adverse_Stress[[#This Row],[ATS]]*Severely_Adverse_Stress[[#This Row],[EAD]]</f>
        <v>1.6457498386875</v>
      </c>
      <c r="AX62" s="135" cm="1">
        <f t="array" ref="AX62">Severely_Adverse_Stress[[#This Row],[Revenue Per Loan]]-Severely_Adverse_Stress[[#This Row],[Funding Cost]]-Severely_Adverse_Stress[[#This Row],[ECL]]-Fixed_Cost[Fixed Cost]</f>
        <v>5.4907642982172611</v>
      </c>
      <c r="AY62" s="133">
        <f>Base_Stress[[#This Row],[User Count(in M)]]</f>
        <v>0.51639153609299915</v>
      </c>
      <c r="AZ62" s="133">
        <f>INDEX(Base_Stress[],MATCH(Severely_Adverse_Stress[[#This Row],[Segment]],Base_Stress[Segment],0),MATCH("Loan Count(in M)",Base_Stress[#Headers],0))
*VLOOKUP(Severely_Adverse_Stress[[#This Row],[Age]],Age_Stresser[],MATCH("LC Sev",Age_Stresser[#Headers],0),FALSE)
*VLOOKUP(Severely_Adverse_Stress[[#This Row],[Income]],Income_Stresser[],MATCH("LC Sev",Income_Stresser[#Headers],0),FALSE)</f>
        <v>1.5765235933505974</v>
      </c>
      <c r="BA62" s="133">
        <f>Severely_Adverse_Stress[[#This Row],[Loan Count(in M)]]/Severely_Adverse_Stress[[#This Row],[User Count(in M)]]</f>
        <v>3.0529617221818186</v>
      </c>
      <c r="BB62" s="135">
        <f>Severely_Adverse_Stress[[#This Row],[Revenue Per Loan]]*Severely_Adverse_Stress[[#This Row],[Avg Loan Per User]]</f>
        <v>48.437827288161046</v>
      </c>
      <c r="BC62" s="135">
        <f>Severely_Adverse_Stress[[#This Row],[CM Per Loan]]*Severely_Adverse_Stress[[#This Row],[Avg Loan Per User]]</f>
        <v>16.763093227979812</v>
      </c>
      <c r="BD62" s="135">
        <f>Severely_Adverse_Stress[[#This Row],[CM Per User]]*Severely_Adverse_Stress[[#This Row],[User Count(in M)]]</f>
        <v>8.6563194616666461</v>
      </c>
      <c r="BE62" s="135"/>
    </row>
    <row r="64" spans="1:57" x14ac:dyDescent="0.2">
      <c r="A64" t="s">
        <v>121</v>
      </c>
    </row>
    <row r="65" spans="1:2" x14ac:dyDescent="0.2">
      <c r="A65" s="98">
        <v>3</v>
      </c>
    </row>
    <row r="67" spans="1:2" x14ac:dyDescent="0.2">
      <c r="A67" t="s">
        <v>180</v>
      </c>
      <c r="B67" t="s">
        <v>223</v>
      </c>
    </row>
    <row r="68" spans="1:2" x14ac:dyDescent="0.2">
      <c r="A68" t="s">
        <v>179</v>
      </c>
      <c r="B68" s="98">
        <f>SUM( Base_Stress[CM Per Segment])</f>
        <v>414.24525824231966</v>
      </c>
    </row>
    <row r="69" spans="1:2" x14ac:dyDescent="0.2">
      <c r="A69" t="s">
        <v>183</v>
      </c>
      <c r="B69" s="98">
        <f>SUM(Adverse_Stress[CM Per Segment])</f>
        <v>-113.07935042558766</v>
      </c>
    </row>
    <row r="70" spans="1:2" x14ac:dyDescent="0.2">
      <c r="A70" t="s">
        <v>184</v>
      </c>
      <c r="B70" s="98">
        <f>SUM(Severely_Adverse_Stress[CM Per Segment])</f>
        <v>-475.52981961693877</v>
      </c>
    </row>
  </sheetData>
  <phoneticPr fontId="10" type="noConversion"/>
  <conditionalFormatting sqref="E3:E62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62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{D399205D-3643-D846-BE12-19539D5C76F5}</x14:id>
        </ext>
      </extLst>
    </cfRule>
  </conditionalFormatting>
  <conditionalFormatting sqref="K3:K6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{541B5564-980B-C940-B29A-7C9E1C02D5FD}</x14:id>
        </ext>
      </extLst>
    </cfRule>
  </conditionalFormatting>
  <conditionalFormatting sqref="R3:R6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:Y62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:AE6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3:AL6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3:AR6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3:AT62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{405A45A0-AC53-6741-ACF9-0A66C433E795}</x14:id>
        </ext>
      </extLst>
    </cfRule>
  </conditionalFormatting>
  <conditionalFormatting sqref="AU3:AU62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{22448BD8-B2D4-A048-8A1B-63F118B1D65C}</x14:id>
        </ext>
      </extLst>
    </cfRule>
  </conditionalFormatting>
  <conditionalFormatting sqref="AX3:AX6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3:BE6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{55F315DE-5323-464A-BCAC-84B55810AC16}</x14:id>
        </ext>
      </extLst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99205D-3643-D846-BE12-19539D5C76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H3:H62</xm:sqref>
        </x14:conditionalFormatting>
        <x14:conditionalFormatting xmlns:xm="http://schemas.microsoft.com/office/excel/2006/main">
          <x14:cfRule type="dataBar" id="{541B5564-980B-C940-B29A-7C9E1C02D5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</xm:sqref>
        </x14:conditionalFormatting>
        <x14:conditionalFormatting xmlns:xm="http://schemas.microsoft.com/office/excel/2006/main">
          <x14:cfRule type="dataBar" id="{405A45A0-AC53-6741-ACF9-0A66C433E7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AT3:AT62</xm:sqref>
        </x14:conditionalFormatting>
        <x14:conditionalFormatting xmlns:xm="http://schemas.microsoft.com/office/excel/2006/main">
          <x14:cfRule type="dataBar" id="{22448BD8-B2D4-A048-8A1B-63F118B1D6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AU3:AU62</xm:sqref>
        </x14:conditionalFormatting>
        <x14:conditionalFormatting xmlns:xm="http://schemas.microsoft.com/office/excel/2006/main">
          <x14:cfRule type="dataBar" id="{55F315DE-5323-464A-BCAC-84B55810AC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BE3:BE62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7D61-9E56-DA49-A55C-3B3F1B9FD0B1}">
  <dimension ref="A1:L17"/>
  <sheetViews>
    <sheetView workbookViewId="0">
      <selection activeCell="D3" sqref="D3"/>
    </sheetView>
  </sheetViews>
  <sheetFormatPr baseColWidth="10" defaultRowHeight="16" x14ac:dyDescent="0.2"/>
  <cols>
    <col min="1" max="1" width="30" bestFit="1" customWidth="1"/>
    <col min="2" max="2" width="13.83203125" customWidth="1"/>
    <col min="3" max="3" width="17.33203125" customWidth="1"/>
    <col min="4" max="4" width="13.6640625" customWidth="1"/>
    <col min="5" max="5" width="14" bestFit="1" customWidth="1"/>
    <col min="6" max="6" width="17.1640625" bestFit="1" customWidth="1"/>
    <col min="7" max="7" width="20.6640625" bestFit="1" customWidth="1"/>
    <col min="8" max="8" width="13.5" customWidth="1"/>
    <col min="10" max="10" width="19.6640625" bestFit="1" customWidth="1"/>
    <col min="11" max="11" width="19.5" bestFit="1" customWidth="1"/>
    <col min="12" max="12" width="20.33203125" bestFit="1" customWidth="1"/>
  </cols>
  <sheetData>
    <row r="1" spans="1:12" x14ac:dyDescent="0.2">
      <c r="A1" t="s">
        <v>180</v>
      </c>
      <c r="B1" t="s">
        <v>207</v>
      </c>
      <c r="C1" t="s">
        <v>209</v>
      </c>
      <c r="D1" t="s">
        <v>224</v>
      </c>
      <c r="E1" t="s">
        <v>73</v>
      </c>
      <c r="F1" t="s">
        <v>213</v>
      </c>
      <c r="G1" t="s">
        <v>217</v>
      </c>
      <c r="H1" t="s">
        <v>214</v>
      </c>
      <c r="I1" t="s">
        <v>138</v>
      </c>
      <c r="J1" t="s">
        <v>225</v>
      </c>
      <c r="K1" t="s">
        <v>215</v>
      </c>
      <c r="L1" t="s">
        <v>216</v>
      </c>
    </row>
    <row r="2" spans="1:12" x14ac:dyDescent="0.2">
      <c r="A2" t="s">
        <v>179</v>
      </c>
      <c r="B2" s="98">
        <f>SUMPRODUCT(Base_Stress[CM Per Loan],Base_Stress[Loan Count(in M)])/SUM(Base_Stress[Loan Count(in M)])</f>
        <v>1.233130895802097</v>
      </c>
      <c r="C2" s="98">
        <f>SUMPRODUCT(Base_Stress[CM Per User],Base_Stress[User Count(in M)])/SUM(Base_Stress[User Count(in M)])</f>
        <v>8.0342415858041587</v>
      </c>
      <c r="D2" s="98">
        <f>SUM( Base_Stress[CM Per Segment])</f>
        <v>414.24525824231966</v>
      </c>
      <c r="E2" s="65">
        <f>(SUMPRODUCT(Base_Stress[PD],Base_Stress[User Count(in M)])/SUM(Base_Stress[User Count(in M)]))+'Default Rates'!$C$10*'Default Rates'!$D$10</f>
        <v>1.7289750755928434E-2</v>
      </c>
      <c r="F2" s="124" cm="1">
        <f t="array" ref="F2">SUMPRODUCT((Base_Stress[CM Per Loan]&gt;0)*Base_Stress[Loan Count(in M)])/
SUM(Base_Stress[Loan Count(in M)])</f>
        <v>0.38636141199541046</v>
      </c>
      <c r="G2" s="83" cm="1">
        <f t="array" ref="G2">COUNT(IF(Base_Stress[CM Per Loan]&gt;0,1))</f>
        <v>43</v>
      </c>
      <c r="H2" s="98">
        <f>SUMPRODUCT(Base_Stress[ATS],Base_Stress[Loan Count(in M)])
/SUM(Base_Stress[Loan Count(in M)])</f>
        <v>143.89083660926707</v>
      </c>
      <c r="I2" s="98">
        <f>SUMPRODUCT(Base_Stress[ARPU],Base_Stress[User Count(in M)])
/SUM(Base_Stress[User Count(in M)])</f>
        <v>46.874737598329475</v>
      </c>
      <c r="J2" s="65" cm="1">
        <f t="array" ref="J2">SUM(_xlfn.TAKE(_xlfn._xlws.SORT(_xlfn._xlws.FILTER(Base_Stress[CM Per Segment],Base_Stress[CM Per Segment]&gt;0),,-1),5))/
SUMIFS(Base_Stress[CM Per Segment],Base_Stress[CM Per Segment],"&gt;0")</f>
        <v>0.46857127251996838</v>
      </c>
      <c r="K2" s="66">
        <f>SUM(Base_Stress[Loan Count(in M)])</f>
        <v>335.92967271562156</v>
      </c>
      <c r="L2" s="98">
        <f>SUMPRODUCT(Base_Stress[ATS],Base_Stress[Loan Count(in M)])/1000</f>
        <v>48.337201648928065</v>
      </c>
    </row>
    <row r="3" spans="1:12" x14ac:dyDescent="0.2">
      <c r="A3" t="s">
        <v>183</v>
      </c>
      <c r="B3" s="98">
        <f>SUMPRODUCT(Adverse_Stress[CM Per Loan],Adverse_Stress[Loan Count(in M)])
/SUM(Adverse_Stress[Loan Count(in M)])</f>
        <v>-0.40094034331773232</v>
      </c>
      <c r="C3" s="98">
        <f>SUMPRODUCT(Adverse_Stress[CM Per User],Adverse_Stress[User Count(in M)])
/SUM(Adverse_Stress[User Count(in M)])</f>
        <v>-2.1931616635513334</v>
      </c>
      <c r="D3" s="98">
        <f>SUM(Adverse_Stress[CM Per Segment])</f>
        <v>-113.07935042558766</v>
      </c>
      <c r="E3" s="65">
        <f>SUMPRODUCT(Adverse_Stress[PD],Adverse_Stress[Loan Count(in M)])
/SUM(Adverse_Stress[Loan Count(in M)])</f>
        <v>3.3969749550105899E-2</v>
      </c>
      <c r="F3" s="65" cm="1">
        <f t="array" ref="F3">SUMPRODUCT((Adverse_Stress[CM Per Loan]&gt;0)*Adverse_Stress[Loan Count(in M)])
/SUM(Adverse_Stress[Loan Count(in M)])</f>
        <v>0.32633049246739732</v>
      </c>
      <c r="G3" s="83" cm="1">
        <f t="array" ref="G3">COUNT(IF(Adverse_Stress[CM Per Loan]&gt;0,1))</f>
        <v>35</v>
      </c>
      <c r="H3" s="98">
        <f>SUMPRODUCT(Adverse_Stress[ATS],Adverse_Stress[Loan Count(in M)])
/SUM(Adverse_Stress[Loan Count(in M)])</f>
        <v>132.68042669526577</v>
      </c>
      <c r="I3" s="98">
        <f>SUMPRODUCT(Adverse_Stress[ARPU],Adverse_Stress[User Count(in M)])
/SUM(Adverse_Stress[User Count(in M)])</f>
        <v>34.473974579060432</v>
      </c>
      <c r="J3" s="65" cm="1">
        <f t="array" ref="J3">SUM(_xlfn.TAKE(_xlfn._xlws.SORT(_xlfn._xlws.FILTER(Adverse_Stress[CM Per Segment],Adverse_Stress[CM Per Segment]&gt;0),,-1),5))
/
SUMIFS(Adverse_Stress[CM Per Segment],Adverse_Stress[CM Per Segment],"&gt;0")</f>
        <v>0.52793080964945449</v>
      </c>
      <c r="K3" s="66">
        <f>SUM(Adverse_Stress[Loan Count(in M)])</f>
        <v>282.03535091996446</v>
      </c>
      <c r="L3" s="98">
        <f>SUMPRODUCT(Adverse_Stress[ATS],Adverse_Stress[Loan Count(in M)])/1000</f>
        <v>37.420570703209904</v>
      </c>
    </row>
    <row r="4" spans="1:12" x14ac:dyDescent="0.2">
      <c r="A4" t="s">
        <v>184</v>
      </c>
      <c r="B4" s="98">
        <f>SUMPRODUCT(Severely_Adverse_Stress[CM Per Loan],Severely_Adverse_Stress[Loan Count(in M)])
/SUM(Severely_Adverse_Stress[Loan Count(in M)])</f>
        <v>-1.9100528728195334</v>
      </c>
      <c r="C4" s="98">
        <f>SUMPRODUCT(Severely_Adverse_Stress[CM Per User],Severely_Adverse_Stress[User Count(in M)])
/SUM(Severely_Adverse_Stress[User Count(in M)])</f>
        <v>-9.2228489669795604</v>
      </c>
      <c r="D4" s="98">
        <f>SUM(Severely_Adverse_Stress[CM Per Segment])</f>
        <v>-475.52981961693877</v>
      </c>
      <c r="E4" s="65">
        <f>SUMPRODUCT(Severely_Adverse_Stress[PD],Severely_Adverse_Stress[Loan Count(in M)])
/SUM(Severely_Adverse_Stress[Loan Count(in M)])</f>
        <v>4.7295721578538355E-2</v>
      </c>
      <c r="F4" s="65" cm="1">
        <f t="array" ref="F4">SUMPRODUCT((Severely_Adverse_Stress[CM Per Loan]&gt;0)*Severely_Adverse_Stress[Loan Count(in M)])
/SUM(Severely_Adverse_Stress[Loan Count(in M)])</f>
        <v>0.26421575601073038</v>
      </c>
      <c r="G4" s="83" cm="1">
        <f t="array" ref="G4">COUNT(IF(Severely_Adverse_Stress[CM Per Loan]&gt;0,1))</f>
        <v>25</v>
      </c>
      <c r="H4" s="98">
        <f>SUMPRODUCT(Severely_Adverse_Stress[ATS],Severely_Adverse_Stress[Loan Count(in M)])
/SUM(Severely_Adverse_Stress[Loan Count(in M)])</f>
        <v>119.37631612289478</v>
      </c>
      <c r="I4" s="98">
        <f>SUMPRODUCT(Severely_Adverse_Stress[ARPU],Severely_Adverse_Stress[User Count(in M)])
/SUM(Severely_Adverse_Stress[User Count(in M)])</f>
        <v>25.938830661519095</v>
      </c>
      <c r="J4" s="65" cm="1">
        <f t="array" ref="J4">SUM(_xlfn.TAKE(_xlfn._xlws.SORT(_xlfn._xlws.FILTER(Severely_Adverse_Stress[CM Per Segment],Severely_Adverse_Stress[CM Per Segment]&gt;0),,-1),5))
/
SUMIFS(Severely_Adverse_Stress[CM Per Segment],Severely_Adverse_Stress[CM Per Segment],"&gt;0")</f>
        <v>0.60736953346879685</v>
      </c>
      <c r="K4" s="66">
        <f>SUM(Severely_Adverse_Stress[Loan Count(in M)])</f>
        <v>248.96160016501702</v>
      </c>
      <c r="L4" s="98">
        <f>SUMPRODUCT(Severely_Adverse_Stress[ATS],Severely_Adverse_Stress[Loan Count(in M)])/1000</f>
        <v>29.720118683760806</v>
      </c>
    </row>
    <row r="6" spans="1:12" x14ac:dyDescent="0.2">
      <c r="A6" t="s">
        <v>240</v>
      </c>
      <c r="B6" t="s">
        <v>241</v>
      </c>
      <c r="C6" t="s">
        <v>242</v>
      </c>
    </row>
    <row r="7" spans="1:12" x14ac:dyDescent="0.2">
      <c r="A7" t="s">
        <v>236</v>
      </c>
      <c r="B7" s="98">
        <f>SUM(Base_Stress[CM Per Segment])</f>
        <v>414.24525824231966</v>
      </c>
      <c r="C7" s="98">
        <f>Waterfall_Table[[#This Row],[Values]]</f>
        <v>414.24525824231966</v>
      </c>
    </row>
    <row r="8" spans="1:12" x14ac:dyDescent="0.2">
      <c r="A8" t="s">
        <v>237</v>
      </c>
      <c r="B8" s="98" cm="1">
        <f t="array" ref="B8">IF('Macro Stress Test'!$B$15="Adverse",
SUM(Adverse_Stress[Revenue Per Loan]*Adverse_Stress[Loan Count(in M)])-
SUM(Base_Stress[Revenue Per Loan]*Base_Stress[Loan Count(in M)]),
SUM(Severely_Adverse_Stress[Revenue Per Loan]*Severely_Adverse_Stress[Loan Count(in M)])-
SUM(Base_Stress[Revenue Per Loan]*Base_Stress[Loan Count(in M)])
)</f>
        <v>-1079.4547416771682</v>
      </c>
      <c r="C8" s="98">
        <f>C7+Waterfall_Table[[#This Row],[Values]]</f>
        <v>-665.20948343484849</v>
      </c>
    </row>
    <row r="9" spans="1:12" x14ac:dyDescent="0.2">
      <c r="A9" t="s">
        <v>234</v>
      </c>
      <c r="B9" s="98" cm="1">
        <f t="array" ref="B9">IF('Macro Stress Test'!$B$15="Adverse",
-(SUM(Adverse_Stress[ECL]*Adverse_Stress[Loan Count(in M)])-
SUM(Base_Stress[ECL]*Base_Stress[Loan Count(in M)])),
-(SUM(Severely_Adverse_Stress[ECL]*Severely_Adverse_Stress[Loan Count(in M)])-
SUM(Base_Stress[ECL]*Base_Stress[Loan Count(in M)]))
)</f>
        <v>-162.27689480381218</v>
      </c>
      <c r="C9" s="98">
        <f>C8+Waterfall_Table[[#This Row],[Values]]</f>
        <v>-827.48637823866068</v>
      </c>
    </row>
    <row r="10" spans="1:12" x14ac:dyDescent="0.2">
      <c r="A10" t="s">
        <v>238</v>
      </c>
      <c r="B10" s="98" cm="1">
        <f t="array" ref="B10">IF('Macro Stress Test'!$B$15="Adverse",
-(SUM(Adverse_Stress[Funding Cost]*Adverse_Stress[Loan Count(in M)])-
SUM(Base_Stress[Funding Cost]*Base_Stress[Loan Count(in M)])),
-(SUM(Severely_Adverse_Stress[Funding Cost]*Severely_Adverse_Stress[Loan Count(in M)])-
SUM(Base_Stress[Funding Cost]*Base_Stress[Loan Count(in M)]))
)</f>
        <v>91.052340969907732</v>
      </c>
      <c r="C10" s="98">
        <f>C9+Waterfall_Table[[#This Row],[Values]]</f>
        <v>-736.43403726875295</v>
      </c>
    </row>
    <row r="11" spans="1:12" x14ac:dyDescent="0.2">
      <c r="A11" t="s">
        <v>239</v>
      </c>
      <c r="B11" s="98">
        <f>IF('Macro Stress Test'!$B$15="Adverse",
3*(SUM(Base_Stress[Loan Count(in M)])-
SUM(Adverse_Stress[Loan Count(in M)])),
3*(SUM(Base_Stress[Loan Count(in M)])-
SUM(Severely_Adverse_Stress[Loan Count(in M)]))
)</f>
        <v>260.90421765181361</v>
      </c>
      <c r="C11" s="98">
        <f>C10+Waterfall_Table[[#This Row],[Values]]</f>
        <v>-475.52981961693933</v>
      </c>
    </row>
    <row r="12" spans="1:12" x14ac:dyDescent="0.2">
      <c r="B12" s="98"/>
      <c r="C12" s="98"/>
    </row>
    <row r="13" spans="1:12" x14ac:dyDescent="0.2">
      <c r="A13" t="s">
        <v>235</v>
      </c>
      <c r="B13" s="98">
        <f>IF('Macro Stress Test'!$B$15="Adverse",
SUM(Adverse_Stress[CM Per Segment]),
SUM(Severely_Adverse_Stress[CM Per Segment])
)</f>
        <v>-475.52981961693877</v>
      </c>
      <c r="C13" s="98">
        <f>C11</f>
        <v>-475.52981961693933</v>
      </c>
    </row>
    <row r="14" spans="1:12" x14ac:dyDescent="0.2">
      <c r="B14" s="98"/>
      <c r="C14" s="98"/>
    </row>
    <row r="15" spans="1:12" x14ac:dyDescent="0.2">
      <c r="B15" s="98"/>
    </row>
    <row r="16" spans="1:12" x14ac:dyDescent="0.2">
      <c r="A16" s="10"/>
    </row>
    <row r="17" spans="1:1" x14ac:dyDescent="0.2">
      <c r="A17" s="10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A95C-2805-D241-BF4D-9EE76A8286FE}">
  <dimension ref="A1:X32"/>
  <sheetViews>
    <sheetView showGridLines="0" tabSelected="1" topLeftCell="B1" zoomScale="50" workbookViewId="0">
      <selection activeCell="H15" sqref="H15:I17"/>
    </sheetView>
  </sheetViews>
  <sheetFormatPr baseColWidth="10" defaultRowHeight="27" x14ac:dyDescent="0.35"/>
  <cols>
    <col min="1" max="1" width="1.83203125" customWidth="1"/>
    <col min="2" max="2" width="42.1640625" style="115" customWidth="1"/>
    <col min="3" max="3" width="23.5" style="115" customWidth="1"/>
    <col min="4" max="4" width="6.1640625" customWidth="1"/>
    <col min="5" max="5" width="13.33203125" customWidth="1"/>
    <col min="6" max="6" width="24.5" bestFit="1" customWidth="1"/>
    <col min="7" max="7" width="29.5" bestFit="1" customWidth="1"/>
    <col min="8" max="8" width="28.1640625" bestFit="1" customWidth="1"/>
    <col min="9" max="9" width="19.1640625" bestFit="1" customWidth="1"/>
    <col min="10" max="10" width="21.1640625" bestFit="1" customWidth="1"/>
    <col min="11" max="11" width="15.83203125" bestFit="1" customWidth="1"/>
    <col min="12" max="12" width="22.83203125" customWidth="1"/>
    <col min="13" max="13" width="16.1640625" customWidth="1"/>
    <col min="14" max="14" width="0.5" customWidth="1"/>
    <col min="15" max="15" width="6.5" customWidth="1"/>
    <col min="16" max="16" width="17.5" customWidth="1"/>
    <col min="17" max="17" width="12.83203125" customWidth="1"/>
    <col min="18" max="18" width="14.1640625" customWidth="1"/>
    <col min="19" max="19" width="1.1640625" customWidth="1"/>
  </cols>
  <sheetData>
    <row r="1" spans="1:19" ht="16" customHeight="1" x14ac:dyDescent="0.2">
      <c r="A1" s="190" t="s">
        <v>218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</row>
    <row r="2" spans="1:19" ht="16" customHeight="1" x14ac:dyDescent="0.2">
      <c r="A2" s="190"/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</row>
    <row r="3" spans="1:19" ht="16" customHeight="1" x14ac:dyDescent="0.2">
      <c r="A3" s="190"/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</row>
    <row r="4" spans="1:19" ht="16" customHeight="1" x14ac:dyDescent="0.2">
      <c r="A4" s="190"/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</row>
    <row r="5" spans="1:19" ht="16" customHeight="1" x14ac:dyDescent="0.2">
      <c r="A5" s="190"/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</row>
    <row r="6" spans="1:19" ht="16" customHeight="1" x14ac:dyDescent="0.2">
      <c r="A6" s="190"/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</row>
    <row r="7" spans="1:19" ht="16" customHeight="1" x14ac:dyDescent="0.2">
      <c r="A7" s="190"/>
      <c r="B7" s="190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</row>
    <row r="8" spans="1:19" ht="14" customHeight="1" x14ac:dyDescent="0.2">
      <c r="A8" s="190"/>
      <c r="B8" s="190"/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</row>
    <row r="9" spans="1:19" ht="1" customHeight="1" x14ac:dyDescent="0.2">
      <c r="A9" s="190"/>
      <c r="B9" s="190"/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</row>
    <row r="11" spans="1:19" ht="16" customHeight="1" x14ac:dyDescent="0.35">
      <c r="P11" s="143"/>
      <c r="Q11" s="143"/>
      <c r="R11" s="143"/>
      <c r="S11" s="143"/>
    </row>
    <row r="12" spans="1:19" ht="16" customHeight="1" x14ac:dyDescent="0.2">
      <c r="B12" s="174" t="s">
        <v>180</v>
      </c>
      <c r="C12" s="174"/>
      <c r="E12" s="178" t="s">
        <v>220</v>
      </c>
      <c r="F12" s="178"/>
      <c r="H12" s="170" t="s">
        <v>219</v>
      </c>
      <c r="I12" s="170"/>
      <c r="L12" s="178" t="s">
        <v>138</v>
      </c>
      <c r="M12" s="178"/>
      <c r="P12" s="182" t="s">
        <v>245</v>
      </c>
      <c r="Q12" s="182"/>
      <c r="R12" s="182"/>
      <c r="S12" s="143"/>
    </row>
    <row r="13" spans="1:19" ht="16" customHeight="1" x14ac:dyDescent="0.2">
      <c r="B13" s="174"/>
      <c r="C13" s="174"/>
      <c r="E13" s="178"/>
      <c r="F13" s="178"/>
      <c r="H13" s="170"/>
      <c r="I13" s="170"/>
      <c r="L13" s="178"/>
      <c r="M13" s="178"/>
      <c r="P13" s="182"/>
      <c r="Q13" s="182"/>
      <c r="R13" s="182"/>
      <c r="S13" s="143"/>
    </row>
    <row r="14" spans="1:19" ht="24" customHeight="1" thickBot="1" x14ac:dyDescent="0.25">
      <c r="B14" s="175"/>
      <c r="C14" s="175"/>
      <c r="E14" s="179"/>
      <c r="F14" s="179"/>
      <c r="H14" s="171"/>
      <c r="I14" s="171"/>
      <c r="L14" s="179"/>
      <c r="M14" s="179"/>
      <c r="P14" s="183"/>
      <c r="Q14" s="183"/>
      <c r="R14" s="183"/>
      <c r="S14" s="143"/>
    </row>
    <row r="15" spans="1:19" ht="16" customHeight="1" x14ac:dyDescent="0.2">
      <c r="A15" s="142"/>
      <c r="B15" s="176" t="s">
        <v>184</v>
      </c>
      <c r="C15" s="176"/>
      <c r="E15" s="188">
        <f>_xlfn.XLOOKUP($B$15,Stress_Metrics[Scenario],Stress_Metrics[Default Rate])</f>
        <v>4.7295721578538355E-2</v>
      </c>
      <c r="F15" s="188"/>
      <c r="H15" s="186">
        <f>_xlfn.XLOOKUP($B$15,'Stressed Portfolio Metrics'!$A$2:$A$4,'Stressed Portfolio Metrics'!$D$2:$D$4)</f>
        <v>-475.52981961693877</v>
      </c>
      <c r="I15" s="186"/>
      <c r="L15" s="180">
        <f>_xlfn.XLOOKUP($B$15,Stress_Metrics[Scenario],Stress_Metrics[ARPU])</f>
        <v>25.938830661519095</v>
      </c>
      <c r="M15" s="180"/>
      <c r="P15" s="184">
        <f>_xlfn.XLOOKUP($B$15,Stress_Metrics[Scenario],Stress_Metrics[Concentration Risk])</f>
        <v>0.60736953346879685</v>
      </c>
      <c r="Q15" s="184"/>
      <c r="R15" s="184"/>
      <c r="S15" s="143"/>
    </row>
    <row r="16" spans="1:19" ht="24" customHeight="1" x14ac:dyDescent="0.2">
      <c r="B16" s="177"/>
      <c r="C16" s="177"/>
      <c r="E16" s="189"/>
      <c r="F16" s="189"/>
      <c r="H16" s="187"/>
      <c r="I16" s="187"/>
      <c r="L16" s="181"/>
      <c r="M16" s="181"/>
      <c r="P16" s="185"/>
      <c r="Q16" s="185"/>
      <c r="R16" s="185"/>
      <c r="S16" s="143"/>
    </row>
    <row r="17" spans="2:24" ht="16" customHeight="1" x14ac:dyDescent="0.2">
      <c r="B17" s="177"/>
      <c r="C17" s="177"/>
      <c r="E17" s="189"/>
      <c r="F17" s="189"/>
      <c r="H17" s="187"/>
      <c r="I17" s="187"/>
      <c r="L17" s="181"/>
      <c r="M17" s="181"/>
      <c r="P17" s="185"/>
      <c r="Q17" s="185"/>
      <c r="R17" s="185"/>
      <c r="S17" s="143"/>
    </row>
    <row r="18" spans="2:24" ht="16" customHeight="1" x14ac:dyDescent="0.35">
      <c r="P18" s="143"/>
      <c r="Q18" s="143"/>
      <c r="R18" s="143"/>
      <c r="S18" s="143"/>
    </row>
    <row r="19" spans="2:24" ht="17" customHeight="1" thickBot="1" x14ac:dyDescent="0.4">
      <c r="P19" s="143"/>
      <c r="Q19" s="143"/>
      <c r="R19" s="143"/>
      <c r="S19" s="143"/>
    </row>
    <row r="20" spans="2:24" ht="33" customHeight="1" x14ac:dyDescent="0.4">
      <c r="B20" s="162" t="s">
        <v>243</v>
      </c>
      <c r="C20" s="163" t="s">
        <v>244</v>
      </c>
      <c r="F20" s="148" t="s">
        <v>0</v>
      </c>
      <c r="G20" s="149" t="s">
        <v>34</v>
      </c>
      <c r="H20" s="149" t="s">
        <v>58</v>
      </c>
      <c r="I20" s="149" t="s">
        <v>83</v>
      </c>
      <c r="J20" s="149" t="s">
        <v>60</v>
      </c>
      <c r="K20" s="149" t="s">
        <v>61</v>
      </c>
      <c r="L20" s="150" t="s">
        <v>62</v>
      </c>
      <c r="P20" s="170" t="s">
        <v>233</v>
      </c>
      <c r="Q20" s="170"/>
      <c r="R20" s="170"/>
      <c r="S20" s="143"/>
    </row>
    <row r="21" spans="2:24" ht="33" customHeight="1" thickBot="1" x14ac:dyDescent="0.45">
      <c r="B21" s="159" t="s">
        <v>236</v>
      </c>
      <c r="C21" s="168">
        <f>SUM(Base_Stress[CM Per Segment])</f>
        <v>414.24525824231966</v>
      </c>
      <c r="F21" s="151" t="s">
        <v>29</v>
      </c>
      <c r="G21" s="152" t="s">
        <v>35</v>
      </c>
      <c r="H21" s="153" cm="1">
        <f t="array" ref="H21">IF($B$15="Base",
    _xlfn.XLOOKUP(
        1,
        (Base_Stress[Age]=$F21)*
        (Base_Stress[Income]=$G21)*
        (Base_Stress[Credit Category]=H$20),
        Base_Stress[CM Per User]
    ),
IF($B$15="Adverse",
    _xlfn.XLOOKUP(
        1,
        (Adverse_Stress[Age]=$F21)*
        (Adverse_Stress[Income]=$G21)*
        (Adverse_Stress[Credit Category]=H$20),
        Adverse_Stress[CM Per User]
    ),
    _xlfn.XLOOKUP(
        1,
        (Severely_Adverse_Stress[Age]=$F21)*
        (Severely_Adverse_Stress[Income]=$G21)*
        (Severely_Adverse_Stress[Credit Category]=H$20),
        Severely_Adverse_Stress[CM Per User]
    )
))</f>
        <v>-43.489038098927033</v>
      </c>
      <c r="I21" s="153" cm="1">
        <f t="array" ref="I21">IF($B$15="Base",
    _xlfn.XLOOKUP(
        1,
        (Base_Stress[Age]=$F21)*
        (Base_Stress[Income]=$G21)*
        (Base_Stress[Credit Category]=I$20),
        Base_Stress[CM Per User]
    ),
IF($B$15="Adverse",
    _xlfn.XLOOKUP(
        1,
        (Adverse_Stress[Age]=$F21)*
        (Adverse_Stress[Income]=$G21)*
        (Adverse_Stress[Credit Category]=I$20),
        Adverse_Stress[CM Per User]
    ),
    _xlfn.XLOOKUP(
        1,
        (Severely_Adverse_Stress[Age]=$F21)*
        (Severely_Adverse_Stress[Income]=$G21)*
        (Severely_Adverse_Stress[Credit Category]=I$20),
        Severely_Adverse_Stress[CM Per User]
    )
))</f>
        <v>-7.6497817439245681</v>
      </c>
      <c r="J21" s="153" cm="1">
        <f t="array" ref="J21">IF($B$15="Base",
    _xlfn.XLOOKUP(
        1,
        (Base_Stress[Age]=$F21)*
        (Base_Stress[Income]=$G21)*
        (Base_Stress[Credit Category]=J$20),
        Base_Stress[CM Per User]
    ),
IF($B$15="Adverse",
    _xlfn.XLOOKUP(
        1,
        (Adverse_Stress[Age]=$F21)*
        (Adverse_Stress[Income]=$G21)*
        (Adverse_Stress[Credit Category]=J$20),
        Adverse_Stress[CM Per User]
    ),
    _xlfn.XLOOKUP(
        1,
        (Severely_Adverse_Stress[Age]=$F21)*
        (Severely_Adverse_Stress[Income]=$G21)*
        (Severely_Adverse_Stress[Credit Category]=J$20),
        Severely_Adverse_Stress[CM Per User]
    )
))</f>
        <v>-5.5534918476511024</v>
      </c>
      <c r="K21" s="153" cm="1">
        <f t="array" ref="K21">IF($B$15="Base",
    _xlfn.XLOOKUP(
        1,
        (Base_Stress[Age]=$F21)*
        (Base_Stress[Income]=$G21)*
        (Base_Stress[Credit Category]=K$20),
        Base_Stress[CM Per User]
    ),
IF($B$15="Adverse",
    _xlfn.XLOOKUP(
        1,
        (Adverse_Stress[Age]=$F21)*
        (Adverse_Stress[Income]=$G21)*
        (Adverse_Stress[Credit Category]=K$20),
        Adverse_Stress[CM Per User]
    ),
    _xlfn.XLOOKUP(
        1,
        (Severely_Adverse_Stress[Age]=$F21)*
        (Severely_Adverse_Stress[Income]=$G21)*
        (Severely_Adverse_Stress[Credit Category]=K$20),
        Severely_Adverse_Stress[CM Per User]
    )
))</f>
        <v>-3.1502165478377999</v>
      </c>
      <c r="L21" s="154" cm="1">
        <f t="array" ref="L21">IF($B$15="Base",
    _xlfn.XLOOKUP(
        1,
        (Base_Stress[Age]=$F21)*
        (Base_Stress[Income]=$G21)*
        (Base_Stress[Credit Category]=L$20),
        Base_Stress[CM Per User]
    ),
IF($B$15="Adverse",
    _xlfn.XLOOKUP(
        1,
        (Adverse_Stress[Age]=$F21)*
        (Adverse_Stress[Income]=$G21)*
        (Adverse_Stress[Credit Category]=L$20),
        Adverse_Stress[CM Per User]
    ),
    _xlfn.XLOOKUP(
        1,
        (Severely_Adverse_Stress[Age]=$F21)*
        (Severely_Adverse_Stress[Income]=$G21)*
        (Severely_Adverse_Stress[Credit Category]=L$20),
        Severely_Adverse_Stress[CM Per User]
    )
))</f>
        <v>-0.75749373773064077</v>
      </c>
      <c r="P21" s="171"/>
      <c r="Q21" s="171"/>
      <c r="R21" s="171"/>
      <c r="S21" s="143"/>
    </row>
    <row r="22" spans="2:24" ht="31" customHeight="1" x14ac:dyDescent="0.4">
      <c r="B22" s="159" t="s">
        <v>237</v>
      </c>
      <c r="C22" s="164" cm="1">
        <f t="array" ref="C22">IF('Macro Stress Test'!$B$15="Adverse",
SUM(Adverse_Stress[Revenue Per Loan]*Adverse_Stress[Loan Count(in M)])-
SUM(Base_Stress[Revenue Per Loan]*Base_Stress[Loan Count(in M)]),
SUM(Severely_Adverse_Stress[Revenue Per Loan]*Severely_Adverse_Stress[Loan Count(in M)])-
SUM(Base_Stress[Revenue Per Loan]*Base_Stress[Loan Count(in M)])
)</f>
        <v>-1079.4547416771682</v>
      </c>
      <c r="F22" s="151" t="s">
        <v>29</v>
      </c>
      <c r="G22" s="152" t="s">
        <v>36</v>
      </c>
      <c r="H22" s="153" cm="1">
        <f t="array" ref="H22">IF($B$15="Base",
    _xlfn.XLOOKUP(
        1,
        (Base_Stress[Age]=$F22)*
        (Base_Stress[Income]=$G22)*
        (Base_Stress[Credit Category]=H$20),
        Base_Stress[CM Per User]
    ),
IF($B$15="Adverse",
    _xlfn.XLOOKUP(
        1,
        (Adverse_Stress[Age]=$F22)*
        (Adverse_Stress[Income]=$G22)*
        (Adverse_Stress[Credit Category]=H$20),
        Adverse_Stress[CM Per User]
    ),
    _xlfn.XLOOKUP(
        1,
        (Severely_Adverse_Stress[Age]=$F22)*
        (Severely_Adverse_Stress[Income]=$G22)*
        (Severely_Adverse_Stress[Credit Category]=H$20),
        Severely_Adverse_Stress[CM Per User]
    )
))</f>
        <v>-50.601699302056602</v>
      </c>
      <c r="I22" s="153" cm="1">
        <f t="array" ref="I22">IF($B$15="Base",
    _xlfn.XLOOKUP(
        1,
        (Base_Stress[Age]=$F22)*
        (Base_Stress[Income]=$G22)*
        (Base_Stress[Credit Category]=I$20),
        Base_Stress[CM Per User]
    ),
IF($B$15="Adverse",
    _xlfn.XLOOKUP(
        1,
        (Adverse_Stress[Age]=$F22)*
        (Adverse_Stress[Income]=$G22)*
        (Adverse_Stress[Credit Category]=I$20),
        Adverse_Stress[CM Per User]
    ),
    _xlfn.XLOOKUP(
        1,
        (Severely_Adverse_Stress[Age]=$F22)*
        (Severely_Adverse_Stress[Income]=$G22)*
        (Severely_Adverse_Stress[Credit Category]=I$20),
        Severely_Adverse_Stress[CM Per User]
    )
))</f>
        <v>-6.8072483620370923</v>
      </c>
      <c r="J22" s="153" cm="1">
        <f t="array" ref="J22">IF($B$15="Base",
    _xlfn.XLOOKUP(
        1,
        (Base_Stress[Age]=$F22)*
        (Base_Stress[Income]=$G22)*
        (Base_Stress[Credit Category]=J$20),
        Base_Stress[CM Per User]
    ),
IF($B$15="Adverse",
    _xlfn.XLOOKUP(
        1,
        (Adverse_Stress[Age]=$F22)*
        (Adverse_Stress[Income]=$G22)*
        (Adverse_Stress[Credit Category]=J$20),
        Adverse_Stress[CM Per User]
    ),
    _xlfn.XLOOKUP(
        1,
        (Severely_Adverse_Stress[Age]=$F22)*
        (Severely_Adverse_Stress[Income]=$G22)*
        (Severely_Adverse_Stress[Credit Category]=J$20),
        Severely_Adverse_Stress[CM Per User]
    )
))</f>
        <v>-3.8487196412809714</v>
      </c>
      <c r="K22" s="153" cm="1">
        <f t="array" ref="K22">IF($B$15="Base",
    _xlfn.XLOOKUP(
        1,
        (Base_Stress[Age]=$F22)*
        (Base_Stress[Income]=$G22)*
        (Base_Stress[Credit Category]=K$20),
        Base_Stress[CM Per User]
    ),
IF($B$15="Adverse",
    _xlfn.XLOOKUP(
        1,
        (Adverse_Stress[Age]=$F22)*
        (Adverse_Stress[Income]=$G22)*
        (Adverse_Stress[Credit Category]=K$20),
        Adverse_Stress[CM Per User]
    ),
    _xlfn.XLOOKUP(
        1,
        (Severely_Adverse_Stress[Age]=$F22)*
        (Severely_Adverse_Stress[Income]=$G22)*
        (Severely_Adverse_Stress[Credit Category]=K$20),
        Severely_Adverse_Stress[CM Per User]
    )
))</f>
        <v>-0.42028775307935101</v>
      </c>
      <c r="L22" s="154" cm="1">
        <f t="array" ref="L22">IF($B$15="Base",
    _xlfn.XLOOKUP(
        1,
        (Base_Stress[Age]=$F22)*
        (Base_Stress[Income]=$G22)*
        (Base_Stress[Credit Category]=L$20),
        Base_Stress[CM Per User]
    ),
IF($B$15="Adverse",
    _xlfn.XLOOKUP(
        1,
        (Adverse_Stress[Age]=$F22)*
        (Adverse_Stress[Income]=$G22)*
        (Adverse_Stress[Credit Category]=L$20),
        Adverse_Stress[CM Per User]
    ),
    _xlfn.XLOOKUP(
        1,
        (Severely_Adverse_Stress[Age]=$F22)*
        (Severely_Adverse_Stress[Income]=$G22)*
        (Severely_Adverse_Stress[Credit Category]=L$20),
        Severely_Adverse_Stress[CM Per User]
    )
))</f>
        <v>2.1630895749452637</v>
      </c>
      <c r="P22" s="172">
        <f>_xlfn.XLOOKUP($B$15,'Macro Stressers'!$A$28:$A$30,'Macro Stressers'!$C$28:$C$30,,0)</f>
        <v>6.0999999999999999E-2</v>
      </c>
      <c r="Q22" s="172"/>
      <c r="R22" s="172"/>
      <c r="S22" s="143"/>
    </row>
    <row r="23" spans="2:24" ht="33" customHeight="1" x14ac:dyDescent="0.4">
      <c r="B23" s="159" t="s">
        <v>234</v>
      </c>
      <c r="C23" s="165" cm="1">
        <f t="array" ref="C23">IF('Macro Stress Test'!$B$15="Adverse",
-(SUM(Adverse_Stress[ECL]*Adverse_Stress[Loan Count(in M)])-
SUM(Base_Stress[ECL]*Base_Stress[Loan Count(in M)])),
-(SUM(Severely_Adverse_Stress[ECL]*Severely_Adverse_Stress[Loan Count(in M)])-
SUM(Base_Stress[ECL]*Base_Stress[Loan Count(in M)]))
)</f>
        <v>-162.27689480381218</v>
      </c>
      <c r="F23" s="151" t="s">
        <v>29</v>
      </c>
      <c r="G23" s="152" t="s">
        <v>37</v>
      </c>
      <c r="H23" s="153" cm="1">
        <f t="array" ref="H23">IF($B$15="Base",
    _xlfn.XLOOKUP(
        1,
        (Base_Stress[Age]=$F23)*
        (Base_Stress[Income]=$G23)*
        (Base_Stress[Credit Category]=H$20),
        Base_Stress[CM Per User]
    ),
IF($B$15="Adverse",
    _xlfn.XLOOKUP(
        1,
        (Adverse_Stress[Age]=$F23)*
        (Adverse_Stress[Income]=$G23)*
        (Adverse_Stress[Credit Category]=H$20),
        Adverse_Stress[CM Per User]
    ),
    _xlfn.XLOOKUP(
        1,
        (Severely_Adverse_Stress[Age]=$F23)*
        (Severely_Adverse_Stress[Income]=$G23)*
        (Severely_Adverse_Stress[Credit Category]=H$20),
        Severely_Adverse_Stress[CM Per User]
    )
))</f>
        <v>-56.008922846830757</v>
      </c>
      <c r="I23" s="153" cm="1">
        <f t="array" ref="I23">IF($B$15="Base",
    _xlfn.XLOOKUP(
        1,
        (Base_Stress[Age]=$F23)*
        (Base_Stress[Income]=$G23)*
        (Base_Stress[Credit Category]=I$20),
        Base_Stress[CM Per User]
    ),
IF($B$15="Adverse",
    _xlfn.XLOOKUP(
        1,
        (Adverse_Stress[Age]=$F23)*
        (Adverse_Stress[Income]=$G23)*
        (Adverse_Stress[Credit Category]=I$20),
        Adverse_Stress[CM Per User]
    ),
    _xlfn.XLOOKUP(
        1,
        (Severely_Adverse_Stress[Age]=$F23)*
        (Severely_Adverse_Stress[Income]=$G23)*
        (Severely_Adverse_Stress[Credit Category]=I$20),
        Severely_Adverse_Stress[CM Per User]
    )
))</f>
        <v>-5.540595459314269</v>
      </c>
      <c r="J23" s="153" cm="1">
        <f t="array" ref="J23">IF($B$15="Base",
    _xlfn.XLOOKUP(
        1,
        (Base_Stress[Age]=$F23)*
        (Base_Stress[Income]=$G23)*
        (Base_Stress[Credit Category]=J$20),
        Base_Stress[CM Per User]
    ),
IF($B$15="Adverse",
    _xlfn.XLOOKUP(
        1,
        (Adverse_Stress[Age]=$F23)*
        (Adverse_Stress[Income]=$G23)*
        (Adverse_Stress[Credit Category]=J$20),
        Adverse_Stress[CM Per User]
    ),
    _xlfn.XLOOKUP(
        1,
        (Severely_Adverse_Stress[Age]=$F23)*
        (Severely_Adverse_Stress[Income]=$G23)*
        (Severely_Adverse_Stress[Credit Category]=J$20),
        Severely_Adverse_Stress[CM Per User]
    )
))</f>
        <v>-0.6942407198621694</v>
      </c>
      <c r="K23" s="153" cm="1">
        <f t="array" ref="K23">IF($B$15="Base",
    _xlfn.XLOOKUP(
        1,
        (Base_Stress[Age]=$F23)*
        (Base_Stress[Income]=$G23)*
        (Base_Stress[Credit Category]=K$20),
        Base_Stress[CM Per User]
    ),
IF($B$15="Adverse",
    _xlfn.XLOOKUP(
        1,
        (Adverse_Stress[Age]=$F23)*
        (Adverse_Stress[Income]=$G23)*
        (Adverse_Stress[Credit Category]=K$20),
        Adverse_Stress[CM Per User]
    ),
    _xlfn.XLOOKUP(
        1,
        (Severely_Adverse_Stress[Age]=$F23)*
        (Severely_Adverse_Stress[Income]=$G23)*
        (Severely_Adverse_Stress[Credit Category]=K$20),
        Severely_Adverse_Stress[CM Per User]
    )
))</f>
        <v>4.8505902026416381</v>
      </c>
      <c r="L23" s="154" cm="1">
        <f t="array" ref="L23">IF($B$15="Base",
    _xlfn.XLOOKUP(
        1,
        (Base_Stress[Age]=$F23)*
        (Base_Stress[Income]=$G23)*
        (Base_Stress[Credit Category]=L$20),
        Base_Stress[CM Per User]
    ),
IF($B$15="Adverse",
    _xlfn.XLOOKUP(
        1,
        (Adverse_Stress[Age]=$F23)*
        (Adverse_Stress[Income]=$G23)*
        (Adverse_Stress[Credit Category]=L$20),
        Adverse_Stress[CM Per User]
    ),
    _xlfn.XLOOKUP(
        1,
        (Severely_Adverse_Stress[Age]=$F23)*
        (Severely_Adverse_Stress[Income]=$G23)*
        (Severely_Adverse_Stress[Credit Category]=L$20),
        Severely_Adverse_Stress[CM Per User]
    )
))</f>
        <v>8.8218280488829102</v>
      </c>
      <c r="P23" s="173"/>
      <c r="Q23" s="173"/>
      <c r="R23" s="173"/>
      <c r="S23" s="143"/>
    </row>
    <row r="24" spans="2:24" ht="34" customHeight="1" x14ac:dyDescent="0.4">
      <c r="B24" s="159" t="s">
        <v>238</v>
      </c>
      <c r="C24" s="165" cm="1">
        <f t="array" ref="C24">IF('Macro Stress Test'!$B$15="Adverse",
-(SUM(Adverse_Stress[Funding Cost]*Adverse_Stress[Loan Count(in M)])-
SUM(Base_Stress[Funding Cost]*Base_Stress[Loan Count(in M)])),
-(SUM(Severely_Adverse_Stress[Funding Cost]*Severely_Adverse_Stress[Loan Count(in M)])-
SUM(Base_Stress[Funding Cost]*Base_Stress[Loan Count(in M)]))
)</f>
        <v>91.052340969907732</v>
      </c>
      <c r="F24" s="151" t="s">
        <v>30</v>
      </c>
      <c r="G24" s="152" t="s">
        <v>35</v>
      </c>
      <c r="H24" s="153" cm="1">
        <f t="array" ref="H24">IF($B$15="Base",
    _xlfn.XLOOKUP(
        1,
        (Base_Stress[Age]=$F24)*
        (Base_Stress[Income]=$G24)*
        (Base_Stress[Credit Category]=H$20),
        Base_Stress[CM Per User]
    ),
IF($B$15="Adverse",
    _xlfn.XLOOKUP(
        1,
        (Adverse_Stress[Age]=$F24)*
        (Adverse_Stress[Income]=$G24)*
        (Adverse_Stress[Credit Category]=H$20),
        Adverse_Stress[CM Per User]
    ),
    _xlfn.XLOOKUP(
        1,
        (Severely_Adverse_Stress[Age]=$F24)*
        (Severely_Adverse_Stress[Income]=$G24)*
        (Severely_Adverse_Stress[Credit Category]=H$20),
        Severely_Adverse_Stress[CM Per User]
    )
))</f>
        <v>-50.489124851900783</v>
      </c>
      <c r="I24" s="153" cm="1">
        <f t="array" ref="I24">IF($B$15="Base",
    _xlfn.XLOOKUP(
        1,
        (Base_Stress[Age]=$F24)*
        (Base_Stress[Income]=$G24)*
        (Base_Stress[Credit Category]=I$20),
        Base_Stress[CM Per User]
    ),
IF($B$15="Adverse",
    _xlfn.XLOOKUP(
        1,
        (Adverse_Stress[Age]=$F24)*
        (Adverse_Stress[Income]=$G24)*
        (Adverse_Stress[Credit Category]=I$20),
        Adverse_Stress[CM Per User]
    ),
    _xlfn.XLOOKUP(
        1,
        (Severely_Adverse_Stress[Age]=$F24)*
        (Severely_Adverse_Stress[Income]=$G24)*
        (Severely_Adverse_Stress[Credit Category]=I$20),
        Severely_Adverse_Stress[CM Per User]
    )
))</f>
        <v>-7.0664445262460625</v>
      </c>
      <c r="J24" s="153" cm="1">
        <f t="array" ref="J24">IF($B$15="Base",
    _xlfn.XLOOKUP(
        1,
        (Base_Stress[Age]=$F24)*
        (Base_Stress[Income]=$G24)*
        (Base_Stress[Credit Category]=J$20),
        Base_Stress[CM Per User]
    ),
IF($B$15="Adverse",
    _xlfn.XLOOKUP(
        1,
        (Adverse_Stress[Age]=$F24)*
        (Adverse_Stress[Income]=$G24)*
        (Adverse_Stress[Credit Category]=J$20),
        Adverse_Stress[CM Per User]
    ),
    _xlfn.XLOOKUP(
        1,
        (Severely_Adverse_Stress[Age]=$F24)*
        (Severely_Adverse_Stress[Income]=$G24)*
        (Severely_Adverse_Stress[Credit Category]=J$20),
        Severely_Adverse_Stress[CM Per User]
    )
))</f>
        <v>-3.6854783561030047</v>
      </c>
      <c r="K24" s="153" cm="1">
        <f t="array" ref="K24">IF($B$15="Base",
    _xlfn.XLOOKUP(
        1,
        (Base_Stress[Age]=$F24)*
        (Base_Stress[Income]=$G24)*
        (Base_Stress[Credit Category]=K$20),
        Base_Stress[CM Per User]
    ),
IF($B$15="Adverse",
    _xlfn.XLOOKUP(
        1,
        (Adverse_Stress[Age]=$F24)*
        (Adverse_Stress[Income]=$G24)*
        (Adverse_Stress[Credit Category]=K$20),
        Adverse_Stress[CM Per User]
    ),
    _xlfn.XLOOKUP(
        1,
        (Severely_Adverse_Stress[Age]=$F24)*
        (Severely_Adverse_Stress[Income]=$G24)*
        (Severely_Adverse_Stress[Credit Category]=K$20),
        Severely_Adverse_Stress[CM Per User]
    )
))</f>
        <v>-0.29712266588683167</v>
      </c>
      <c r="L24" s="154" cm="1">
        <f t="array" ref="L24">IF($B$15="Base",
    _xlfn.XLOOKUP(
        1,
        (Base_Stress[Age]=$F24)*
        (Base_Stress[Income]=$G24)*
        (Base_Stress[Credit Category]=L$20),
        Base_Stress[CM Per User]
    ),
IF($B$15="Adverse",
    _xlfn.XLOOKUP(
        1,
        (Adverse_Stress[Age]=$F24)*
        (Adverse_Stress[Income]=$G24)*
        (Adverse_Stress[Credit Category]=L$20),
        Adverse_Stress[CM Per User]
    ),
    _xlfn.XLOOKUP(
        1,
        (Severely_Adverse_Stress[Age]=$F24)*
        (Severely_Adverse_Stress[Income]=$G24)*
        (Severely_Adverse_Stress[Credit Category]=L$20),
        Severely_Adverse_Stress[CM Per User]
    )
))</f>
        <v>2.0164320434831424</v>
      </c>
      <c r="P24" s="143"/>
      <c r="Q24" s="143"/>
      <c r="R24" s="143"/>
      <c r="S24" s="143"/>
    </row>
    <row r="25" spans="2:24" ht="34" customHeight="1" x14ac:dyDescent="0.4">
      <c r="B25" s="159" t="s">
        <v>239</v>
      </c>
      <c r="C25" s="165">
        <f>IF('Macro Stress Test'!$B$15="Adverse",
3*(SUM(Base_Stress[Loan Count(in M)])-
SUM(Adverse_Stress[Loan Count(in M)])),
3*(SUM(Base_Stress[Loan Count(in M)])-
SUM(Severely_Adverse_Stress[Loan Count(in M)]))
)</f>
        <v>260.90421765181361</v>
      </c>
      <c r="F25" s="151" t="s">
        <v>30</v>
      </c>
      <c r="G25" s="152" t="s">
        <v>36</v>
      </c>
      <c r="H25" s="153" cm="1">
        <f t="array" ref="H25">IF($B$15="Base",
    _xlfn.XLOOKUP(
        1,
        (Base_Stress[Age]=$F25)*
        (Base_Stress[Income]=$G25)*
        (Base_Stress[Credit Category]=H$20),
        Base_Stress[CM Per User]
    ),
IF($B$15="Adverse",
    _xlfn.XLOOKUP(
        1,
        (Adverse_Stress[Age]=$F25)*
        (Adverse_Stress[Income]=$G25)*
        (Adverse_Stress[Credit Category]=H$20),
        Adverse_Stress[CM Per User]
    ),
    _xlfn.XLOOKUP(
        1,
        (Severely_Adverse_Stress[Age]=$F25)*
        (Severely_Adverse_Stress[Income]=$G25)*
        (Severely_Adverse_Stress[Credit Category]=H$20),
        Severely_Adverse_Stress[CM Per User]
    )
))</f>
        <v>-55.804785382702107</v>
      </c>
      <c r="I25" s="153" cm="1">
        <f t="array" ref="I25">IF($B$15="Base",
    _xlfn.XLOOKUP(
        1,
        (Base_Stress[Age]=$F25)*
        (Base_Stress[Income]=$G25)*
        (Base_Stress[Credit Category]=I$20),
        Base_Stress[CM Per User]
    ),
IF($B$15="Adverse",
    _xlfn.XLOOKUP(
        1,
        (Adverse_Stress[Age]=$F25)*
        (Adverse_Stress[Income]=$G25)*
        (Adverse_Stress[Credit Category]=I$20),
        Adverse_Stress[CM Per User]
    ),
    _xlfn.XLOOKUP(
        1,
        (Severely_Adverse_Stress[Age]=$F25)*
        (Severely_Adverse_Stress[Income]=$G25)*
        (Severely_Adverse_Stress[Credit Category]=I$20),
        Severely_Adverse_Stress[CM Per User]
    )
))</f>
        <v>-5.3797876320445122</v>
      </c>
      <c r="J25" s="153" cm="1">
        <f t="array" ref="J25">IF($B$15="Base",
    _xlfn.XLOOKUP(
        1,
        (Base_Stress[Age]=$F25)*
        (Base_Stress[Income]=$G25)*
        (Base_Stress[Credit Category]=J$20),
        Base_Stress[CM Per User]
    ),
IF($B$15="Adverse",
    _xlfn.XLOOKUP(
        1,
        (Adverse_Stress[Age]=$F25)*
        (Adverse_Stress[Income]=$G25)*
        (Adverse_Stress[Credit Category]=J$20),
        Adverse_Stress[CM Per User]
    ),
    _xlfn.XLOOKUP(
        1,
        (Severely_Adverse_Stress[Age]=$F25)*
        (Severely_Adverse_Stress[Income]=$G25)*
        (Severely_Adverse_Stress[Credit Category]=J$20),
        Severely_Adverse_Stress[CM Per User]
    )
))</f>
        <v>0.39895907365835787</v>
      </c>
      <c r="K25" s="153" cm="1">
        <f t="array" ref="K25">IF($B$15="Base",
    _xlfn.XLOOKUP(
        1,
        (Base_Stress[Age]=$F25)*
        (Base_Stress[Income]=$G25)*
        (Base_Stress[Credit Category]=K$20),
        Base_Stress[CM Per User]
    ),
IF($B$15="Adverse",
    _xlfn.XLOOKUP(
        1,
        (Adverse_Stress[Age]=$F25)*
        (Adverse_Stress[Income]=$G25)*
        (Adverse_Stress[Credit Category]=K$20),
        Adverse_Stress[CM Per User]
    ),
    _xlfn.XLOOKUP(
        1,
        (Severely_Adverse_Stress[Age]=$F25)*
        (Severely_Adverse_Stress[Income]=$G25)*
        (Severely_Adverse_Stress[Credit Category]=K$20),
        Severely_Adverse_Stress[CM Per User]
    )
))</f>
        <v>5.7105475663004501</v>
      </c>
      <c r="L25" s="154" cm="1">
        <f t="array" ref="L25">IF($B$15="Base",
    _xlfn.XLOOKUP(
        1,
        (Base_Stress[Age]=$F25)*
        (Base_Stress[Income]=$G25)*
        (Base_Stress[Credit Category]=L$20),
        Base_Stress[CM Per User]
    ),
IF($B$15="Adverse",
    _xlfn.XLOOKUP(
        1,
        (Adverse_Stress[Age]=$F25)*
        (Adverse_Stress[Income]=$G25)*
        (Adverse_Stress[Credit Category]=L$20),
        Adverse_Stress[CM Per User]
    ),
    _xlfn.XLOOKUP(
        1,
        (Severely_Adverse_Stress[Age]=$F25)*
        (Severely_Adverse_Stress[Income]=$G25)*
        (Severely_Adverse_Stress[Credit Category]=L$20),
        Severely_Adverse_Stress[CM Per User]
    )
))</f>
        <v>10.068268544410969</v>
      </c>
      <c r="P25" s="143"/>
      <c r="Q25" s="143"/>
      <c r="R25" s="143"/>
      <c r="S25" s="143"/>
      <c r="X25" t="s">
        <v>80</v>
      </c>
    </row>
    <row r="26" spans="2:24" ht="34" x14ac:dyDescent="0.4">
      <c r="B26" s="160"/>
      <c r="C26" s="166"/>
      <c r="F26" s="151" t="s">
        <v>30</v>
      </c>
      <c r="G26" s="152" t="s">
        <v>37</v>
      </c>
      <c r="H26" s="153" cm="1">
        <f t="array" ref="H26">IF($B$15="Base",
    _xlfn.XLOOKUP(
        1,
        (Base_Stress[Age]=$F26)*
        (Base_Stress[Income]=$G26)*
        (Base_Stress[Credit Category]=H$20),
        Base_Stress[CM Per User]
    ),
IF($B$15="Adverse",
    _xlfn.XLOOKUP(
        1,
        (Adverse_Stress[Age]=$F26)*
        (Adverse_Stress[Income]=$G26)*
        (Adverse_Stress[Credit Category]=H$20),
        Adverse_Stress[CM Per User]
    ),
    _xlfn.XLOOKUP(
        1,
        (Severely_Adverse_Stress[Age]=$F26)*
        (Severely_Adverse_Stress[Income]=$G26)*
        (Severely_Adverse_Stress[Credit Category]=H$20),
        Severely_Adverse_Stress[CM Per User]
    )
))</f>
        <v>-69.062744068460717</v>
      </c>
      <c r="I26" s="153" cm="1">
        <f t="array" ref="I26">IF($B$15="Base",
    _xlfn.XLOOKUP(
        1,
        (Base_Stress[Age]=$F26)*
        (Base_Stress[Income]=$G26)*
        (Base_Stress[Credit Category]=I$20),
        Base_Stress[CM Per User]
    ),
IF($B$15="Adverse",
    _xlfn.XLOOKUP(
        1,
        (Adverse_Stress[Age]=$F26)*
        (Adverse_Stress[Income]=$G26)*
        (Adverse_Stress[Credit Category]=I$20),
        Adverse_Stress[CM Per User]
    ),
    _xlfn.XLOOKUP(
        1,
        (Severely_Adverse_Stress[Age]=$F26)*
        (Severely_Adverse_Stress[Income]=$G26)*
        (Severely_Adverse_Stress[Credit Category]=I$20),
        Severely_Adverse_Stress[CM Per User]
    )
))</f>
        <v>-1.8712833623504335</v>
      </c>
      <c r="J26" s="153" cm="1">
        <f t="array" ref="J26">IF($B$15="Base",
    _xlfn.XLOOKUP(
        1,
        (Base_Stress[Age]=$F26)*
        (Base_Stress[Income]=$G26)*
        (Base_Stress[Credit Category]=J$20),
        Base_Stress[CM Per User]
    ),
IF($B$15="Adverse",
    _xlfn.XLOOKUP(
        1,
        (Adverse_Stress[Age]=$F26)*
        (Adverse_Stress[Income]=$G26)*
        (Adverse_Stress[Credit Category]=J$20),
        Adverse_Stress[CM Per User]
    ),
    _xlfn.XLOOKUP(
        1,
        (Severely_Adverse_Stress[Age]=$F26)*
        (Severely_Adverse_Stress[Income]=$G26)*
        (Severely_Adverse_Stress[Credit Category]=J$20),
        Severely_Adverse_Stress[CM Per User]
    )
))</f>
        <v>8.2634504650712959</v>
      </c>
      <c r="K26" s="153" cm="1">
        <f t="array" ref="K26">IF($B$15="Base",
    _xlfn.XLOOKUP(
        1,
        (Base_Stress[Age]=$F26)*
        (Base_Stress[Income]=$G26)*
        (Base_Stress[Credit Category]=K$20),
        Base_Stress[CM Per User]
    ),
IF($B$15="Adverse",
    _xlfn.XLOOKUP(
        1,
        (Adverse_Stress[Age]=$F26)*
        (Adverse_Stress[Income]=$G26)*
        (Adverse_Stress[Credit Category]=K$20),
        Adverse_Stress[CM Per User]
    ),
    _xlfn.XLOOKUP(
        1,
        (Severely_Adverse_Stress[Age]=$F26)*
        (Severely_Adverse_Stress[Income]=$G26)*
        (Severely_Adverse_Stress[Credit Category]=K$20),
        Severely_Adverse_Stress[CM Per User]
    )
))</f>
        <v>15.572461539677393</v>
      </c>
      <c r="L26" s="154" cm="1">
        <f t="array" ref="L26">IF($B$15="Base",
    _xlfn.XLOOKUP(
        1,
        (Base_Stress[Age]=$F26)*
        (Base_Stress[Income]=$G26)*
        (Base_Stress[Credit Category]=L$20),
        Base_Stress[CM Per User]
    ),
IF($B$15="Adverse",
    _xlfn.XLOOKUP(
        1,
        (Adverse_Stress[Age]=$F26)*
        (Adverse_Stress[Income]=$G26)*
        (Adverse_Stress[Credit Category]=L$20),
        Adverse_Stress[CM Per User]
    ),
    _xlfn.XLOOKUP(
        1,
        (Severely_Adverse_Stress[Age]=$F26)*
        (Severely_Adverse_Stress[Income]=$G26)*
        (Severely_Adverse_Stress[Credit Category]=L$20),
        Severely_Adverse_Stress[CM Per User]
    )
))</f>
        <v>17.880935025534388</v>
      </c>
    </row>
    <row r="27" spans="2:24" ht="34" customHeight="1" thickBot="1" x14ac:dyDescent="0.45">
      <c r="B27" s="161" t="s">
        <v>235</v>
      </c>
      <c r="C27" s="167">
        <f>IF('Macro Stress Test'!$B$15="Adverse",
SUM(Adverse_Stress[CM Per Segment]),
SUM(Severely_Adverse_Stress[CM Per Segment])
)</f>
        <v>-475.52981961693877</v>
      </c>
      <c r="F27" s="151" t="s">
        <v>32</v>
      </c>
      <c r="G27" s="152" t="s">
        <v>35</v>
      </c>
      <c r="H27" s="153" cm="1">
        <f t="array" ref="H27">IF($B$15="Base",
    _xlfn.XLOOKUP(
        1,
        (Base_Stress[Age]=$F27)*
        (Base_Stress[Income]=$G27)*
        (Base_Stress[Credit Category]=H$20),
        Base_Stress[CM Per User]
    ),
IF($B$15="Adverse",
    _xlfn.XLOOKUP(
        1,
        (Adverse_Stress[Age]=$F27)*
        (Adverse_Stress[Income]=$G27)*
        (Adverse_Stress[Credit Category]=H$20),
        Adverse_Stress[CM Per User]
    ),
    _xlfn.XLOOKUP(
        1,
        (Severely_Adverse_Stress[Age]=$F27)*
        (Severely_Adverse_Stress[Income]=$G27)*
        (Severely_Adverse_Stress[Credit Category]=H$20),
        Severely_Adverse_Stress[CM Per User]
    )
))</f>
        <v>-47.558225429362743</v>
      </c>
      <c r="I27" s="153" cm="1">
        <f t="array" ref="I27">IF($B$15="Base",
    _xlfn.XLOOKUP(
        1,
        (Base_Stress[Age]=$F27)*
        (Base_Stress[Income]=$G27)*
        (Base_Stress[Credit Category]=I$20),
        Base_Stress[CM Per User]
    ),
IF($B$15="Adverse",
    _xlfn.XLOOKUP(
        1,
        (Adverse_Stress[Age]=$F27)*
        (Adverse_Stress[Income]=$G27)*
        (Adverse_Stress[Credit Category]=I$20),
        Adverse_Stress[CM Per User]
    ),
    _xlfn.XLOOKUP(
        1,
        (Severely_Adverse_Stress[Age]=$F27)*
        (Severely_Adverse_Stress[Income]=$G27)*
        (Severely_Adverse_Stress[Credit Category]=I$20),
        Severely_Adverse_Stress[CM Per User]
    )
))</f>
        <v>-6.57632654045464</v>
      </c>
      <c r="J27" s="153" cm="1">
        <f t="array" ref="J27">IF($B$15="Base",
    _xlfn.XLOOKUP(
        1,
        (Base_Stress[Age]=$F27)*
        (Base_Stress[Income]=$G27)*
        (Base_Stress[Credit Category]=J$20),
        Base_Stress[CM Per User]
    ),
IF($B$15="Adverse",
    _xlfn.XLOOKUP(
        1,
        (Adverse_Stress[Age]=$F27)*
        (Adverse_Stress[Income]=$G27)*
        (Adverse_Stress[Credit Category]=J$20),
        Adverse_Stress[CM Per User]
    ),
    _xlfn.XLOOKUP(
        1,
        (Severely_Adverse_Stress[Age]=$F27)*
        (Severely_Adverse_Stress[Income]=$G27)*
        (Severely_Adverse_Stress[Credit Category]=J$20),
        Severely_Adverse_Stress[CM Per User]
    )
))</f>
        <v>-3.2064269226768256</v>
      </c>
      <c r="K27" s="153" cm="1">
        <f t="array" ref="K27">IF($B$15="Base",
    _xlfn.XLOOKUP(
        1,
        (Base_Stress[Age]=$F27)*
        (Base_Stress[Income]=$G27)*
        (Base_Stress[Credit Category]=K$20),
        Base_Stress[CM Per User]
    ),
IF($B$15="Adverse",
    _xlfn.XLOOKUP(
        1,
        (Adverse_Stress[Age]=$F27)*
        (Adverse_Stress[Income]=$G27)*
        (Adverse_Stress[Credit Category]=K$20),
        Adverse_Stress[CM Per User]
    ),
    _xlfn.XLOOKUP(
        1,
        (Severely_Adverse_Stress[Age]=$F27)*
        (Severely_Adverse_Stress[Income]=$G27)*
        (Severely_Adverse_Stress[Credit Category]=K$20),
        Severely_Adverse_Stress[CM Per User]
    )
))</f>
        <v>0.15220265908888209</v>
      </c>
      <c r="L27" s="154" cm="1">
        <f t="array" ref="L27">IF($B$15="Base",
    _xlfn.XLOOKUP(
        1,
        (Base_Stress[Age]=$F27)*
        (Base_Stress[Income]=$G27)*
        (Base_Stress[Credit Category]=L$20),
        Base_Stress[CM Per User]
    ),
IF($B$15="Adverse",
    _xlfn.XLOOKUP(
        1,
        (Adverse_Stress[Age]=$F27)*
        (Adverse_Stress[Income]=$G27)*
        (Adverse_Stress[Credit Category]=L$20),
        Adverse_Stress[CM Per User]
    ),
    _xlfn.XLOOKUP(
        1,
        (Severely_Adverse_Stress[Age]=$F27)*
        (Severely_Adverse_Stress[Income]=$G27)*
        (Severely_Adverse_Stress[Credit Category]=L$20),
        Severely_Adverse_Stress[CM Per User]
    )
))</f>
        <v>2.1218035354432438</v>
      </c>
    </row>
    <row r="28" spans="2:24" ht="32" x14ac:dyDescent="0.4">
      <c r="F28" s="151" t="s">
        <v>32</v>
      </c>
      <c r="G28" s="152" t="s">
        <v>36</v>
      </c>
      <c r="H28" s="153" cm="1">
        <f t="array" ref="H28">IF($B$15="Base",
    _xlfn.XLOOKUP(
        1,
        (Base_Stress[Age]=$F28)*
        (Base_Stress[Income]=$G28)*
        (Base_Stress[Credit Category]=H$20),
        Base_Stress[CM Per User]
    ),
IF($B$15="Adverse",
    _xlfn.XLOOKUP(
        1,
        (Adverse_Stress[Age]=$F28)*
        (Adverse_Stress[Income]=$G28)*
        (Adverse_Stress[Credit Category]=H$20),
        Adverse_Stress[CM Per User]
    ),
    _xlfn.XLOOKUP(
        1,
        (Severely_Adverse_Stress[Age]=$F28)*
        (Severely_Adverse_Stress[Income]=$G28)*
        (Severely_Adverse_Stress[Credit Category]=H$20),
        Severely_Adverse_Stress[CM Per User]
    )
))</f>
        <v>-56.335360453449674</v>
      </c>
      <c r="I28" s="153" cm="1">
        <f t="array" ref="I28">IF($B$15="Base",
    _xlfn.XLOOKUP(
        1,
        (Base_Stress[Age]=$F28)*
        (Base_Stress[Income]=$G28)*
        (Base_Stress[Credit Category]=I$20),
        Base_Stress[CM Per User]
    ),
IF($B$15="Adverse",
    _xlfn.XLOOKUP(
        1,
        (Adverse_Stress[Age]=$F28)*
        (Adverse_Stress[Income]=$G28)*
        (Adverse_Stress[Credit Category]=I$20),
        Adverse_Stress[CM Per User]
    ),
    _xlfn.XLOOKUP(
        1,
        (Severely_Adverse_Stress[Age]=$F28)*
        (Severely_Adverse_Stress[Income]=$G28)*
        (Severely_Adverse_Stress[Credit Category]=I$20),
        Severely_Adverse_Stress[CM Per User]
    )
))</f>
        <v>-4.0471224213118004</v>
      </c>
      <c r="J28" s="153" cm="1">
        <f t="array" ref="J28">IF($B$15="Base",
    _xlfn.XLOOKUP(
        1,
        (Base_Stress[Age]=$F28)*
        (Base_Stress[Income]=$G28)*
        (Base_Stress[Credit Category]=J$20),
        Base_Stress[CM Per User]
    ),
IF($B$15="Adverse",
    _xlfn.XLOOKUP(
        1,
        (Adverse_Stress[Age]=$F28)*
        (Adverse_Stress[Income]=$G28)*
        (Adverse_Stress[Credit Category]=J$20),
        Adverse_Stress[CM Per User]
    ),
    _xlfn.XLOOKUP(
        1,
        (Severely_Adverse_Stress[Age]=$F28)*
        (Severely_Adverse_Stress[Income]=$G28)*
        (Severely_Adverse_Stress[Credit Category]=J$20),
        Severely_Adverse_Stress[CM Per User]
    )
))</f>
        <v>3.1288697485112844</v>
      </c>
      <c r="K28" s="153" cm="1">
        <f t="array" ref="K28">IF($B$15="Base",
    _xlfn.XLOOKUP(
        1,
        (Base_Stress[Age]=$F28)*
        (Base_Stress[Income]=$G28)*
        (Base_Stress[Credit Category]=K$20),
        Base_Stress[CM Per User]
    ),
IF($B$15="Adverse",
    _xlfn.XLOOKUP(
        1,
        (Adverse_Stress[Age]=$F28)*
        (Adverse_Stress[Income]=$G28)*
        (Adverse_Stress[Credit Category]=K$20),
        Adverse_Stress[CM Per User]
    ),
    _xlfn.XLOOKUP(
        1,
        (Severely_Adverse_Stress[Age]=$F28)*
        (Severely_Adverse_Stress[Income]=$G28)*
        (Severely_Adverse_Stress[Credit Category]=K$20),
        Severely_Adverse_Stress[CM Per User]
    )
))</f>
        <v>10.06100633095553</v>
      </c>
      <c r="L28" s="154" cm="1">
        <f t="array" ref="L28">IF($B$15="Base",
    _xlfn.XLOOKUP(
        1,
        (Base_Stress[Age]=$F28)*
        (Base_Stress[Income]=$G28)*
        (Base_Stress[Credit Category]=L$20),
        Base_Stress[CM Per User]
    ),
IF($B$15="Adverse",
    _xlfn.XLOOKUP(
        1,
        (Adverse_Stress[Age]=$F28)*
        (Adverse_Stress[Income]=$G28)*
        (Adverse_Stress[Credit Category]=L$20),
        Adverse_Stress[CM Per User]
    ),
    _xlfn.XLOOKUP(
        1,
        (Severely_Adverse_Stress[Age]=$F28)*
        (Severely_Adverse_Stress[Income]=$G28)*
        (Severely_Adverse_Stress[Credit Category]=L$20),
        Severely_Adverse_Stress[CM Per User]
    )
))</f>
        <v>14.658685624937846</v>
      </c>
    </row>
    <row r="29" spans="2:24" ht="32" x14ac:dyDescent="0.4">
      <c r="F29" s="151" t="s">
        <v>32</v>
      </c>
      <c r="G29" s="152" t="s">
        <v>37</v>
      </c>
      <c r="H29" s="153" cm="1">
        <f t="array" ref="H29">IF($B$15="Base",
    _xlfn.XLOOKUP(
        1,
        (Base_Stress[Age]=$F29)*
        (Base_Stress[Income]=$G29)*
        (Base_Stress[Credit Category]=H$20),
        Base_Stress[CM Per User]
    ),
IF($B$15="Adverse",
    _xlfn.XLOOKUP(
        1,
        (Adverse_Stress[Age]=$F29)*
        (Adverse_Stress[Income]=$G29)*
        (Adverse_Stress[Credit Category]=H$20),
        Adverse_Stress[CM Per User]
    ),
    _xlfn.XLOOKUP(
        1,
        (Severely_Adverse_Stress[Age]=$F29)*
        (Severely_Adverse_Stress[Income]=$G29)*
        (Severely_Adverse_Stress[Credit Category]=H$20),
        Severely_Adverse_Stress[CM Per User]
    )
))</f>
        <v>-73.675780923296514</v>
      </c>
      <c r="I29" s="153" cm="1">
        <f t="array" ref="I29">IF($B$15="Base",
    _xlfn.XLOOKUP(
        1,
        (Base_Stress[Age]=$F29)*
        (Base_Stress[Income]=$G29)*
        (Base_Stress[Credit Category]=I$20),
        Base_Stress[CM Per User]
    ),
IF($B$15="Adverse",
    _xlfn.XLOOKUP(
        1,
        (Adverse_Stress[Age]=$F29)*
        (Adverse_Stress[Income]=$G29)*
        (Adverse_Stress[Credit Category]=I$20),
        Adverse_Stress[CM Per User]
    ),
    _xlfn.XLOOKUP(
        1,
        (Severely_Adverse_Stress[Age]=$F29)*
        (Severely_Adverse_Stress[Income]=$G29)*
        (Severely_Adverse_Stress[Credit Category]=I$20),
        Severely_Adverse_Stress[CM Per User]
    )
))</f>
        <v>0.53224439465683338</v>
      </c>
      <c r="J29" s="153" cm="1">
        <f t="array" ref="J29">IF($B$15="Base",
    _xlfn.XLOOKUP(
        1,
        (Base_Stress[Age]=$F29)*
        (Base_Stress[Income]=$G29)*
        (Base_Stress[Credit Category]=J$20),
        Base_Stress[CM Per User]
    ),
IF($B$15="Adverse",
    _xlfn.XLOOKUP(
        1,
        (Adverse_Stress[Age]=$F29)*
        (Adverse_Stress[Income]=$G29)*
        (Adverse_Stress[Credit Category]=J$20),
        Adverse_Stress[CM Per User]
    ),
    _xlfn.XLOOKUP(
        1,
        (Severely_Adverse_Stress[Age]=$F29)*
        (Severely_Adverse_Stress[Income]=$G29)*
        (Severely_Adverse_Stress[Credit Category]=J$20),
        Severely_Adverse_Stress[CM Per User]
    )
))</f>
        <v>13.159477859072481</v>
      </c>
      <c r="K29" s="153" cm="1">
        <f t="array" ref="K29">IF($B$15="Base",
    _xlfn.XLOOKUP(
        1,
        (Base_Stress[Age]=$F29)*
        (Base_Stress[Income]=$G29)*
        (Base_Stress[Credit Category]=K$20),
        Base_Stress[CM Per User]
    ),
IF($B$15="Adverse",
    _xlfn.XLOOKUP(
        1,
        (Adverse_Stress[Age]=$F29)*
        (Adverse_Stress[Income]=$G29)*
        (Adverse_Stress[Credit Category]=K$20),
        Adverse_Stress[CM Per User]
    ),
    _xlfn.XLOOKUP(
        1,
        (Severely_Adverse_Stress[Age]=$F29)*
        (Severely_Adverse_Stress[Income]=$G29)*
        (Severely_Adverse_Stress[Credit Category]=K$20),
        Severely_Adverse_Stress[CM Per User]
    )
))</f>
        <v>17.952302642457592</v>
      </c>
      <c r="L29" s="154" cm="1">
        <f t="array" ref="L29">IF($B$15="Base",
    _xlfn.XLOOKUP(
        1,
        (Base_Stress[Age]=$F29)*
        (Base_Stress[Income]=$G29)*
        (Base_Stress[Credit Category]=L$20),
        Base_Stress[CM Per User]
    ),
IF($B$15="Adverse",
    _xlfn.XLOOKUP(
        1,
        (Adverse_Stress[Age]=$F29)*
        (Adverse_Stress[Income]=$G29)*
        (Adverse_Stress[Credit Category]=L$20),
        Adverse_Stress[CM Per User]
    ),
    _xlfn.XLOOKUP(
        1,
        (Severely_Adverse_Stress[Age]=$F29)*
        (Severely_Adverse_Stress[Income]=$G29)*
        (Severely_Adverse_Stress[Credit Category]=L$20),
        Severely_Adverse_Stress[CM Per User]
    )
))</f>
        <v>17.874231384343247</v>
      </c>
      <c r="P29" s="169" t="s">
        <v>246</v>
      </c>
      <c r="Q29" s="169"/>
      <c r="R29" s="169"/>
    </row>
    <row r="30" spans="2:24" ht="32" x14ac:dyDescent="0.4">
      <c r="F30" s="151" t="s">
        <v>51</v>
      </c>
      <c r="G30" s="152" t="s">
        <v>35</v>
      </c>
      <c r="H30" s="153" cm="1">
        <f t="array" ref="H30">IF($B$15="Base",
    _xlfn.XLOOKUP(
        1,
        (Base_Stress[Age]=$F30)*
        (Base_Stress[Income]=$G30)*
        (Base_Stress[Credit Category]=H$20),
        Base_Stress[CM Per User]
    ),
IF($B$15="Adverse",
    _xlfn.XLOOKUP(
        1,
        (Adverse_Stress[Age]=$F30)*
        (Adverse_Stress[Income]=$G30)*
        (Adverse_Stress[Credit Category]=H$20),
        Adverse_Stress[CM Per User]
    ),
    _xlfn.XLOOKUP(
        1,
        (Severely_Adverse_Stress[Age]=$F30)*
        (Severely_Adverse_Stress[Income]=$G30)*
        (Severely_Adverse_Stress[Credit Category]=H$20),
        Severely_Adverse_Stress[CM Per User]
    )
))</f>
        <v>-43.285913402418529</v>
      </c>
      <c r="I30" s="153" cm="1">
        <f t="array" ref="I30">IF($B$15="Base",
    _xlfn.XLOOKUP(
        1,
        (Base_Stress[Age]=$F30)*
        (Base_Stress[Income]=$G30)*
        (Base_Stress[Credit Category]=I$20),
        Base_Stress[CM Per User]
    ),
IF($B$15="Adverse",
    _xlfn.XLOOKUP(
        1,
        (Adverse_Stress[Age]=$F30)*
        (Adverse_Stress[Income]=$G30)*
        (Adverse_Stress[Credit Category]=I$20),
        Adverse_Stress[CM Per User]
    ),
    _xlfn.XLOOKUP(
        1,
        (Severely_Adverse_Stress[Age]=$F30)*
        (Severely_Adverse_Stress[Income]=$G30)*
        (Severely_Adverse_Stress[Credit Category]=I$20),
        Severely_Adverse_Stress[CM Per User]
    )
))</f>
        <v>-6.7567883096654962</v>
      </c>
      <c r="J30" s="153" cm="1">
        <f t="array" ref="J30">IF($B$15="Base",
    _xlfn.XLOOKUP(
        1,
        (Base_Stress[Age]=$F30)*
        (Base_Stress[Income]=$G30)*
        (Base_Stress[Credit Category]=J$20),
        Base_Stress[CM Per User]
    ),
IF($B$15="Adverse",
    _xlfn.XLOOKUP(
        1,
        (Adverse_Stress[Age]=$F30)*
        (Adverse_Stress[Income]=$G30)*
        (Adverse_Stress[Credit Category]=J$20),
        Adverse_Stress[CM Per User]
    ),
    _xlfn.XLOOKUP(
        1,
        (Severely_Adverse_Stress[Age]=$F30)*
        (Severely_Adverse_Stress[Income]=$G30)*
        (Severely_Adverse_Stress[Credit Category]=J$20),
        Severely_Adverse_Stress[CM Per User]
    )
))</f>
        <v>-4.2988654159653814</v>
      </c>
      <c r="K30" s="153" cm="1">
        <f t="array" ref="K30">IF($B$15="Base",
    _xlfn.XLOOKUP(
        1,
        (Base_Stress[Age]=$F30)*
        (Base_Stress[Income]=$G30)*
        (Base_Stress[Credit Category]=K$20),
        Base_Stress[CM Per User]
    ),
IF($B$15="Adverse",
    _xlfn.XLOOKUP(
        1,
        (Adverse_Stress[Age]=$F30)*
        (Adverse_Stress[Income]=$G30)*
        (Adverse_Stress[Credit Category]=K$20),
        Adverse_Stress[CM Per User]
    ),
    _xlfn.XLOOKUP(
        1,
        (Severely_Adverse_Stress[Age]=$F30)*
        (Severely_Adverse_Stress[Income]=$G30)*
        (Severely_Adverse_Stress[Credit Category]=K$20),
        Severely_Adverse_Stress[CM Per User]
    )
))</f>
        <v>-1.7210568772961214</v>
      </c>
      <c r="L30" s="154" cm="1">
        <f t="array" ref="L30">IF($B$15="Base",
    _xlfn.XLOOKUP(
        1,
        (Base_Stress[Age]=$F30)*
        (Base_Stress[Income]=$G30)*
        (Base_Stress[Credit Category]=L$20),
        Base_Stress[CM Per User]
    ),
IF($B$15="Adverse",
    _xlfn.XLOOKUP(
        1,
        (Adverse_Stress[Age]=$F30)*
        (Adverse_Stress[Income]=$G30)*
        (Adverse_Stress[Credit Category]=L$20),
        Adverse_Stress[CM Per User]
    ),
    _xlfn.XLOOKUP(
        1,
        (Severely_Adverse_Stress[Age]=$F30)*
        (Severely_Adverse_Stress[Income]=$G30)*
        (Severely_Adverse_Stress[Credit Category]=L$20),
        Severely_Adverse_Stress[CM Per User]
    )
))</f>
        <v>0.43180100150350909</v>
      </c>
      <c r="P30" s="169"/>
      <c r="Q30" s="169"/>
      <c r="R30" s="169"/>
    </row>
    <row r="31" spans="2:24" ht="32" x14ac:dyDescent="0.4">
      <c r="F31" s="151" t="s">
        <v>51</v>
      </c>
      <c r="G31" s="152" t="s">
        <v>36</v>
      </c>
      <c r="H31" s="153" cm="1">
        <f t="array" ref="H31">IF($B$15="Base",
    _xlfn.XLOOKUP(
        1,
        (Base_Stress[Age]=$F31)*
        (Base_Stress[Income]=$G31)*
        (Base_Stress[Credit Category]=H$20),
        Base_Stress[CM Per User]
    ),
IF($B$15="Adverse",
    _xlfn.XLOOKUP(
        1,
        (Adverse_Stress[Age]=$F31)*
        (Adverse_Stress[Income]=$G31)*
        (Adverse_Stress[Credit Category]=H$20),
        Adverse_Stress[CM Per User]
    ),
    _xlfn.XLOOKUP(
        1,
        (Severely_Adverse_Stress[Age]=$F31)*
        (Severely_Adverse_Stress[Income]=$G31)*
        (Severely_Adverse_Stress[Credit Category]=H$20),
        Severely_Adverse_Stress[CM Per User]
    )
))</f>
        <v>-49.411966256751342</v>
      </c>
      <c r="I31" s="153" cm="1">
        <f t="array" ref="I31">IF($B$15="Base",
    _xlfn.XLOOKUP(
        1,
        (Base_Stress[Age]=$F31)*
        (Base_Stress[Income]=$G31)*
        (Base_Stress[Credit Category]=I$20),
        Base_Stress[CM Per User]
    ),
IF($B$15="Adverse",
    _xlfn.XLOOKUP(
        1,
        (Adverse_Stress[Age]=$F31)*
        (Adverse_Stress[Income]=$G31)*
        (Adverse_Stress[Credit Category]=I$20),
        Adverse_Stress[CM Per User]
    ),
    _xlfn.XLOOKUP(
        1,
        (Severely_Adverse_Stress[Age]=$F31)*
        (Severely_Adverse_Stress[Income]=$G31)*
        (Severely_Adverse_Stress[Credit Category]=I$20),
        Severely_Adverse_Stress[CM Per User]
    )
))</f>
        <v>-5.0292731881085126</v>
      </c>
      <c r="J31" s="153" cm="1">
        <f t="array" ref="J31">IF($B$15="Base",
    _xlfn.XLOOKUP(
        1,
        (Base_Stress[Age]=$F31)*
        (Base_Stress[Income]=$G31)*
        (Base_Stress[Credit Category]=J$20),
        Base_Stress[CM Per User]
    ),
IF($B$15="Adverse",
    _xlfn.XLOOKUP(
        1,
        (Adverse_Stress[Age]=$F31)*
        (Adverse_Stress[Income]=$G31)*
        (Adverse_Stress[Credit Category]=J$20),
        Adverse_Stress[CM Per User]
    ),
    _xlfn.XLOOKUP(
        1,
        (Severely_Adverse_Stress[Age]=$F31)*
        (Severely_Adverse_Stress[Income]=$G31)*
        (Severely_Adverse_Stress[Credit Category]=J$20),
        Severely_Adverse_Stress[CM Per User]
    )
))</f>
        <v>-0.21790337472968355</v>
      </c>
      <c r="K31" s="153" cm="1">
        <f t="array" ref="K31">IF($B$15="Base",
    _xlfn.XLOOKUP(
        1,
        (Base_Stress[Age]=$F31)*
        (Base_Stress[Income]=$G31)*
        (Base_Stress[Credit Category]=K$20),
        Base_Stress[CM Per User]
    ),
IF($B$15="Adverse",
    _xlfn.XLOOKUP(
        1,
        (Adverse_Stress[Age]=$F31)*
        (Adverse_Stress[Income]=$G31)*
        (Adverse_Stress[Credit Category]=K$20),
        Adverse_Stress[CM Per User]
    ),
    _xlfn.XLOOKUP(
        1,
        (Severely_Adverse_Stress[Age]=$F31)*
        (Severely_Adverse_Stress[Income]=$G31)*
        (Severely_Adverse_Stress[Credit Category]=K$20),
        Severely_Adverse_Stress[CM Per User]
    )
))</f>
        <v>4.3301670869204276</v>
      </c>
      <c r="L31" s="154" cm="1">
        <f t="array" ref="L31">IF($B$15="Base",
    _xlfn.XLOOKUP(
        1,
        (Base_Stress[Age]=$F31)*
        (Base_Stress[Income]=$G31)*
        (Base_Stress[Credit Category]=L$20),
        Base_Stress[CM Per User]
    ),
IF($B$15="Adverse",
    _xlfn.XLOOKUP(
        1,
        (Adverse_Stress[Age]=$F31)*
        (Adverse_Stress[Income]=$G31)*
        (Adverse_Stress[Credit Category]=L$20),
        Adverse_Stress[CM Per User]
    ),
    _xlfn.XLOOKUP(
        1,
        (Severely_Adverse_Stress[Age]=$F31)*
        (Severely_Adverse_Stress[Income]=$G31)*
        (Severely_Adverse_Stress[Credit Category]=L$20),
        Severely_Adverse_Stress[CM Per User]
    )
))</f>
        <v>8.1102027531572034</v>
      </c>
      <c r="P31" s="169"/>
      <c r="Q31" s="169"/>
      <c r="R31" s="169"/>
    </row>
    <row r="32" spans="2:24" ht="33" thickBot="1" x14ac:dyDescent="0.45">
      <c r="F32" s="155" t="s">
        <v>51</v>
      </c>
      <c r="G32" s="156" t="s">
        <v>37</v>
      </c>
      <c r="H32" s="157" cm="1">
        <f t="array" ref="H32">IF($B$15="Base",
    _xlfn.XLOOKUP(
        1,
        (Base_Stress[Age]=$F32)*
        (Base_Stress[Income]=$G32)*
        (Base_Stress[Credit Category]=H$20),
        Base_Stress[CM Per User]
    ),
IF($B$15="Adverse",
    _xlfn.XLOOKUP(
        1,
        (Adverse_Stress[Age]=$F32)*
        (Adverse_Stress[Income]=$G32)*
        (Adverse_Stress[Credit Category]=H$20),
        Adverse_Stress[CM Per User]
    ),
    _xlfn.XLOOKUP(
        1,
        (Severely_Adverse_Stress[Age]=$F32)*
        (Severely_Adverse_Stress[Income]=$G32)*
        (Severely_Adverse_Stress[Credit Category]=H$20),
        Severely_Adverse_Stress[CM Per User]
    )
))</f>
        <v>-62.409725452893049</v>
      </c>
      <c r="I32" s="157" cm="1">
        <f t="array" ref="I32">IF($B$15="Base",
    _xlfn.XLOOKUP(
        1,
        (Base_Stress[Age]=$F32)*
        (Base_Stress[Income]=$G32)*
        (Base_Stress[Credit Category]=I$20),
        Base_Stress[CM Per User]
    ),
IF($B$15="Adverse",
    _xlfn.XLOOKUP(
        1,
        (Adverse_Stress[Age]=$F32)*
        (Adverse_Stress[Income]=$G32)*
        (Adverse_Stress[Credit Category]=I$20),
        Adverse_Stress[CM Per User]
    ),
    _xlfn.XLOOKUP(
        1,
        (Severely_Adverse_Stress[Age]=$F32)*
        (Severely_Adverse_Stress[Income]=$G32)*
        (Severely_Adverse_Stress[Credit Category]=I$20),
        Severely_Adverse_Stress[CM Per User]
    )
))</f>
        <v>-1.9322586679384293</v>
      </c>
      <c r="J32" s="157" cm="1">
        <f t="array" ref="J32">IF($B$15="Base",
    _xlfn.XLOOKUP(
        1,
        (Base_Stress[Age]=$F32)*
        (Base_Stress[Income]=$G32)*
        (Base_Stress[Credit Category]=J$20),
        Base_Stress[CM Per User]
    ),
IF($B$15="Adverse",
    _xlfn.XLOOKUP(
        1,
        (Adverse_Stress[Age]=$F32)*
        (Adverse_Stress[Income]=$G32)*
        (Adverse_Stress[Credit Category]=J$20),
        Adverse_Stress[CM Per User]
    ),
    _xlfn.XLOOKUP(
        1,
        (Severely_Adverse_Stress[Age]=$F32)*
        (Severely_Adverse_Stress[Income]=$G32)*
        (Severely_Adverse_Stress[Credit Category]=J$20),
        Severely_Adverse_Stress[CM Per User]
    )
))</f>
        <v>7.2714622475542585</v>
      </c>
      <c r="K32" s="157" cm="1">
        <f t="array" ref="K32">IF($B$15="Base",
    _xlfn.XLOOKUP(
        1,
        (Base_Stress[Age]=$F32)*
        (Base_Stress[Income]=$G32)*
        (Base_Stress[Credit Category]=K$20),
        Base_Stress[CM Per User]
    ),
IF($B$15="Adverse",
    _xlfn.XLOOKUP(
        1,
        (Adverse_Stress[Age]=$F32)*
        (Adverse_Stress[Income]=$G32)*
        (Adverse_Stress[Credit Category]=K$20),
        Adverse_Stress[CM Per User]
    ),
    _xlfn.XLOOKUP(
        1,
        (Severely_Adverse_Stress[Age]=$F32)*
        (Severely_Adverse_Stress[Income]=$G32)*
        (Severely_Adverse_Stress[Credit Category]=K$20),
        Severely_Adverse_Stress[CM Per User]
    )
))</f>
        <v>14.366679892049719</v>
      </c>
      <c r="L32" s="158" cm="1">
        <f t="array" ref="L32">IF($B$15="Base",
    _xlfn.XLOOKUP(
        1,
        (Base_Stress[Age]=$F32)*
        (Base_Stress[Income]=$G32)*
        (Base_Stress[Credit Category]=L$20),
        Base_Stress[CM Per User]
    ),
IF($B$15="Adverse",
    _xlfn.XLOOKUP(
        1,
        (Adverse_Stress[Age]=$F32)*
        (Adverse_Stress[Income]=$G32)*
        (Adverse_Stress[Credit Category]=L$20),
        Adverse_Stress[CM Per User]
    ),
    _xlfn.XLOOKUP(
        1,
        (Severely_Adverse_Stress[Age]=$F32)*
        (Severely_Adverse_Stress[Income]=$G32)*
        (Severely_Adverse_Stress[Credit Category]=L$20),
        Severely_Adverse_Stress[CM Per User]
    )
))</f>
        <v>16.763093227979812</v>
      </c>
    </row>
  </sheetData>
  <mergeCells count="14">
    <mergeCell ref="A1:S9"/>
    <mergeCell ref="P29:R31"/>
    <mergeCell ref="P20:R21"/>
    <mergeCell ref="P22:R23"/>
    <mergeCell ref="B12:C14"/>
    <mergeCell ref="B15:C17"/>
    <mergeCell ref="E12:F14"/>
    <mergeCell ref="L12:M14"/>
    <mergeCell ref="L15:M17"/>
    <mergeCell ref="P12:R14"/>
    <mergeCell ref="P15:R17"/>
    <mergeCell ref="H15:I17"/>
    <mergeCell ref="E15:F17"/>
    <mergeCell ref="H12:I14"/>
  </mergeCells>
  <conditionalFormatting sqref="H21:N32">
    <cfRule type="colorScale" priority="1">
      <colorScale>
        <cfvo type="num" val="-30"/>
        <cfvo type="num" val="0"/>
        <cfvo type="num" val="53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EC0DBB-4092-004D-B449-5EBDAD995CDF}">
          <x14:formula1>
            <xm:f>'Stressed Portfolio Metrics'!$A$2:$A$4</xm:f>
          </x14:formula1>
          <xm:sqref>B15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 Segmentation</vt:lpstr>
      <vt:lpstr>Default Rates</vt:lpstr>
      <vt:lpstr>Portfolio x PD x Loan Count</vt:lpstr>
      <vt:lpstr>Support Tables</vt:lpstr>
      <vt:lpstr>EAD Estimate</vt:lpstr>
      <vt:lpstr>Dynamic PD</vt:lpstr>
      <vt:lpstr>Contribution Margin</vt:lpstr>
      <vt:lpstr>Dynamic CM</vt:lpstr>
      <vt:lpstr>Portfolio Metrics</vt:lpstr>
      <vt:lpstr>Dashboard</vt:lpstr>
      <vt:lpstr>Macro Stressers</vt:lpstr>
      <vt:lpstr>Stress Analysis</vt:lpstr>
      <vt:lpstr>Stressed Portfolio Metrics</vt:lpstr>
      <vt:lpstr>Macro Stress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Sandilya</dc:creator>
  <cp:lastModifiedBy>Dhruv Sandilya</cp:lastModifiedBy>
  <dcterms:created xsi:type="dcterms:W3CDTF">2026-02-09T10:25:52Z</dcterms:created>
  <dcterms:modified xsi:type="dcterms:W3CDTF">2026-06-10T18:54:58Z</dcterms:modified>
</cp:coreProperties>
</file>